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Limite " sheetId="32" r:id="rId5"/>
    <sheet name="PS" sheetId="33" r:id="rId6"/>
    <sheet name="Proctor " sheetId="31" r:id="rId7"/>
    <sheet name=" CBR Poinc" sheetId="23" r:id="rId8"/>
    <sheet name="CBR Crb (2)" sheetId="24" r:id="rId9"/>
  </sheets>
  <externalReferences>
    <externalReference r:id="rId10"/>
  </externalReferences>
  <definedNames>
    <definedName name="a" localSheetId="6">#REF!</definedName>
    <definedName name="a" localSheetId="5">#REF!</definedName>
    <definedName name="a">#REF!</definedName>
    <definedName name="B" localSheetId="6">#REF!</definedName>
    <definedName name="B" localSheetId="5">#REF!</definedName>
    <definedName name="B">#REF!</definedName>
    <definedName name="Compactação" localSheetId="6">#REF!</definedName>
    <definedName name="Compactação" localSheetId="5">#REF!</definedName>
    <definedName name="Compactação">#REF!</definedName>
    <definedName name="d" localSheetId="6">#REF!</definedName>
    <definedName name="d" localSheetId="5">#REF!</definedName>
    <definedName name="d">#REF!</definedName>
    <definedName name="da" localSheetId="6">#REF!</definedName>
    <definedName name="da" localSheetId="5">#REF!</definedName>
    <definedName name="da">#REF!</definedName>
    <definedName name="dd" localSheetId="6">#REF!</definedName>
    <definedName name="dd" localSheetId="5">#REF!</definedName>
    <definedName name="dd">#REF!</definedName>
    <definedName name="f" localSheetId="6">#REF!</definedName>
    <definedName name="f" localSheetId="5">#REF!</definedName>
    <definedName name="f">#REF!</definedName>
    <definedName name="H" localSheetId="6">#REF!</definedName>
    <definedName name="H" localSheetId="5">#REF!</definedName>
    <definedName name="H">#REF!</definedName>
    <definedName name="k" localSheetId="6">#REF!</definedName>
    <definedName name="k" localSheetId="5">#REF!</definedName>
    <definedName name="k">#REF!</definedName>
    <definedName name="kk" localSheetId="6">#REF!</definedName>
    <definedName name="kk" localSheetId="5">#REF!</definedName>
    <definedName name="kk">#REF!</definedName>
    <definedName name="Liquidez" localSheetId="6">#REF!</definedName>
    <definedName name="Liquidez" localSheetId="5">#REF!</definedName>
    <definedName name="Liquidez">#REF!</definedName>
    <definedName name="non" localSheetId="6">#REF!</definedName>
    <definedName name="non" localSheetId="5">#REF!</definedName>
    <definedName name="non">#REF!</definedName>
    <definedName name="o" localSheetId="6">#REF!</definedName>
    <definedName name="o" localSheetId="5">#REF!</definedName>
    <definedName name="o">#REF!</definedName>
    <definedName name="oi" localSheetId="6">#REF!</definedName>
    <definedName name="oi" localSheetId="5">#REF!</definedName>
    <definedName name="oi">#REF!</definedName>
    <definedName name="ou" localSheetId="6">#REF!</definedName>
    <definedName name="ou" localSheetId="5">#REF!</definedName>
    <definedName name="ou">#REF!</definedName>
    <definedName name="oui" localSheetId="6">#REF!</definedName>
    <definedName name="oui" localSheetId="5">#REF!</definedName>
    <definedName name="oui">#REF!</definedName>
    <definedName name="p" localSheetId="6">#REF!</definedName>
    <definedName name="p" localSheetId="5">#REF!</definedName>
    <definedName name="p">#REF!</definedName>
    <definedName name="Plasticidade" localSheetId="6">#REF!</definedName>
    <definedName name="Plasticidade" localSheetId="5">#REF!</definedName>
    <definedName name="Plasticidade">#REF!</definedName>
    <definedName name="Platicidade" localSheetId="6">#REF!</definedName>
    <definedName name="Platicidade" localSheetId="5">#REF!</definedName>
    <definedName name="Platicidade">#REF!</definedName>
    <definedName name="q" localSheetId="6">#REF!</definedName>
    <definedName name="q" localSheetId="5">#REF!</definedName>
    <definedName name="q">#REF!</definedName>
    <definedName name="sa" localSheetId="6">#REF!</definedName>
    <definedName name="sa" localSheetId="5">#REF!</definedName>
    <definedName name="sa">#REF!</definedName>
    <definedName name="sandro" localSheetId="6">#REF!</definedName>
    <definedName name="sandro" localSheetId="5">#REF!</definedName>
    <definedName name="sandro">#REF!</definedName>
    <definedName name="sq" localSheetId="6">#REF!</definedName>
    <definedName name="sq" localSheetId="5">#REF!</definedName>
    <definedName name="sq">#REF!</definedName>
    <definedName name="ss" localSheetId="6">#REF!</definedName>
    <definedName name="ss" localSheetId="5">#REF!</definedName>
    <definedName name="ss">#REF!</definedName>
    <definedName name="w" localSheetId="6">#REF!</definedName>
    <definedName name="w" localSheetId="5">#REF!</definedName>
    <definedName name="w">#REF!</definedName>
    <definedName name="xa" localSheetId="6">#REF!</definedName>
    <definedName name="xa" localSheetId="5">#REF!</definedName>
    <definedName name="xa">#REF!</definedName>
    <definedName name="_xlnm.Print_Area" localSheetId="6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33" l="1"/>
  <c r="G32" i="33"/>
  <c r="H30" i="33"/>
  <c r="G30" i="33"/>
  <c r="H28" i="33"/>
  <c r="H34" i="33" s="1"/>
  <c r="G28" i="33"/>
  <c r="G34" i="33" s="1"/>
  <c r="G38" i="33" l="1"/>
  <c r="H38" i="33"/>
  <c r="G42" i="33" l="1"/>
  <c r="K12" i="25" s="1"/>
  <c r="X47" i="25" l="1"/>
  <c r="L6" i="29"/>
  <c r="B6" i="29"/>
  <c r="N9" i="24"/>
  <c r="D8" i="24" l="1"/>
  <c r="D5" i="24"/>
  <c r="N55" i="31" l="1"/>
  <c r="N56" i="31" s="1"/>
  <c r="O55" i="31"/>
  <c r="N53" i="31"/>
  <c r="E39" i="31"/>
  <c r="E40" i="31" s="1"/>
  <c r="D39" i="31"/>
  <c r="D40" i="31" s="1"/>
  <c r="D41" i="31" s="1"/>
  <c r="C43" i="25" s="1"/>
  <c r="G39" i="31"/>
  <c r="G40" i="31" s="1"/>
  <c r="F39" i="31"/>
  <c r="F40" i="31" s="1"/>
  <c r="I39" i="31"/>
  <c r="I40" i="31" s="1"/>
  <c r="H39" i="31"/>
  <c r="H40" i="31" s="1"/>
  <c r="H41" i="31" s="1"/>
  <c r="E43" i="25" s="1"/>
  <c r="K39" i="31"/>
  <c r="K40" i="31" s="1"/>
  <c r="J39" i="31"/>
  <c r="J40" i="31" s="1"/>
  <c r="D30" i="31"/>
  <c r="D32" i="31" s="1"/>
  <c r="F30" i="31"/>
  <c r="F32" i="31" s="1"/>
  <c r="H32" i="31"/>
  <c r="H30" i="31"/>
  <c r="J30" i="31"/>
  <c r="J32" i="31" s="1"/>
  <c r="F41" i="31" l="1"/>
  <c r="D43" i="25" s="1"/>
  <c r="D33" i="31"/>
  <c r="H33" i="31"/>
  <c r="J41" i="31"/>
  <c r="N6" i="24"/>
  <c r="J33" i="31" l="1"/>
  <c r="F43" i="25"/>
  <c r="F33" i="31"/>
  <c r="D11" i="25"/>
  <c r="M21" i="32"/>
  <c r="K15" i="32"/>
  <c r="J15" i="32"/>
  <c r="I15" i="32"/>
  <c r="G15" i="32"/>
  <c r="F15" i="32"/>
  <c r="E15" i="32"/>
  <c r="D15" i="32"/>
  <c r="C15" i="32"/>
  <c r="K14" i="32"/>
  <c r="K16" i="32" s="1"/>
  <c r="J14" i="32"/>
  <c r="J16" i="32" s="1"/>
  <c r="I14" i="32"/>
  <c r="I16" i="32" s="1"/>
  <c r="G14" i="32"/>
  <c r="G16" i="32" s="1"/>
  <c r="F14" i="32"/>
  <c r="F16" i="32" s="1"/>
  <c r="E14" i="32"/>
  <c r="E16" i="32" s="1"/>
  <c r="D14" i="32"/>
  <c r="D16" i="32" s="1"/>
  <c r="C14" i="32"/>
  <c r="C16" i="32" s="1"/>
  <c r="K25" i="32" l="1"/>
  <c r="B44" i="31"/>
  <c r="B43" i="31"/>
  <c r="C39" i="31"/>
  <c r="C40" i="31" s="1"/>
  <c r="B39" i="31"/>
  <c r="B40" i="31" s="1"/>
  <c r="C44" i="25"/>
  <c r="B30" i="31"/>
  <c r="B32" i="31" s="1"/>
  <c r="I44" i="31" l="1"/>
  <c r="X54" i="25"/>
  <c r="X55" i="25" s="1"/>
  <c r="J13" i="23"/>
  <c r="I43" i="31"/>
  <c r="Y54" i="25"/>
  <c r="J12" i="23"/>
  <c r="B41" i="31"/>
  <c r="B43" i="25" s="1"/>
  <c r="K26" i="32"/>
  <c r="D13" i="25" s="1"/>
  <c r="D12" i="25"/>
  <c r="D44" i="25"/>
  <c r="F44" i="25"/>
  <c r="E44" i="25"/>
  <c r="B33" i="31" l="1"/>
  <c r="B44" i="25" s="1"/>
  <c r="U43" i="25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R33" i="23" l="1"/>
  <c r="S40" i="25" s="1"/>
  <c r="O33" i="23"/>
  <c r="S39" i="25" s="1"/>
  <c r="L33" i="23"/>
  <c r="S38" i="25" s="1"/>
  <c r="H44" i="25" l="1"/>
  <c r="H43" i="25" l="1"/>
  <c r="T37" i="26"/>
  <c r="S37" i="26"/>
  <c r="L23" i="27"/>
  <c r="L24" i="27" l="1"/>
  <c r="C17" i="25"/>
  <c r="D17" i="25" s="1"/>
  <c r="E17" i="25" s="1"/>
  <c r="AD18" i="25" s="1"/>
  <c r="N23" i="27"/>
  <c r="O23" i="27" s="1"/>
  <c r="U19" i="29" s="1"/>
  <c r="F41" i="26"/>
  <c r="K11" i="25" s="1"/>
  <c r="N24" i="27"/>
  <c r="O24" i="27" s="1"/>
  <c r="U20" i="29" s="1"/>
  <c r="C18" i="25" l="1"/>
  <c r="D18" i="25" s="1"/>
  <c r="E18" i="25" s="1"/>
  <c r="AD19" i="25" s="1"/>
  <c r="L26" i="27"/>
  <c r="L29" i="27" l="1"/>
  <c r="C19" i="25"/>
  <c r="D19" i="25" s="1"/>
  <c r="E19" i="25" s="1"/>
  <c r="AD20" i="25" s="1"/>
  <c r="N26" i="27"/>
  <c r="O26" i="27" s="1"/>
  <c r="U21" i="29" s="1"/>
  <c r="L32" i="27" l="1"/>
  <c r="C20" i="25"/>
  <c r="D20" i="25" s="1"/>
  <c r="E20" i="25" s="1"/>
  <c r="AD21" i="25" s="1"/>
  <c r="N29" i="27"/>
  <c r="O29" i="27" s="1"/>
  <c r="U22" i="29" s="1"/>
  <c r="L36" i="27" l="1"/>
  <c r="C22" i="25"/>
  <c r="D22" i="25" s="1"/>
  <c r="E22" i="25" s="1"/>
  <c r="AD22" i="25" s="1"/>
  <c r="N32" i="27"/>
  <c r="O32" i="27" s="1"/>
  <c r="U23" i="29" s="1"/>
  <c r="L39" i="27" l="1"/>
  <c r="C25" i="25"/>
  <c r="D25" i="25" s="1"/>
  <c r="E25" i="25" s="1"/>
  <c r="AD23" i="25" s="1"/>
  <c r="N36" i="27"/>
  <c r="O36" i="27" s="1"/>
  <c r="U24" i="29" s="1"/>
  <c r="L43" i="27" l="1"/>
  <c r="C27" i="25"/>
  <c r="D27" i="25" s="1"/>
  <c r="E27" i="25" s="1"/>
  <c r="AD24" i="25" s="1"/>
  <c r="N39" i="27"/>
  <c r="O39" i="27" s="1"/>
  <c r="U25" i="29" s="1"/>
  <c r="L46" i="27" l="1"/>
  <c r="C29" i="25"/>
  <c r="D29" i="25" s="1"/>
  <c r="E29" i="25" s="1"/>
  <c r="AD25" i="25" s="1"/>
  <c r="N43" i="27"/>
  <c r="O43" i="27" s="1"/>
  <c r="U26" i="29" s="1"/>
  <c r="L49" i="27" l="1"/>
  <c r="C31" i="25"/>
  <c r="D31" i="25" s="1"/>
  <c r="E31" i="25" s="1"/>
  <c r="AD26" i="25" s="1"/>
  <c r="N46" i="27"/>
  <c r="O46" i="27" s="1"/>
  <c r="U27" i="29" s="1"/>
  <c r="X57" i="25"/>
  <c r="X58" i="25" s="1"/>
  <c r="X48" i="25"/>
  <c r="X51" i="25" s="1"/>
  <c r="V44" i="25"/>
  <c r="T44" i="25"/>
  <c r="S44" i="25"/>
  <c r="L50" i="27" l="1"/>
  <c r="C33" i="25"/>
  <c r="D33" i="25" s="1"/>
  <c r="E33" i="25" s="1"/>
  <c r="AD27" i="25" s="1"/>
  <c r="N49" i="27"/>
  <c r="O49" i="27" s="1"/>
  <c r="U28" i="29" s="1"/>
  <c r="P12" i="23"/>
  <c r="J15" i="24"/>
  <c r="D21" i="24" s="1"/>
  <c r="J14" i="24"/>
  <c r="M26" i="24"/>
  <c r="K14" i="24"/>
  <c r="C34" i="25" l="1"/>
  <c r="D34" i="25" s="1"/>
  <c r="E34" i="25" s="1"/>
  <c r="N50" i="27"/>
  <c r="O50" i="27" s="1"/>
  <c r="U29" i="29" s="1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K13" i="25" l="1"/>
  <c r="AD28" i="25"/>
  <c r="U28" i="24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U31" i="24" l="1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<sst xmlns="http://schemas.openxmlformats.org/spreadsheetml/2006/main" count="561" uniqueCount="391">
  <si>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</si>
  <si>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</si>
  <si>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</si>
  <si>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</si>
  <si>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</si>
  <si>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</si>
  <si>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</si>
  <si>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</si>
  <si>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</si>
  <si>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</si>
  <si>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</si>
  <si>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</si>
  <si>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</si>
  <si>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</si>
  <si>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</si>
  <si>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</si>
  <si>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</si>
  <si>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</si>
  <si>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</si>
  <si>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</si>
  <si>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</si>
  <si>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</si>
  <si>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</si>
  <si>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</si>
  <si>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</si>
  <si>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</si>
  <si>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</si>
  <si>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</si>
  <si>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</si>
  <si>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</si>
  <si>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</si>
  <si>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</si>
  <si>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</si>
  <si>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</si>
  <si>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</si>
  <si>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</si>
  <si>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</si>
  <si>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</si>
  <si>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</si>
  <si>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</si>
  <si>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</si>
  <si>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</si>
  <si>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</si>
  <si>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</si>
  <si>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</si>
  <si>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</si>
  <si>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</si>
  <si>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</si>
  <si>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</si>
  <si>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</si>
  <si>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</si>
  <si>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</si>
  <si>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</si>
  <si>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</si>
  <si>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</si>
  <si>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</si>
  <si>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</si>
  <si>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</si>
  <si>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</si>
  <si>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</si>
  <si>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</si>
  <si>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</si>
  <si>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</si>
  <si>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</si>
  <si>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</si>
  <si>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</si>
  <si>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</si>
  <si>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</si>
  <si>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</si>
  <si>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</si>
  <si>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</si>
  <si>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</si>
  <si>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</si>
  <si>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</si>
  <si>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</si>
  <si>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</si>
  <si>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</si>
  <si>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</si>
  <si>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</si>
  <si>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</si>
  <si>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</si>
  <si>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</si>
  <si>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</si>
  <si>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</si>
  <si>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</si>
  <si>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</si>
  <si>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</si>
  <si>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</si>
  <si>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</si>
  <si>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</si>
  <si>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</si>
  <si>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</si>
  <si>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</si>
  <si>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</si>
  <si>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</si>
  <si>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</si>
  <si>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</si>
  <si>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</si>
  <si>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</si>
  <si>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</si>
  <si>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</si>
  <si>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</si>
  <si>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</si>
  <si>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</si>
  <si>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</si>
  <si>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</si>
  <si>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</si>
  <si>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</si>
  <si>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</si>
  <si>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</si>
  <si>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</si>
  <si>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</si>
  <si>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</si>
  <si>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</si>
  <si>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</si>
  <si>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</si>
  <si>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</si>
  <si>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</si>
  <si>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</si>
  <si>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</si>
  <si>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</si>
  <si>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</si>
  <si>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</si>
  <si>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</si>
  <si>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</si>
  <si>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</si>
  <si>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</si>
  <si>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</si>
  <si>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</si>
  <si>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</si>
  <si>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</si>
  <si>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</si>
  <si>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</si>
  <si>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</si>
  <si>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</si>
  <si>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</si>
  <si>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</si>
  <si>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</si>
  <si>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</si>
  <si>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</si>
  <si>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</si>
  <si>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</si>
  <si>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</si>
  <si>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</si>
  <si>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</si>
  <si>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</si>
  <si>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</si>
  <si>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</si>
  <si>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</si>
  <si>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</si>
  <si>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</si>
  <si>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</si>
  <si>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</si>
  <si>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</si>
  <si>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</si>
  <si>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</si>
  <si>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</si>
  <si>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</si>
  <si>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</si>
  <si>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</si>
  <si>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</si>
  <si>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</si>
  <si>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</si>
  <si>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</si>
  <si>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</si>
  <si>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</si>
  <si>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</si>
  <si>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</si>
  <si>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</si>
  <si>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</si>
  <si>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</si>
  <si>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</si>
  <si>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</si>
  <si>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</si>
  <si>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</si>
  <si>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</si>
  <si>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</si>
  <si>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</si>
  <si>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</si>
  <si>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</si>
  <si>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</si>
  <si>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</si>
  <si>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</si>
  <si>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</si>
  <si>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</si>
  <si>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</si>
  <si>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</si>
  <si>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</si>
  <si>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</si>
  <si>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</si>
  <si>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</si>
  <si>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</si>
  <si>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</si>
  <si>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</si>
  <si>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</si>
  <si>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</si>
  <si>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</si>
  <si>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</si>
  <si>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</si>
  <si>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</si>
  <si>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</si>
  <si>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</si>
  <si>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</si>
  <si>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</si>
  <si>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</si>
  <si>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</si>
  <si>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</si>
  <si>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</si>
  <si>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</si>
  <si>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</si>
  <si>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</si>
  <si>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</si>
  <si>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</si>
  <si>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</si>
  <si>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</si>
  <si>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</si>
  <si>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</si>
  <si>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</si>
  <si>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</si>
  <si>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</si>
  <si>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</si>
  <si>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</si>
  <si>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</si>
  <si>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</si>
  <si>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</si>
  <si>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</si>
  <si>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</si>
  <si>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</si>
  <si>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</si>
  <si>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</si>
  <si>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</si>
  <si>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</si>
  <si>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</si>
  <si>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</si>
  <si>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</si>
  <si>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</si>
  <si>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</si>
  <si>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</si>
  <si>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</si>
  <si>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</si>
  <si>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</si>
  <si>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</si>
  <si>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</si>
  <si>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</si>
  <si>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</si>
  <si>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</si>
  <si>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</si>
  <si>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</si>
  <si>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</si>
  <si>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</si>
  <si>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</si>
  <si>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</si>
  <si>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</si>
  <si>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</si>
  <si>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</si>
  <si>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</si>
  <si>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</si>
  <si>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</si>
  <si>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</si>
  <si>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</si>
  <si>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</si>
  <si>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</si>
  <si>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</si>
  <si>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</si>
  <si>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</si>
  <si>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</si>
  <si>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</si>
  <si>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</si>
  <si>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11'</t>
  </si>
  <si>
    <t>BEANGE</t>
  </si>
  <si>
    <t>NGOMA-NZAOU</t>
  </si>
  <si>
    <t>B/ville, 23/08/2019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</si>
  <si>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</si>
  <si>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</si>
  <si>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</si>
  <si>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</si>
  <si>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</si>
  <si>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</si>
  <si>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</si>
  <si>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</si>
  <si>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</si>
  <si>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</si>
  <si>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</si>
  <si>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</si>
  <si>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</si>
  <si>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</si>
  <si>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</si>
  <si>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</si>
  <si>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</si>
  <si>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</si>
  <si>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</si>
  <si>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</si>
  <si>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</si>
  <si>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</si>
  <si>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</si>
  <si>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</si>
  <si>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</si>
  <si>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</si>
  <si>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</si>
  <si>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</si>
  <si>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</si>
  <si>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</si>
  <si>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</si>
  <si>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</si>
  <si>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</si>
  <si>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</si>
  <si>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</si>
  <si>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</si>
  <si>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</si>
  <si>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</si>
  <si>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</si>
  <si>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</si>
  <si>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</si>
  <si>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ETUDE</t>
  </si>
  <si>
    <t xml:space="preserve">Poids refus </t>
  </si>
  <si>
    <t>Pourcentage cumulé</t>
  </si>
  <si>
    <t>B102</t>
  </si>
  <si>
    <t>DL</t>
  </si>
  <si>
    <t>B4</t>
  </si>
  <si>
    <t>B47</t>
  </si>
  <si>
    <t>A3</t>
  </si>
  <si>
    <t>B'</t>
  </si>
  <si>
    <t>DB3</t>
  </si>
  <si>
    <t>E</t>
  </si>
  <si>
    <t>DOSSIER:</t>
  </si>
  <si>
    <t>00/00</t>
  </si>
  <si>
    <t>DATE:</t>
  </si>
  <si>
    <t xml:space="preserve">OPERATEUR: </t>
  </si>
  <si>
    <t>Claire</t>
  </si>
  <si>
    <t>PREPARATION: à sèc</t>
  </si>
  <si>
    <t xml:space="preserve">ECHANTILLON: </t>
  </si>
  <si>
    <t xml:space="preserve">   APPAREIL</t>
  </si>
  <si>
    <t>Casagrande</t>
  </si>
  <si>
    <t xml:space="preserve">NATURE: </t>
  </si>
  <si>
    <t xml:space="preserve">   NOMBRE DE COUPS</t>
  </si>
  <si>
    <t>LIMITE DE LIQUIDITE</t>
  </si>
  <si>
    <t>LIMITE DE PLASTICITE</t>
  </si>
  <si>
    <t xml:space="preserve">   NUMERO DE LA TARE</t>
  </si>
  <si>
    <t>K</t>
  </si>
  <si>
    <t xml:space="preserve">   POIDS TOTAL HUMIDE</t>
  </si>
  <si>
    <t xml:space="preserve">   POIDS TOTAL SEC</t>
  </si>
  <si>
    <t xml:space="preserve">   POIDS DE LA TARE</t>
  </si>
  <si>
    <t xml:space="preserve">   POIDS D'EAU</t>
  </si>
  <si>
    <t xml:space="preserve">   POIDS NET SEC</t>
  </si>
  <si>
    <t xml:space="preserve">   TENEUR D'EAU</t>
  </si>
  <si>
    <t>Y</t>
  </si>
  <si>
    <t>L.L</t>
  </si>
  <si>
    <t>L.P</t>
  </si>
  <si>
    <t>I.P</t>
  </si>
  <si>
    <t xml:space="preserve">N° de reception: </t>
  </si>
  <si>
    <t>PROVENANCE:</t>
  </si>
  <si>
    <t>Localisation du chantier:  Corniche pont du Djoué</t>
  </si>
  <si>
    <t>X3</t>
  </si>
  <si>
    <t>X2</t>
  </si>
  <si>
    <t>B21</t>
  </si>
  <si>
    <t>DB4</t>
  </si>
  <si>
    <t>B3</t>
  </si>
  <si>
    <t>NK'</t>
  </si>
  <si>
    <t>co</t>
  </si>
  <si>
    <t>Corniche Pont du Djoué</t>
  </si>
  <si>
    <t>Du 10/12/2019 au 28/12/2019</t>
  </si>
  <si>
    <t>Puit 3 - 1 ère couche</t>
  </si>
  <si>
    <t>Sable Gris</t>
  </si>
  <si>
    <t>Sable - Puit 3 - 1 ère couche</t>
  </si>
  <si>
    <t>X2/03</t>
  </si>
  <si>
    <t>Sable Gris - Puit 3 - 1 ère couche</t>
  </si>
  <si>
    <t xml:space="preserve">Provenance:P 3 -   3ème couche </t>
  </si>
  <si>
    <r>
      <t>Nature de materiaux</t>
    </r>
    <r>
      <rPr>
        <sz val="11"/>
        <color theme="1"/>
        <rFont val="Calibri"/>
        <family val="2"/>
      </rPr>
      <t>: Sable Gris</t>
    </r>
  </si>
  <si>
    <t>Profondeur  0,00 m - 0,50 m</t>
  </si>
  <si>
    <t>POIDS SPECIFIQUE</t>
  </si>
  <si>
    <t>Date :         18/12/2019</t>
  </si>
  <si>
    <t>Expérimentateur :BEANGE Grace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</si>
  <si>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</si>
  <si>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</si>
  <si>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</si>
  <si>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</si>
  <si>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</si>
  <si>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</si>
  <si>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</si>
  <si>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</si>
  <si>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</si>
  <si>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</si>
  <si>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</si>
  <si>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</si>
  <si>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</si>
  <si>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</si>
  <si>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</si>
  <si>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Nature :Sable Gris ,Profondeur  0,00 m  - 0,50 m, Puit 3 - 1 ère  couche</t>
  </si>
  <si>
    <t>Corniche Brazzaville - Tronçon Fulbert YOULOU Pont du Djoué - Puit 3 - 1 ère couche</t>
  </si>
  <si>
    <t>Sable limoneux gris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</si>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</sst>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indexed="64"/>
      </right>
      <top/>
      <bottom style="medium">
        <color theme="1" tint="0.499984740745262"/>
      </bottom>
      <diagonal/>
    </border>
    <border>
      <left style="thin">
        <color indexed="64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1" tint="0.499984740745262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0" tint="-0.34998626667073579"/>
      </top>
      <bottom/>
      <diagonal/>
    </border>
    <border>
      <left/>
      <right style="thin">
        <color theme="1" tint="0.499984740745262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 tint="0.499984740745262"/>
      </right>
      <top style="medium">
        <color theme="0" tint="-0.34998626667073579"/>
      </top>
      <bottom style="thick">
        <color theme="0" tint="-0.34998626667073579"/>
      </bottom>
      <diagonal/>
    </border>
    <border>
      <left/>
      <right style="thin">
        <color theme="1" tint="0.499984740745262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75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48" xfId="0" applyFont="1" applyFill="1" applyBorder="1" applyAlignment="1">
      <alignment vertical="center"/>
    </xf>
    <xf numFmtId="0" fontId="5" fillId="0" borderId="52" xfId="0" applyFont="1" applyFill="1" applyBorder="1" applyAlignment="1">
      <alignment horizontal="left" vertical="center" wrapText="1"/>
    </xf>
    <xf numFmtId="0" fontId="3" fillId="0" borderId="48" xfId="0" applyFont="1" applyFill="1" applyBorder="1" applyAlignment="1">
      <alignment vertical="center" wrapText="1"/>
    </xf>
    <xf numFmtId="0" fontId="3" fillId="0" borderId="55" xfId="0" applyFont="1" applyFill="1" applyBorder="1" applyAlignment="1">
      <alignment vertical="center" wrapText="1"/>
    </xf>
    <xf numFmtId="0" fontId="5" fillId="0" borderId="61" xfId="0" applyFont="1" applyFill="1" applyBorder="1" applyAlignment="1">
      <alignment vertical="center" wrapText="1"/>
    </xf>
    <xf numFmtId="0" fontId="5" fillId="0" borderId="62" xfId="0" applyFont="1" applyFill="1" applyBorder="1" applyAlignment="1">
      <alignment horizontal="center" vertical="center" wrapText="1"/>
    </xf>
    <xf numFmtId="0" fontId="5" fillId="0" borderId="63" xfId="0" applyFont="1" applyFill="1" applyBorder="1" applyAlignment="1">
      <alignment horizontal="center" vertical="center" wrapText="1"/>
    </xf>
    <xf numFmtId="0" fontId="5" fillId="0" borderId="64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65" xfId="0" applyFont="1" applyFill="1" applyBorder="1" applyAlignment="1">
      <alignment horizontal="center" vertical="center" wrapText="1"/>
    </xf>
    <xf numFmtId="0" fontId="3" fillId="0" borderId="64" xfId="0" applyFont="1" applyFill="1" applyBorder="1" applyAlignment="1">
      <alignment vertical="center" wrapText="1"/>
    </xf>
    <xf numFmtId="2" fontId="5" fillId="0" borderId="66" xfId="0" applyNumberFormat="1" applyFont="1" applyFill="1" applyBorder="1" applyAlignment="1">
      <alignment horizontal="center" vertical="center" wrapText="1"/>
    </xf>
    <xf numFmtId="2" fontId="5" fillId="0" borderId="67" xfId="0" applyNumberFormat="1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87" xfId="0" applyFont="1" applyBorder="1" applyAlignment="1">
      <alignment vertical="center"/>
    </xf>
    <xf numFmtId="0" fontId="14" fillId="0" borderId="88" xfId="0" applyFont="1" applyBorder="1" applyAlignment="1">
      <alignment vertical="center"/>
    </xf>
    <xf numFmtId="0" fontId="14" fillId="0" borderId="88" xfId="0" applyFont="1" applyBorder="1"/>
    <xf numFmtId="0" fontId="14" fillId="0" borderId="89" xfId="0" applyFont="1" applyBorder="1"/>
    <xf numFmtId="0" fontId="14" fillId="0" borderId="90" xfId="0" applyFont="1" applyBorder="1"/>
    <xf numFmtId="0" fontId="14" fillId="0" borderId="94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1" xfId="0" applyFont="1" applyBorder="1"/>
    <xf numFmtId="0" fontId="14" fillId="0" borderId="98" xfId="0" applyFont="1" applyBorder="1"/>
    <xf numFmtId="0" fontId="14" fillId="0" borderId="96" xfId="0" applyFont="1" applyBorder="1" applyAlignment="1">
      <alignment vertical="center"/>
    </xf>
    <xf numFmtId="0" fontId="14" fillId="0" borderId="96" xfId="0" applyFont="1" applyBorder="1"/>
    <xf numFmtId="0" fontId="14" fillId="0" borderId="97" xfId="0" applyFont="1" applyBorder="1"/>
    <xf numFmtId="0" fontId="14" fillId="0" borderId="92" xfId="0" applyFont="1" applyBorder="1" applyAlignment="1">
      <alignment vertical="center"/>
    </xf>
    <xf numFmtId="0" fontId="14" fillId="0" borderId="92" xfId="0" applyFont="1" applyBorder="1"/>
    <xf numFmtId="0" fontId="21" fillId="0" borderId="51" xfId="0" applyFont="1" applyBorder="1"/>
    <xf numFmtId="0" fontId="21" fillId="0" borderId="95" xfId="0" applyFont="1" applyBorder="1" applyAlignment="1">
      <alignment vertical="center" wrapText="1"/>
    </xf>
    <xf numFmtId="0" fontId="21" fillId="0" borderId="96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89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1" xfId="0" applyFont="1" applyBorder="1" applyAlignment="1">
      <alignment vertical="center"/>
    </xf>
    <xf numFmtId="0" fontId="23" fillId="3" borderId="89" xfId="0" applyFont="1" applyFill="1" applyBorder="1" applyAlignment="1">
      <alignment horizontal="center"/>
    </xf>
    <xf numFmtId="0" fontId="23" fillId="3" borderId="113" xfId="0" applyFont="1" applyFill="1" applyBorder="1" applyAlignment="1">
      <alignment horizontal="center" vertical="center"/>
    </xf>
    <xf numFmtId="0" fontId="23" fillId="3" borderId="113" xfId="0" applyFont="1" applyFill="1" applyBorder="1" applyAlignment="1">
      <alignment horizontal="center"/>
    </xf>
    <xf numFmtId="0" fontId="23" fillId="3" borderId="97" xfId="0" applyFont="1" applyFill="1" applyBorder="1" applyAlignment="1">
      <alignment horizontal="center" vertical="center"/>
    </xf>
    <xf numFmtId="0" fontId="23" fillId="0" borderId="92" xfId="0" applyFont="1" applyFill="1" applyBorder="1" applyAlignment="1">
      <alignment vertical="center"/>
    </xf>
    <xf numFmtId="0" fontId="22" fillId="0" borderId="91" xfId="0" applyFont="1" applyBorder="1" applyAlignment="1">
      <alignment vertical="center"/>
    </xf>
    <xf numFmtId="0" fontId="23" fillId="3" borderId="93" xfId="0" applyFont="1" applyFill="1" applyBorder="1" applyAlignment="1">
      <alignment horizontal="center" vertical="center"/>
    </xf>
    <xf numFmtId="0" fontId="23" fillId="0" borderId="93" xfId="0" applyFont="1" applyBorder="1" applyAlignment="1">
      <alignment vertical="center"/>
    </xf>
    <xf numFmtId="0" fontId="23" fillId="0" borderId="97" xfId="0" applyFont="1" applyBorder="1" applyAlignment="1">
      <alignment vertical="center"/>
    </xf>
    <xf numFmtId="0" fontId="23" fillId="0" borderId="94" xfId="0" applyFont="1" applyBorder="1" applyAlignment="1">
      <alignment vertical="center"/>
    </xf>
    <xf numFmtId="0" fontId="23" fillId="0" borderId="99" xfId="0" applyFont="1" applyFill="1" applyBorder="1" applyAlignment="1">
      <alignment horizontal="center" vertical="center"/>
    </xf>
    <xf numFmtId="0" fontId="23" fillId="0" borderId="101" xfId="0" applyFont="1" applyBorder="1" applyAlignment="1">
      <alignment horizontal="right" vertical="center"/>
    </xf>
    <xf numFmtId="0" fontId="29" fillId="0" borderId="109" xfId="0" applyFont="1" applyFill="1" applyBorder="1" applyAlignment="1">
      <alignment vertical="center" wrapText="1"/>
    </xf>
    <xf numFmtId="0" fontId="30" fillId="0" borderId="86" xfId="0" applyFont="1" applyBorder="1" applyAlignment="1">
      <alignment horizontal="center" vertical="center" wrapText="1"/>
    </xf>
    <xf numFmtId="0" fontId="30" fillId="0" borderId="80" xfId="0" applyFont="1" applyBorder="1" applyAlignment="1">
      <alignment horizontal="center" vertical="center" wrapText="1"/>
    </xf>
    <xf numFmtId="0" fontId="30" fillId="0" borderId="105" xfId="0" applyFont="1" applyFill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30" fillId="0" borderId="69" xfId="0" applyFont="1" applyBorder="1" applyAlignment="1">
      <alignment horizontal="center" vertical="center" wrapText="1"/>
    </xf>
    <xf numFmtId="0" fontId="30" fillId="0" borderId="70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0" xfId="0" applyFont="1" applyFill="1" applyBorder="1" applyAlignment="1">
      <alignment horizontal="center" wrapText="1"/>
    </xf>
    <xf numFmtId="0" fontId="30" fillId="0" borderId="105" xfId="0" applyFont="1" applyFill="1" applyBorder="1" applyAlignment="1">
      <alignment horizontal="center" wrapText="1"/>
    </xf>
    <xf numFmtId="0" fontId="30" fillId="0" borderId="84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0" xfId="0" applyFont="1" applyFill="1" applyBorder="1" applyAlignment="1">
      <alignment horizontal="center" wrapText="1"/>
    </xf>
    <xf numFmtId="164" fontId="30" fillId="0" borderId="105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0" xfId="0" applyFont="1" applyBorder="1" applyAlignment="1">
      <alignment horizontal="center"/>
    </xf>
    <xf numFmtId="164" fontId="30" fillId="0" borderId="80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0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0" xfId="0" applyNumberFormat="1" applyFont="1" applyFill="1" applyBorder="1" applyAlignment="1">
      <alignment horizontal="center" wrapText="1"/>
    </xf>
    <xf numFmtId="0" fontId="31" fillId="0" borderId="105" xfId="0" applyFont="1" applyFill="1" applyBorder="1" applyAlignment="1">
      <alignment horizontal="center" wrapText="1"/>
    </xf>
    <xf numFmtId="2" fontId="31" fillId="0" borderId="105" xfId="0" applyNumberFormat="1" applyFont="1" applyFill="1" applyBorder="1" applyAlignment="1">
      <alignment wrapText="1"/>
    </xf>
    <xf numFmtId="0" fontId="29" fillId="0" borderId="105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68" xfId="0" applyFont="1" applyBorder="1" applyAlignment="1">
      <alignment horizontal="center" wrapText="1"/>
    </xf>
    <xf numFmtId="0" fontId="30" fillId="0" borderId="69" xfId="0" applyFont="1" applyBorder="1" applyAlignment="1">
      <alignment horizontal="center" wrapText="1"/>
    </xf>
    <xf numFmtId="1" fontId="30" fillId="0" borderId="80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1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1" xfId="0" applyNumberFormat="1" applyFont="1" applyFill="1" applyBorder="1" applyAlignment="1">
      <alignment horizontal="center" wrapText="1"/>
    </xf>
    <xf numFmtId="0" fontId="30" fillId="0" borderId="80" xfId="0" applyFont="1" applyFill="1" applyBorder="1" applyAlignment="1">
      <alignment horizontal="center" vertical="center" wrapText="1"/>
    </xf>
    <xf numFmtId="0" fontId="30" fillId="0" borderId="116" xfId="0" applyFont="1" applyFill="1" applyBorder="1" applyAlignment="1">
      <alignment horizontal="center"/>
    </xf>
    <xf numFmtId="2" fontId="30" fillId="3" borderId="80" xfId="0" applyNumberFormat="1" applyFont="1" applyFill="1" applyBorder="1" applyAlignment="1">
      <alignment horizontal="center" wrapText="1"/>
    </xf>
    <xf numFmtId="0" fontId="30" fillId="0" borderId="85" xfId="0" applyFont="1" applyBorder="1" applyAlignment="1">
      <alignment wrapText="1"/>
    </xf>
    <xf numFmtId="2" fontId="30" fillId="0" borderId="85" xfId="0" applyNumberFormat="1" applyFont="1" applyFill="1" applyBorder="1" applyAlignment="1">
      <alignment horizontal="center" wrapText="1"/>
    </xf>
    <xf numFmtId="0" fontId="30" fillId="0" borderId="94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1" xfId="0" applyFont="1" applyBorder="1" applyAlignment="1">
      <alignment wrapText="1"/>
    </xf>
    <xf numFmtId="0" fontId="30" fillId="6" borderId="94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1" xfId="0" applyNumberFormat="1" applyFont="1" applyFill="1" applyBorder="1" applyAlignment="1">
      <alignment horizontal="center" wrapText="1"/>
    </xf>
    <xf numFmtId="0" fontId="21" fillId="0" borderId="94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1" xfId="0" applyFont="1" applyBorder="1" applyAlignment="1">
      <alignment wrapText="1"/>
    </xf>
    <xf numFmtId="0" fontId="23" fillId="6" borderId="94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0" xfId="0" applyFont="1" applyBorder="1" applyAlignment="1">
      <alignment horizontal="center" wrapText="1"/>
    </xf>
    <xf numFmtId="0" fontId="29" fillId="0" borderId="125" xfId="0" applyFont="1" applyBorder="1" applyAlignment="1">
      <alignment horizontal="center" wrapText="1"/>
    </xf>
    <xf numFmtId="0" fontId="29" fillId="0" borderId="69" xfId="0" applyFont="1" applyBorder="1" applyAlignment="1">
      <alignment horizontal="center" wrapText="1"/>
    </xf>
    <xf numFmtId="0" fontId="29" fillId="0" borderId="92" xfId="0" applyFont="1" applyBorder="1" applyAlignment="1">
      <alignment horizontal="center" wrapText="1"/>
    </xf>
    <xf numFmtId="164" fontId="29" fillId="0" borderId="92" xfId="0" applyNumberFormat="1" applyFont="1" applyBorder="1" applyAlignment="1">
      <alignment horizontal="center" wrapText="1"/>
    </xf>
    <xf numFmtId="0" fontId="21" fillId="0" borderId="92" xfId="0" applyFont="1" applyBorder="1"/>
    <xf numFmtId="0" fontId="35" fillId="6" borderId="93" xfId="0" applyFont="1" applyFill="1" applyBorder="1" applyAlignment="1">
      <alignment vertical="center"/>
    </xf>
    <xf numFmtId="0" fontId="23" fillId="6" borderId="87" xfId="0" applyFont="1" applyFill="1" applyBorder="1" applyAlignment="1">
      <alignment vertical="center"/>
    </xf>
    <xf numFmtId="1" fontId="23" fillId="3" borderId="88" xfId="0" applyNumberFormat="1" applyFont="1" applyFill="1" applyBorder="1" applyAlignment="1">
      <alignment horizontal="center" vertical="center"/>
    </xf>
    <xf numFmtId="0" fontId="23" fillId="0" borderId="89" xfId="0" applyFont="1" applyBorder="1" applyAlignment="1">
      <alignment wrapText="1"/>
    </xf>
    <xf numFmtId="0" fontId="23" fillId="0" borderId="51" xfId="0" applyFont="1" applyBorder="1"/>
    <xf numFmtId="1" fontId="23" fillId="0" borderId="89" xfId="0" applyNumberFormat="1" applyFont="1" applyBorder="1" applyAlignment="1">
      <alignment horizontal="center"/>
    </xf>
    <xf numFmtId="0" fontId="23" fillId="6" borderId="95" xfId="0" applyFont="1" applyFill="1" applyBorder="1" applyAlignment="1">
      <alignment horizontal="right" vertical="center"/>
    </xf>
    <xf numFmtId="1" fontId="23" fillId="3" borderId="96" xfId="0" applyNumberFormat="1" applyFont="1" applyFill="1" applyBorder="1" applyAlignment="1">
      <alignment horizontal="center" vertical="center"/>
    </xf>
    <xf numFmtId="0" fontId="23" fillId="0" borderId="97" xfId="0" applyFont="1" applyBorder="1" applyAlignment="1">
      <alignment wrapText="1"/>
    </xf>
    <xf numFmtId="1" fontId="23" fillId="0" borderId="127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98" xfId="0" applyFont="1" applyBorder="1"/>
    <xf numFmtId="0" fontId="23" fillId="6" borderId="96" xfId="0" applyFont="1" applyFill="1" applyBorder="1" applyAlignment="1">
      <alignment horizontal="right" vertical="center"/>
    </xf>
    <xf numFmtId="0" fontId="23" fillId="0" borderId="114" xfId="0" applyFont="1" applyBorder="1"/>
    <xf numFmtId="0" fontId="21" fillId="0" borderId="95" xfId="0" applyFont="1" applyBorder="1" applyAlignment="1"/>
    <xf numFmtId="0" fontId="21" fillId="0" borderId="96" xfId="0" applyFont="1" applyBorder="1" applyAlignment="1"/>
    <xf numFmtId="0" fontId="21" fillId="0" borderId="97" xfId="0" applyFont="1" applyBorder="1"/>
    <xf numFmtId="0" fontId="0" fillId="0" borderId="87" xfId="0" applyBorder="1" applyAlignment="1">
      <alignment vertical="center"/>
    </xf>
    <xf numFmtId="0" fontId="0" fillId="0" borderId="88" xfId="0" applyBorder="1" applyAlignment="1">
      <alignment vertical="center"/>
    </xf>
    <xf numFmtId="0" fontId="0" fillId="0" borderId="88" xfId="0" applyBorder="1"/>
    <xf numFmtId="0" fontId="0" fillId="0" borderId="89" xfId="0" applyBorder="1"/>
    <xf numFmtId="0" fontId="38" fillId="0" borderId="88" xfId="0" applyFont="1" applyBorder="1"/>
    <xf numFmtId="0" fontId="0" fillId="0" borderId="94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1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94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96" xfId="0" applyBorder="1" applyAlignment="1">
      <alignment vertical="center"/>
    </xf>
    <xf numFmtId="0" fontId="0" fillId="0" borderId="96" xfId="0" applyBorder="1"/>
    <xf numFmtId="0" fontId="0" fillId="0" borderId="9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95" xfId="0" applyBorder="1" applyAlignment="1">
      <alignment vertical="center"/>
    </xf>
    <xf numFmtId="0" fontId="0" fillId="0" borderId="96" xfId="0" applyBorder="1" applyAlignment="1">
      <alignment vertical="center" wrapText="1"/>
    </xf>
    <xf numFmtId="0" fontId="0" fillId="0" borderId="96" xfId="0" applyBorder="1" applyAlignment="1">
      <alignment wrapText="1"/>
    </xf>
    <xf numFmtId="0" fontId="45" fillId="3" borderId="93" xfId="0" applyFont="1" applyFill="1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44" fillId="3" borderId="93" xfId="0" applyFont="1" applyFill="1" applyBorder="1" applyAlignment="1">
      <alignment horizontal="center" vertical="center"/>
    </xf>
    <xf numFmtId="0" fontId="47" fillId="3" borderId="93" xfId="0" applyFont="1" applyFill="1" applyBorder="1" applyAlignment="1">
      <alignment horizontal="center"/>
    </xf>
    <xf numFmtId="0" fontId="44" fillId="3" borderId="97" xfId="0" applyFont="1" applyFill="1" applyBorder="1" applyAlignment="1">
      <alignment horizontal="center" vertical="center"/>
    </xf>
    <xf numFmtId="0" fontId="47" fillId="3" borderId="51" xfId="0" applyFont="1" applyFill="1" applyBorder="1" applyAlignment="1">
      <alignment horizontal="center"/>
    </xf>
    <xf numFmtId="0" fontId="45" fillId="3" borderId="97" xfId="0" applyFont="1" applyFill="1" applyBorder="1" applyAlignment="1">
      <alignment horizontal="center" vertical="center"/>
    </xf>
    <xf numFmtId="0" fontId="0" fillId="0" borderId="92" xfId="0" applyFill="1" applyBorder="1" applyAlignment="1">
      <alignment vertical="center"/>
    </xf>
    <xf numFmtId="0" fontId="51" fillId="0" borderId="92" xfId="0" applyFont="1" applyFill="1" applyBorder="1" applyAlignment="1">
      <alignment vertical="center"/>
    </xf>
    <xf numFmtId="0" fontId="46" fillId="0" borderId="113" xfId="0" applyFont="1" applyBorder="1" applyAlignment="1">
      <alignment vertical="center"/>
    </xf>
    <xf numFmtId="0" fontId="23" fillId="0" borderId="113" xfId="0" applyFont="1" applyBorder="1" applyAlignment="1">
      <alignment vertical="center"/>
    </xf>
    <xf numFmtId="0" fontId="51" fillId="0" borderId="95" xfId="0" applyFont="1" applyFill="1" applyBorder="1" applyAlignment="1">
      <alignment vertical="center"/>
    </xf>
    <xf numFmtId="0" fontId="51" fillId="0" borderId="97" xfId="0" applyFont="1" applyBorder="1" applyAlignment="1">
      <alignment vertical="center"/>
    </xf>
    <xf numFmtId="0" fontId="47" fillId="3" borderId="113" xfId="0" applyFont="1" applyFill="1" applyBorder="1" applyAlignment="1">
      <alignment horizontal="center" vertical="center"/>
    </xf>
    <xf numFmtId="0" fontId="46" fillId="0" borderId="113" xfId="0" applyFont="1" applyBorder="1" applyAlignment="1">
      <alignment horizontal="right" vertical="center"/>
    </xf>
    <xf numFmtId="0" fontId="51" fillId="3" borderId="93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96" xfId="0" applyFill="1" applyBorder="1" applyAlignment="1">
      <alignment vertical="center"/>
    </xf>
    <xf numFmtId="0" fontId="50" fillId="0" borderId="96" xfId="0" applyFont="1" applyFill="1" applyBorder="1" applyAlignment="1">
      <alignment horizontal="right" vertical="center"/>
    </xf>
    <xf numFmtId="0" fontId="60" fillId="0" borderId="96" xfId="0" applyFont="1" applyFill="1" applyBorder="1" applyAlignment="1">
      <alignment horizontal="center" vertical="center"/>
    </xf>
    <xf numFmtId="0" fontId="0" fillId="0" borderId="96" xfId="0" applyFill="1" applyBorder="1" applyAlignment="1">
      <alignment horizontal="center"/>
    </xf>
    <xf numFmtId="0" fontId="0" fillId="0" borderId="97" xfId="0" applyBorder="1"/>
    <xf numFmtId="0" fontId="61" fillId="7" borderId="119" xfId="0" applyFont="1" applyFill="1" applyBorder="1" applyAlignment="1">
      <alignment horizontal="centerContinuous" vertical="center"/>
    </xf>
    <xf numFmtId="0" fontId="61" fillId="7" borderId="85" xfId="0" applyFont="1" applyFill="1" applyBorder="1" applyAlignment="1">
      <alignment horizontal="centerContinuous" vertical="center"/>
    </xf>
    <xf numFmtId="0" fontId="61" fillId="7" borderId="84" xfId="0" applyFont="1" applyFill="1" applyBorder="1" applyAlignment="1">
      <alignment horizontal="centerContinuous" vertical="center"/>
    </xf>
    <xf numFmtId="0" fontId="61" fillId="7" borderId="83" xfId="0" applyFont="1" applyFill="1" applyBorder="1" applyAlignment="1">
      <alignment horizontal="centerContinuous" vertical="center"/>
    </xf>
    <xf numFmtId="0" fontId="20" fillId="7" borderId="86" xfId="0" applyFont="1" applyFill="1" applyBorder="1" applyAlignment="1">
      <alignment horizontal="centerContinuous" vertical="center"/>
    </xf>
    <xf numFmtId="0" fontId="21" fillId="7" borderId="86" xfId="0" applyFont="1" applyFill="1" applyBorder="1" applyAlignment="1">
      <alignment horizontal="centerContinuous" vertical="center"/>
    </xf>
    <xf numFmtId="0" fontId="21" fillId="7" borderId="94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0" xfId="0" applyFont="1" applyFill="1" applyBorder="1" applyAlignment="1">
      <alignment horizontal="centerContinuous" vertical="center"/>
    </xf>
    <xf numFmtId="0" fontId="21" fillId="0" borderId="85" xfId="0" applyFont="1" applyBorder="1" applyAlignment="1">
      <alignment horizontal="centerContinuous" vertical="center"/>
    </xf>
    <xf numFmtId="0" fontId="21" fillId="0" borderId="86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0" xfId="0" applyFont="1" applyBorder="1" applyAlignment="1">
      <alignment horizontal="centerContinuous" vertical="center"/>
    </xf>
    <xf numFmtId="0" fontId="21" fillId="0" borderId="125" xfId="0" applyFont="1" applyBorder="1" applyAlignment="1">
      <alignment horizontal="centerContinuous" vertical="center"/>
    </xf>
    <xf numFmtId="0" fontId="21" fillId="0" borderId="69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96" xfId="0" applyFont="1" applyFill="1" applyBorder="1" applyAlignment="1">
      <alignment horizontal="center" wrapText="1"/>
    </xf>
    <xf numFmtId="2" fontId="67" fillId="0" borderId="96" xfId="0" applyNumberFormat="1" applyFont="1" applyFill="1" applyBorder="1" applyAlignment="1">
      <alignment horizontal="center" wrapText="1"/>
    </xf>
    <xf numFmtId="0" fontId="21" fillId="0" borderId="96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96" xfId="0" applyFont="1" applyFill="1" applyBorder="1" applyAlignment="1">
      <alignment horizontal="center" wrapText="1"/>
    </xf>
    <xf numFmtId="0" fontId="21" fillId="0" borderId="96" xfId="0" applyFont="1" applyFill="1" applyBorder="1" applyAlignment="1">
      <alignment horizontal="center" wrapText="1"/>
    </xf>
    <xf numFmtId="0" fontId="21" fillId="0" borderId="86" xfId="0" applyFont="1" applyBorder="1" applyAlignment="1">
      <alignment horizontal="center"/>
    </xf>
    <xf numFmtId="0" fontId="21" fillId="0" borderId="111" xfId="0" applyFont="1" applyFill="1" applyBorder="1" applyAlignment="1">
      <alignment horizontal="center" wrapText="1"/>
    </xf>
    <xf numFmtId="0" fontId="67" fillId="0" borderId="51" xfId="0" applyFont="1" applyFill="1" applyBorder="1" applyAlignment="1"/>
    <xf numFmtId="9" fontId="44" fillId="0" borderId="86" xfId="0" applyNumberFormat="1" applyFont="1" applyBorder="1" applyAlignment="1">
      <alignment vertical="center"/>
    </xf>
    <xf numFmtId="1" fontId="21" fillId="0" borderId="80" xfId="0" applyNumberFormat="1" applyFont="1" applyBorder="1" applyAlignment="1">
      <alignment horizontal="center" vertical="center"/>
    </xf>
    <xf numFmtId="1" fontId="21" fillId="0" borderId="116" xfId="0" applyNumberFormat="1" applyFont="1" applyFill="1" applyBorder="1" applyAlignment="1">
      <alignment horizontal="center" vertical="center" wrapText="1"/>
    </xf>
    <xf numFmtId="0" fontId="21" fillId="0" borderId="80" xfId="0" applyFont="1" applyFill="1" applyBorder="1" applyAlignment="1">
      <alignment horizontal="center" vertical="center" wrapText="1"/>
    </xf>
    <xf numFmtId="2" fontId="21" fillId="0" borderId="80" xfId="0" applyNumberFormat="1" applyFont="1" applyFill="1" applyBorder="1" applyAlignment="1">
      <alignment horizontal="center" vertical="center" wrapText="1"/>
    </xf>
    <xf numFmtId="2" fontId="21" fillId="0" borderId="69" xfId="0" applyNumberFormat="1" applyFont="1" applyBorder="1" applyAlignment="1">
      <alignment horizontal="center" vertical="center"/>
    </xf>
    <xf numFmtId="2" fontId="21" fillId="0" borderId="70" xfId="0" applyNumberFormat="1" applyFont="1" applyFill="1" applyBorder="1" applyAlignment="1">
      <alignment horizontal="center" vertical="center" wrapText="1"/>
    </xf>
    <xf numFmtId="2" fontId="21" fillId="0" borderId="69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1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94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94" xfId="0" applyFont="1" applyFill="1" applyBorder="1" applyAlignment="1">
      <alignment horizontal="center" vertical="center"/>
    </xf>
    <xf numFmtId="0" fontId="0" fillId="0" borderId="94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83" xfId="0" applyNumberFormat="1" applyBorder="1" applyAlignment="1">
      <alignment horizontal="center"/>
    </xf>
    <xf numFmtId="2" fontId="0" fillId="0" borderId="84" xfId="0" applyNumberFormat="1" applyBorder="1" applyAlignment="1">
      <alignment horizontal="center"/>
    </xf>
    <xf numFmtId="0" fontId="50" fillId="6" borderId="94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86" xfId="0" applyFont="1" applyFill="1" applyBorder="1" applyAlignment="1">
      <alignment horizontal="center" wrapText="1"/>
    </xf>
    <xf numFmtId="2" fontId="71" fillId="0" borderId="85" xfId="0" applyNumberFormat="1" applyFont="1" applyFill="1" applyBorder="1" applyAlignment="1">
      <alignment horizontal="center" vertical="center"/>
    </xf>
    <xf numFmtId="0" fontId="0" fillId="0" borderId="84" xfId="0" applyFill="1" applyBorder="1" applyAlignment="1">
      <alignment wrapText="1"/>
    </xf>
    <xf numFmtId="0" fontId="51" fillId="0" borderId="80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34" xfId="0" applyNumberFormat="1" applyFont="1" applyFill="1" applyBorder="1" applyAlignment="1">
      <alignment horizontal="center" wrapText="1"/>
    </xf>
    <xf numFmtId="0" fontId="0" fillId="0" borderId="79" xfId="0" applyFill="1" applyBorder="1"/>
    <xf numFmtId="0" fontId="73" fillId="0" borderId="135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1" xfId="0" applyFont="1" applyFill="1" applyBorder="1" applyAlignment="1">
      <alignment vertical="center"/>
    </xf>
    <xf numFmtId="0" fontId="51" fillId="0" borderId="137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38" xfId="0" applyFont="1" applyFill="1" applyBorder="1" applyAlignment="1">
      <alignment horizontal="right" vertical="center"/>
    </xf>
    <xf numFmtId="0" fontId="0" fillId="0" borderId="85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78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94" xfId="0" applyBorder="1"/>
    <xf numFmtId="0" fontId="0" fillId="0" borderId="96" xfId="0" applyBorder="1" applyAlignment="1"/>
    <xf numFmtId="165" fontId="23" fillId="0" borderId="91" xfId="0" applyNumberFormat="1" applyFont="1" applyBorder="1" applyAlignment="1">
      <alignment vertical="center"/>
    </xf>
    <xf numFmtId="2" fontId="23" fillId="0" borderId="91" xfId="0" applyNumberFormat="1" applyFont="1" applyBorder="1"/>
    <xf numFmtId="165" fontId="23" fillId="0" borderId="95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0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64" xfId="0" applyBorder="1"/>
    <xf numFmtId="0" fontId="0" fillId="0" borderId="132" xfId="0" applyBorder="1"/>
    <xf numFmtId="0" fontId="0" fillId="0" borderId="133" xfId="0" applyBorder="1"/>
    <xf numFmtId="164" fontId="0" fillId="0" borderId="0" xfId="0" applyNumberFormat="1"/>
    <xf numFmtId="165" fontId="23" fillId="0" borderId="113" xfId="0" applyNumberFormat="1" applyFont="1" applyBorder="1" applyAlignment="1">
      <alignment horizontal="center" vertical="center"/>
    </xf>
    <xf numFmtId="2" fontId="23" fillId="0" borderId="91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3" xfId="0" applyNumberFormat="1" applyBorder="1" applyAlignment="1">
      <alignment horizontal="center"/>
    </xf>
    <xf numFmtId="0" fontId="0" fillId="0" borderId="78" xfId="0" applyBorder="1" applyAlignment="1">
      <alignment wrapText="1"/>
    </xf>
    <xf numFmtId="0" fontId="0" fillId="0" borderId="163" xfId="0" applyBorder="1" applyAlignment="1">
      <alignment wrapText="1"/>
    </xf>
    <xf numFmtId="0" fontId="0" fillId="0" borderId="154" xfId="0" applyBorder="1" applyAlignment="1">
      <alignment wrapText="1"/>
    </xf>
    <xf numFmtId="0" fontId="0" fillId="0" borderId="155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0" xfId="0" applyNumberFormat="1" applyFont="1" applyBorder="1" applyAlignment="1">
      <alignment horizontal="center"/>
    </xf>
    <xf numFmtId="0" fontId="82" fillId="0" borderId="0" xfId="0" applyFont="1"/>
    <xf numFmtId="0" fontId="82" fillId="0" borderId="80" xfId="0" applyFont="1" applyBorder="1" applyAlignment="1">
      <alignment horizontal="center"/>
    </xf>
    <xf numFmtId="0" fontId="82" fillId="0" borderId="80" xfId="0" applyFont="1" applyBorder="1"/>
    <xf numFmtId="0" fontId="82" fillId="0" borderId="80" xfId="0" applyFont="1" applyBorder="1" applyAlignment="1"/>
    <xf numFmtId="0" fontId="84" fillId="0" borderId="137" xfId="0" applyFont="1" applyBorder="1"/>
    <xf numFmtId="0" fontId="81" fillId="0" borderId="138" xfId="0" applyFont="1" applyBorder="1"/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138" xfId="0" applyFont="1" applyBorder="1"/>
    <xf numFmtId="0" fontId="82" fillId="0" borderId="85" xfId="0" applyFont="1" applyBorder="1"/>
    <xf numFmtId="0" fontId="82" fillId="0" borderId="0" xfId="0" applyFont="1" applyBorder="1"/>
    <xf numFmtId="0" fontId="90" fillId="0" borderId="76" xfId="0" applyFont="1" applyBorder="1" applyAlignment="1">
      <alignment vertical="center"/>
    </xf>
    <xf numFmtId="0" fontId="90" fillId="0" borderId="77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54" xfId="0" applyFont="1" applyBorder="1" applyAlignment="1">
      <alignment horizontal="centerContinuous" vertical="center"/>
    </xf>
    <xf numFmtId="0" fontId="95" fillId="0" borderId="79" xfId="0" applyFont="1" applyBorder="1" applyAlignment="1">
      <alignment horizontal="centerContinuous" vertical="center"/>
    </xf>
    <xf numFmtId="0" fontId="95" fillId="0" borderId="155" xfId="0" applyFont="1" applyBorder="1" applyAlignment="1">
      <alignment horizontal="centerContinuous" vertical="center"/>
    </xf>
    <xf numFmtId="0" fontId="97" fillId="9" borderId="76" xfId="0" applyFont="1" applyFill="1" applyBorder="1" applyAlignment="1">
      <alignment horizontal="centerContinuous" vertical="center"/>
    </xf>
    <xf numFmtId="0" fontId="97" fillId="9" borderId="77" xfId="0" applyFont="1" applyFill="1" applyBorder="1" applyAlignment="1">
      <alignment horizontal="centerContinuous" vertical="center"/>
    </xf>
    <xf numFmtId="0" fontId="97" fillId="9" borderId="139" xfId="0" applyFont="1" applyFill="1" applyBorder="1" applyAlignment="1">
      <alignment horizontal="centerContinuous" vertical="center"/>
    </xf>
    <xf numFmtId="0" fontId="93" fillId="9" borderId="146" xfId="0" applyFont="1" applyFill="1" applyBorder="1" applyAlignment="1">
      <alignment horizontal="centerContinuous" vertical="center"/>
    </xf>
    <xf numFmtId="0" fontId="93" fillId="9" borderId="147" xfId="0" applyFont="1" applyFill="1" applyBorder="1" applyAlignment="1">
      <alignment horizontal="centerContinuous" vertical="center"/>
    </xf>
    <xf numFmtId="0" fontId="93" fillId="9" borderId="150" xfId="0" applyFont="1" applyFill="1" applyBorder="1" applyAlignment="1">
      <alignment horizontal="centerContinuous" vertical="center"/>
    </xf>
    <xf numFmtId="0" fontId="98" fillId="0" borderId="156" xfId="0" applyFont="1" applyBorder="1" applyAlignment="1">
      <alignment horizontal="centerContinuous" vertical="center"/>
    </xf>
    <xf numFmtId="0" fontId="98" fillId="0" borderId="157" xfId="0" applyFont="1" applyBorder="1" applyAlignment="1">
      <alignment horizontal="centerContinuous" vertical="center"/>
    </xf>
    <xf numFmtId="0" fontId="98" fillId="0" borderId="141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43" xfId="0" applyFont="1" applyBorder="1" applyAlignment="1">
      <alignment horizontal="centerContinuous" vertical="center"/>
    </xf>
    <xf numFmtId="0" fontId="98" fillId="0" borderId="144" xfId="0" applyFont="1" applyBorder="1" applyAlignment="1">
      <alignment horizontal="centerContinuous" vertical="center"/>
    </xf>
    <xf numFmtId="0" fontId="23" fillId="0" borderId="143" xfId="0" applyFont="1" applyBorder="1" applyAlignment="1">
      <alignment horizontal="centerContinuous" vertical="center"/>
    </xf>
    <xf numFmtId="0" fontId="23" fillId="0" borderId="144" xfId="0" applyFont="1" applyBorder="1" applyAlignment="1">
      <alignment horizontal="centerContinuous" vertical="center"/>
    </xf>
    <xf numFmtId="0" fontId="23" fillId="0" borderId="162" xfId="0" applyFont="1" applyBorder="1" applyAlignment="1">
      <alignment horizontal="centerContinuous" vertical="center"/>
    </xf>
    <xf numFmtId="0" fontId="98" fillId="0" borderId="78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63" xfId="0" applyFont="1" applyBorder="1" applyAlignment="1">
      <alignment vertical="center"/>
    </xf>
    <xf numFmtId="0" fontId="82" fillId="0" borderId="78" xfId="0" applyFont="1" applyBorder="1"/>
    <xf numFmtId="0" fontId="101" fillId="9" borderId="164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63" xfId="0" applyFont="1" applyBorder="1" applyAlignment="1">
      <alignment horizontal="centerContinuous" vertical="center"/>
    </xf>
    <xf numFmtId="0" fontId="38" fillId="0" borderId="78" xfId="0" applyFont="1" applyBorder="1" applyAlignment="1">
      <alignment vertical="center"/>
    </xf>
    <xf numFmtId="0" fontId="101" fillId="9" borderId="133" xfId="0" applyFont="1" applyFill="1" applyBorder="1" applyAlignment="1">
      <alignment horizontal="center" vertical="center"/>
    </xf>
    <xf numFmtId="0" fontId="82" fillId="0" borderId="163" xfId="0" applyFont="1" applyBorder="1"/>
    <xf numFmtId="0" fontId="44" fillId="9" borderId="147" xfId="0" applyFont="1" applyFill="1" applyBorder="1" applyAlignment="1">
      <alignment horizontal="centerContinuous" vertical="center"/>
    </xf>
    <xf numFmtId="0" fontId="44" fillId="9" borderId="150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56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44" fillId="9" borderId="159" xfId="0" applyFont="1" applyFill="1" applyBorder="1" applyAlignment="1">
      <alignment horizontal="centerContinuous" vertical="center"/>
    </xf>
    <xf numFmtId="0" fontId="21" fillId="9" borderId="168" xfId="0" applyFont="1" applyFill="1" applyBorder="1" applyAlignment="1">
      <alignment horizontal="centerContinuous" vertical="center"/>
    </xf>
    <xf numFmtId="0" fontId="21" fillId="9" borderId="167" xfId="0" applyFont="1" applyFill="1" applyBorder="1" applyAlignment="1">
      <alignment horizontal="centerContinuous" vertical="center"/>
    </xf>
    <xf numFmtId="0" fontId="21" fillId="9" borderId="77" xfId="0" applyFont="1" applyFill="1" applyBorder="1" applyAlignment="1">
      <alignment horizontal="centerContinuous" vertical="center"/>
    </xf>
    <xf numFmtId="0" fontId="44" fillId="9" borderId="139" xfId="0" applyFont="1" applyFill="1" applyBorder="1" applyAlignment="1">
      <alignment horizontal="centerContinuous" vertical="center"/>
    </xf>
    <xf numFmtId="0" fontId="35" fillId="9" borderId="76" xfId="0" applyFont="1" applyFill="1" applyBorder="1" applyAlignment="1">
      <alignment vertical="center"/>
    </xf>
    <xf numFmtId="0" fontId="35" fillId="9" borderId="77" xfId="0" applyFont="1" applyFill="1" applyBorder="1" applyAlignment="1">
      <alignment vertical="center"/>
    </xf>
    <xf numFmtId="0" fontId="35" fillId="9" borderId="76" xfId="0" applyFont="1" applyFill="1" applyBorder="1" applyAlignment="1">
      <alignment horizontal="centerContinuous" vertical="center"/>
    </xf>
    <xf numFmtId="0" fontId="35" fillId="9" borderId="77" xfId="0" applyFont="1" applyFill="1" applyBorder="1" applyAlignment="1">
      <alignment horizontal="centerContinuous" vertical="center"/>
    </xf>
    <xf numFmtId="0" fontId="35" fillId="9" borderId="167" xfId="0" applyFont="1" applyFill="1" applyBorder="1" applyAlignment="1">
      <alignment horizontal="centerContinuous" vertical="center"/>
    </xf>
    <xf numFmtId="0" fontId="35" fillId="9" borderId="139" xfId="0" applyFont="1" applyFill="1" applyBorder="1" applyAlignment="1">
      <alignment horizontal="centerContinuous" vertical="center"/>
    </xf>
    <xf numFmtId="0" fontId="35" fillId="9" borderId="143" xfId="0" applyFont="1" applyFill="1" applyBorder="1" applyAlignment="1">
      <alignment horizontal="centerContinuous" vertical="center"/>
    </xf>
    <xf numFmtId="0" fontId="35" fillId="9" borderId="144" xfId="0" applyFont="1" applyFill="1" applyBorder="1" applyAlignment="1">
      <alignment horizontal="centerContinuous" vertical="center"/>
    </xf>
    <xf numFmtId="0" fontId="35" fillId="9" borderId="145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69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9" borderId="163" xfId="0" applyFont="1" applyFill="1" applyBorder="1" applyAlignment="1">
      <alignment horizontal="centerContinuous" vertical="center"/>
    </xf>
    <xf numFmtId="0" fontId="35" fillId="0" borderId="141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43" xfId="0" applyFont="1" applyBorder="1" applyAlignment="1">
      <alignment horizontal="centerContinuous" vertical="center"/>
    </xf>
    <xf numFmtId="0" fontId="35" fillId="0" borderId="144" xfId="0" applyFont="1" applyBorder="1" applyAlignment="1">
      <alignment horizontal="left" vertical="center"/>
    </xf>
    <xf numFmtId="0" fontId="35" fillId="0" borderId="144" xfId="0" applyFont="1" applyBorder="1" applyAlignment="1">
      <alignment vertical="center"/>
    </xf>
    <xf numFmtId="0" fontId="44" fillId="9" borderId="164" xfId="0" applyFont="1" applyFill="1" applyBorder="1" applyAlignment="1">
      <alignment horizontal="center"/>
    </xf>
    <xf numFmtId="0" fontId="44" fillId="9" borderId="171" xfId="0" applyFont="1" applyFill="1" applyBorder="1" applyAlignment="1">
      <alignment horizontal="center"/>
    </xf>
    <xf numFmtId="0" fontId="21" fillId="9" borderId="146" xfId="0" applyFont="1" applyFill="1" applyBorder="1" applyAlignment="1">
      <alignment horizontal="centerContinuous"/>
    </xf>
    <xf numFmtId="0" fontId="21" fillId="0" borderId="150" xfId="0" applyFont="1" applyBorder="1" applyAlignment="1">
      <alignment horizontal="centerContinuous"/>
    </xf>
    <xf numFmtId="0" fontId="44" fillId="9" borderId="165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64" xfId="0" applyFont="1" applyFill="1" applyBorder="1" applyAlignment="1">
      <alignment vertical="center"/>
    </xf>
    <xf numFmtId="9" fontId="44" fillId="9" borderId="172" xfId="0" applyNumberFormat="1" applyFont="1" applyFill="1" applyBorder="1" applyAlignment="1">
      <alignment horizontal="center" vertical="center"/>
    </xf>
    <xf numFmtId="9" fontId="44" fillId="9" borderId="173" xfId="0" applyNumberFormat="1" applyFont="1" applyFill="1" applyBorder="1" applyAlignment="1">
      <alignment horizontal="center" vertical="center"/>
    </xf>
    <xf numFmtId="0" fontId="44" fillId="0" borderId="164" xfId="0" applyFont="1" applyBorder="1" applyAlignment="1">
      <alignment vertical="center"/>
    </xf>
    <xf numFmtId="164" fontId="44" fillId="0" borderId="171" xfId="0" applyNumberFormat="1" applyFont="1" applyBorder="1" applyAlignment="1">
      <alignment horizontal="center" vertical="center"/>
    </xf>
    <xf numFmtId="2" fontId="44" fillId="0" borderId="134" xfId="0" applyNumberFormat="1" applyFont="1" applyBorder="1" applyAlignment="1">
      <alignment horizontal="center" vertical="center"/>
    </xf>
    <xf numFmtId="1" fontId="44" fillId="0" borderId="171" xfId="0" applyNumberFormat="1" applyFont="1" applyBorder="1" applyAlignment="1">
      <alignment horizontal="center" vertical="center"/>
    </xf>
    <xf numFmtId="1" fontId="44" fillId="0" borderId="165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1" xfId="0" applyNumberFormat="1" applyFont="1" applyFill="1" applyBorder="1" applyAlignment="1">
      <alignment horizontal="center" vertical="center"/>
    </xf>
    <xf numFmtId="0" fontId="44" fillId="0" borderId="133" xfId="0" applyFont="1" applyBorder="1" applyAlignment="1">
      <alignment vertical="center"/>
    </xf>
    <xf numFmtId="2" fontId="44" fillId="0" borderId="166" xfId="0" applyNumberFormat="1" applyFont="1" applyBorder="1" applyAlignment="1">
      <alignment horizontal="center" vertical="center"/>
    </xf>
    <xf numFmtId="2" fontId="105" fillId="0" borderId="134" xfId="0" applyNumberFormat="1" applyFont="1" applyBorder="1" applyAlignment="1">
      <alignment horizontal="center" vertical="center"/>
    </xf>
    <xf numFmtId="2" fontId="105" fillId="0" borderId="166" xfId="0" applyNumberFormat="1" applyFont="1" applyBorder="1" applyAlignment="1">
      <alignment horizontal="center" vertical="center"/>
    </xf>
    <xf numFmtId="11" fontId="107" fillId="0" borderId="80" xfId="0" applyNumberFormat="1" applyFont="1" applyBorder="1" applyAlignment="1">
      <alignment horizontal="center"/>
    </xf>
    <xf numFmtId="0" fontId="81" fillId="0" borderId="80" xfId="0" applyFont="1" applyBorder="1" applyAlignment="1">
      <alignment horizontal="center"/>
    </xf>
    <xf numFmtId="0" fontId="81" fillId="0" borderId="80" xfId="0" applyFont="1" applyBorder="1"/>
    <xf numFmtId="0" fontId="81" fillId="0" borderId="3" xfId="0" applyFont="1" applyBorder="1"/>
    <xf numFmtId="0" fontId="81" fillId="0" borderId="83" xfId="0" applyFont="1" applyBorder="1" applyAlignment="1">
      <alignment wrapText="1"/>
    </xf>
    <xf numFmtId="0" fontId="81" fillId="0" borderId="84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0" xfId="0" applyNumberFormat="1" applyFont="1" applyBorder="1" applyAlignment="1">
      <alignment horizontal="center"/>
    </xf>
    <xf numFmtId="0" fontId="81" fillId="0" borderId="83" xfId="0" applyFont="1" applyBorder="1" applyAlignment="1"/>
    <xf numFmtId="0" fontId="81" fillId="0" borderId="85" xfId="0" applyFont="1" applyBorder="1" applyAlignment="1"/>
    <xf numFmtId="0" fontId="81" fillId="0" borderId="84" xfId="0" applyFont="1" applyBorder="1" applyAlignment="1"/>
    <xf numFmtId="0" fontId="81" fillId="0" borderId="85" xfId="0" applyFont="1" applyBorder="1"/>
    <xf numFmtId="0" fontId="81" fillId="0" borderId="84" xfId="0" applyFont="1" applyBorder="1"/>
    <xf numFmtId="0" fontId="81" fillId="0" borderId="83" xfId="0" applyFont="1" applyBorder="1"/>
    <xf numFmtId="0" fontId="82" fillId="0" borderId="85" xfId="0" applyFont="1" applyBorder="1" applyAlignment="1">
      <alignment horizontal="center"/>
    </xf>
    <xf numFmtId="0" fontId="81" fillId="0" borderId="84" xfId="0" applyFont="1" applyBorder="1" applyAlignment="1">
      <alignment horizontal="center"/>
    </xf>
    <xf numFmtId="2" fontId="82" fillId="0" borderId="80" xfId="0" applyNumberFormat="1" applyFont="1" applyBorder="1" applyAlignment="1">
      <alignment horizontal="center"/>
    </xf>
    <xf numFmtId="0" fontId="112" fillId="0" borderId="80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0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69" xfId="0" applyNumberFormat="1" applyFont="1" applyBorder="1" applyAlignment="1">
      <alignment horizontal="center" vertical="center"/>
    </xf>
    <xf numFmtId="1" fontId="21" fillId="0" borderId="80" xfId="0" applyNumberFormat="1" applyFont="1" applyBorder="1" applyAlignment="1">
      <alignment horizontal="center" vertical="center"/>
    </xf>
    <xf numFmtId="0" fontId="82" fillId="0" borderId="80" xfId="0" applyFont="1" applyBorder="1" applyAlignment="1">
      <alignment horizontal="center"/>
    </xf>
    <xf numFmtId="2" fontId="31" fillId="3" borderId="80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86" xfId="0" applyNumberFormat="1" applyFont="1" applyFill="1" applyBorder="1" applyAlignment="1">
      <alignment horizontal="center" wrapText="1"/>
    </xf>
    <xf numFmtId="2" fontId="30" fillId="3" borderId="69" xfId="0" applyNumberFormat="1" applyFont="1" applyFill="1" applyBorder="1" applyAlignment="1">
      <alignment horizontal="center"/>
    </xf>
    <xf numFmtId="2" fontId="30" fillId="3" borderId="86" xfId="0" applyNumberFormat="1" applyFont="1" applyFill="1" applyBorder="1" applyAlignment="1">
      <alignment horizontal="center" vertical="center" wrapText="1"/>
    </xf>
    <xf numFmtId="2" fontId="30" fillId="3" borderId="80" xfId="0" applyNumberFormat="1" applyFont="1" applyFill="1" applyBorder="1" applyAlignment="1">
      <alignment horizontal="center" vertical="center" wrapText="1"/>
    </xf>
    <xf numFmtId="164" fontId="23" fillId="0" borderId="86" xfId="0" applyNumberFormat="1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34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139" xfId="0" applyFont="1" applyBorder="1" applyAlignment="1"/>
    <xf numFmtId="14" fontId="0" fillId="0" borderId="163" xfId="0" applyNumberFormat="1" applyFont="1" applyBorder="1" applyAlignment="1">
      <alignment horizontal="left"/>
    </xf>
    <xf numFmtId="0" fontId="7" fillId="0" borderId="163" xfId="0" applyFont="1" applyBorder="1" applyAlignment="1"/>
    <xf numFmtId="0" fontId="0" fillId="0" borderId="78" xfId="0" applyBorder="1"/>
    <xf numFmtId="0" fontId="1" fillId="0" borderId="0" xfId="0" applyFont="1" applyBorder="1" applyAlignment="1"/>
    <xf numFmtId="0" fontId="1" fillId="0" borderId="78" xfId="0" applyFont="1" applyBorder="1" applyAlignment="1"/>
    <xf numFmtId="0" fontId="0" fillId="0" borderId="0" xfId="0" applyFont="1" applyBorder="1" applyAlignment="1"/>
    <xf numFmtId="0" fontId="0" fillId="0" borderId="3" xfId="0" applyFont="1" applyBorder="1" applyAlignment="1">
      <alignment horizontal="center"/>
    </xf>
    <xf numFmtId="0" fontId="0" fillId="0" borderId="80" xfId="0" applyFont="1" applyBorder="1" applyAlignment="1">
      <alignment horizontal="center"/>
    </xf>
    <xf numFmtId="0" fontId="1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32" xfId="0" applyFont="1" applyBorder="1" applyAlignment="1">
      <alignment horizontal="center"/>
    </xf>
    <xf numFmtId="0" fontId="0" fillId="0" borderId="175" xfId="0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2" fontId="0" fillId="0" borderId="80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32" xfId="0" applyNumberFormat="1" applyFont="1" applyBorder="1" applyAlignment="1">
      <alignment horizontal="center"/>
    </xf>
    <xf numFmtId="2" fontId="0" fillId="0" borderId="175" xfId="0" applyNumberFormat="1" applyFont="1" applyBorder="1" applyAlignment="1">
      <alignment horizontal="center"/>
    </xf>
    <xf numFmtId="2" fontId="0" fillId="0" borderId="162" xfId="0" applyNumberFormat="1" applyFont="1" applyBorder="1" applyAlignment="1">
      <alignment horizontal="center"/>
    </xf>
    <xf numFmtId="2" fontId="0" fillId="0" borderId="134" xfId="0" applyNumberFormat="1" applyFont="1" applyBorder="1" applyAlignment="1">
      <alignment horizontal="center"/>
    </xf>
    <xf numFmtId="164" fontId="1" fillId="0" borderId="161" xfId="0" applyNumberFormat="1" applyFont="1" applyBorder="1" applyAlignment="1">
      <alignment horizontal="center"/>
    </xf>
    <xf numFmtId="2" fontId="0" fillId="0" borderId="133" xfId="0" applyNumberFormat="1" applyFont="1" applyBorder="1" applyAlignment="1">
      <alignment horizontal="center"/>
    </xf>
    <xf numFmtId="2" fontId="0" fillId="0" borderId="166" xfId="0" applyNumberFormat="1" applyFont="1" applyBorder="1" applyAlignment="1">
      <alignment horizontal="center"/>
    </xf>
    <xf numFmtId="0" fontId="16" fillId="0" borderId="0" xfId="0" applyFont="1"/>
    <xf numFmtId="0" fontId="0" fillId="5" borderId="78" xfId="0" applyFill="1" applyBorder="1"/>
    <xf numFmtId="0" fontId="0" fillId="5" borderId="176" xfId="0" applyFill="1" applyBorder="1"/>
    <xf numFmtId="0" fontId="0" fillId="5" borderId="0" xfId="0" applyFill="1" applyBorder="1"/>
    <xf numFmtId="0" fontId="0" fillId="5" borderId="163" xfId="0" applyFill="1" applyBorder="1"/>
    <xf numFmtId="0" fontId="113" fillId="0" borderId="0" xfId="0" applyFont="1"/>
    <xf numFmtId="0" fontId="16" fillId="11" borderId="0" xfId="0" applyFont="1" applyFill="1"/>
    <xf numFmtId="0" fontId="1" fillId="5" borderId="0" xfId="0" applyFont="1" applyFill="1" applyBorder="1" applyAlignment="1">
      <alignment horizontal="right"/>
    </xf>
    <xf numFmtId="0" fontId="1" fillId="5" borderId="163" xfId="0" applyFont="1" applyFill="1" applyBorder="1" applyAlignment="1">
      <alignment horizontal="center"/>
    </xf>
    <xf numFmtId="2" fontId="3" fillId="5" borderId="163" xfId="0" applyNumberFormat="1" applyFont="1" applyFill="1" applyBorder="1" applyAlignment="1">
      <alignment horizontal="center"/>
    </xf>
    <xf numFmtId="164" fontId="1" fillId="5" borderId="163" xfId="0" applyNumberFormat="1" applyFont="1" applyFill="1" applyBorder="1" applyAlignment="1">
      <alignment horizontal="center"/>
    </xf>
    <xf numFmtId="0" fontId="0" fillId="5" borderId="154" xfId="0" applyFill="1" applyBorder="1"/>
    <xf numFmtId="0" fontId="0" fillId="5" borderId="79" xfId="0" applyFill="1" applyBorder="1"/>
    <xf numFmtId="0" fontId="0" fillId="5" borderId="155" xfId="0" applyFill="1" applyBorder="1"/>
    <xf numFmtId="164" fontId="101" fillId="0" borderId="80" xfId="0" applyNumberFormat="1" applyFont="1" applyBorder="1" applyAlignment="1">
      <alignment vertical="center"/>
    </xf>
    <xf numFmtId="2" fontId="101" fillId="0" borderId="80" xfId="0" applyNumberFormat="1" applyFont="1" applyBorder="1" applyAlignment="1">
      <alignment vertical="center"/>
    </xf>
    <xf numFmtId="165" fontId="101" fillId="0" borderId="80" xfId="0" applyNumberFormat="1" applyFont="1" applyBorder="1" applyAlignment="1">
      <alignment vertical="center"/>
    </xf>
    <xf numFmtId="0" fontId="115" fillId="0" borderId="80" xfId="0" applyFont="1" applyBorder="1" applyAlignment="1">
      <alignment vertical="center"/>
    </xf>
    <xf numFmtId="0" fontId="115" fillId="0" borderId="80" xfId="0" applyFont="1" applyBorder="1" applyAlignment="1">
      <alignment horizontal="right" vertical="center"/>
    </xf>
    <xf numFmtId="164" fontId="101" fillId="0" borderId="86" xfId="0" applyNumberFormat="1" applyFont="1" applyBorder="1" applyAlignment="1">
      <alignment vertical="center"/>
    </xf>
    <xf numFmtId="0" fontId="115" fillId="0" borderId="86" xfId="0" applyFont="1" applyBorder="1" applyAlignment="1">
      <alignment vertical="center"/>
    </xf>
    <xf numFmtId="0" fontId="5" fillId="0" borderId="184" xfId="0" applyFont="1" applyFill="1" applyBorder="1" applyAlignment="1">
      <alignment horizontal="center" vertical="center" wrapText="1"/>
    </xf>
    <xf numFmtId="0" fontId="5" fillId="0" borderId="185" xfId="0" applyFont="1" applyFill="1" applyBorder="1" applyAlignment="1">
      <alignment horizontal="center" vertical="center" wrapText="1"/>
    </xf>
    <xf numFmtId="2" fontId="5" fillId="0" borderId="186" xfId="0" applyNumberFormat="1" applyFont="1" applyFill="1" applyBorder="1" applyAlignment="1">
      <alignment horizontal="center" vertical="center" wrapText="1"/>
    </xf>
    <xf numFmtId="0" fontId="1" fillId="7" borderId="84" xfId="0" applyFont="1" applyFill="1" applyBorder="1" applyAlignment="1">
      <alignment horizontal="center" vertical="center"/>
    </xf>
    <xf numFmtId="0" fontId="1" fillId="7" borderId="86" xfId="0" applyFont="1" applyFill="1" applyBorder="1" applyAlignment="1">
      <alignment horizontal="center" vertical="center"/>
    </xf>
    <xf numFmtId="0" fontId="1" fillId="7" borderId="191" xfId="0" applyFont="1" applyFill="1" applyBorder="1" applyAlignment="1">
      <alignment horizontal="center" vertical="center"/>
    </xf>
    <xf numFmtId="0" fontId="102" fillId="9" borderId="167" xfId="0" applyFont="1" applyFill="1" applyBorder="1" applyAlignment="1">
      <alignment horizontal="center" wrapText="1"/>
    </xf>
    <xf numFmtId="0" fontId="102" fillId="9" borderId="170" xfId="0" applyFont="1" applyFill="1" applyBorder="1" applyAlignment="1">
      <alignment horizontal="center" wrapText="1"/>
    </xf>
    <xf numFmtId="164" fontId="93" fillId="0" borderId="1" xfId="0" applyNumberFormat="1" applyFont="1" applyBorder="1" applyAlignment="1">
      <alignment horizontal="center" vertical="center"/>
    </xf>
    <xf numFmtId="164" fontId="38" fillId="0" borderId="2" xfId="0" applyNumberFormat="1" applyFont="1" applyBorder="1" applyAlignment="1">
      <alignment horizontal="center" vertical="center"/>
    </xf>
    <xf numFmtId="164" fontId="38" fillId="0" borderId="142" xfId="0" applyNumberFormat="1" applyFont="1" applyBorder="1" applyAlignment="1">
      <alignment horizontal="center" vertical="center"/>
    </xf>
    <xf numFmtId="0" fontId="23" fillId="0" borderId="141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2" xfId="0" applyFont="1" applyBorder="1" applyAlignment="1">
      <alignment horizontal="center" vertical="center"/>
    </xf>
    <xf numFmtId="0" fontId="41" fillId="0" borderId="156" xfId="0" applyFont="1" applyBorder="1" applyAlignment="1">
      <alignment horizontal="center" vertical="center"/>
    </xf>
    <xf numFmtId="0" fontId="41" fillId="0" borderId="157" xfId="0" applyFont="1" applyBorder="1" applyAlignment="1">
      <alignment horizontal="center" vertical="center"/>
    </xf>
    <xf numFmtId="0" fontId="41" fillId="0" borderId="160" xfId="0" applyFont="1" applyBorder="1" applyAlignment="1">
      <alignment horizontal="center" vertical="center"/>
    </xf>
    <xf numFmtId="164" fontId="41" fillId="0" borderId="158" xfId="0" applyNumberFormat="1" applyFont="1" applyBorder="1" applyAlignment="1">
      <alignment horizontal="center" vertical="center"/>
    </xf>
    <xf numFmtId="164" fontId="41" fillId="0" borderId="157" xfId="0" applyNumberFormat="1" applyFont="1" applyBorder="1" applyAlignment="1">
      <alignment horizontal="center" vertical="center"/>
    </xf>
    <xf numFmtId="164" fontId="41" fillId="0" borderId="159" xfId="0" applyNumberFormat="1" applyFont="1" applyBorder="1" applyAlignment="1">
      <alignment horizontal="center" vertical="center"/>
    </xf>
    <xf numFmtId="0" fontId="93" fillId="0" borderId="146" xfId="0" applyFont="1" applyBorder="1" applyAlignment="1">
      <alignment vertical="center"/>
    </xf>
    <xf numFmtId="0" fontId="86" fillId="0" borderId="147" xfId="0" applyFont="1" applyBorder="1" applyAlignment="1">
      <alignment vertical="center"/>
    </xf>
    <xf numFmtId="0" fontId="86" fillId="0" borderId="148" xfId="0" applyFont="1" applyBorder="1" applyAlignment="1">
      <alignment vertical="center"/>
    </xf>
    <xf numFmtId="0" fontId="93" fillId="0" borderId="149" xfId="0" applyFont="1" applyBorder="1" applyAlignment="1">
      <alignment horizontal="left" vertical="center"/>
    </xf>
    <xf numFmtId="0" fontId="93" fillId="0" borderId="147" xfId="0" applyFont="1" applyBorder="1" applyAlignment="1">
      <alignment horizontal="left" vertical="center"/>
    </xf>
    <xf numFmtId="0" fontId="93" fillId="0" borderId="150" xfId="0" applyFont="1" applyBorder="1" applyAlignment="1">
      <alignment horizontal="left" vertical="center"/>
    </xf>
    <xf numFmtId="0" fontId="94" fillId="0" borderId="151" xfId="0" applyFont="1" applyBorder="1" applyAlignment="1">
      <alignment horizontal="left" vertical="center"/>
    </xf>
    <xf numFmtId="0" fontId="94" fillId="0" borderId="152" xfId="0" applyFont="1" applyBorder="1" applyAlignment="1">
      <alignment horizontal="left" vertical="center"/>
    </xf>
    <xf numFmtId="0" fontId="90" fillId="0" borderId="152" xfId="0" applyFont="1" applyBorder="1" applyAlignment="1">
      <alignment horizontal="left" vertical="center"/>
    </xf>
    <xf numFmtId="0" fontId="90" fillId="0" borderId="153" xfId="0" applyFont="1" applyBorder="1" applyAlignment="1">
      <alignment horizontal="left" vertical="center"/>
    </xf>
    <xf numFmtId="0" fontId="96" fillId="0" borderId="146" xfId="0" applyFont="1" applyBorder="1" applyAlignment="1">
      <alignment horizontal="center" vertical="center"/>
    </xf>
    <xf numFmtId="0" fontId="96" fillId="0" borderId="147" xfId="0" applyFont="1" applyBorder="1" applyAlignment="1">
      <alignment horizontal="center" vertical="center"/>
    </xf>
    <xf numFmtId="0" fontId="96" fillId="0" borderId="150" xfId="0" applyFont="1" applyBorder="1" applyAlignment="1">
      <alignment horizontal="center" vertical="center"/>
    </xf>
    <xf numFmtId="164" fontId="93" fillId="0" borderId="158" xfId="0" applyNumberFormat="1" applyFont="1" applyBorder="1" applyAlignment="1">
      <alignment horizontal="center" vertical="center"/>
    </xf>
    <xf numFmtId="164" fontId="38" fillId="0" borderId="157" xfId="0" applyNumberFormat="1" applyFont="1" applyBorder="1" applyAlignment="1">
      <alignment horizontal="center" vertical="center"/>
    </xf>
    <xf numFmtId="164" fontId="38" fillId="0" borderId="159" xfId="0" applyNumberFormat="1" applyFont="1" applyBorder="1" applyAlignment="1">
      <alignment horizontal="center" vertical="center"/>
    </xf>
    <xf numFmtId="0" fontId="102" fillId="9" borderId="167" xfId="0" applyFont="1" applyFill="1" applyBorder="1" applyAlignment="1">
      <alignment horizontal="center" vertical="center" wrapText="1"/>
    </xf>
    <xf numFmtId="0" fontId="102" fillId="9" borderId="170" xfId="0" applyFont="1" applyFill="1" applyBorder="1" applyAlignment="1">
      <alignment horizontal="center" vertical="center" wrapText="1"/>
    </xf>
    <xf numFmtId="0" fontId="101" fillId="9" borderId="168" xfId="0" applyFont="1" applyFill="1" applyBorder="1" applyAlignment="1">
      <alignment horizontal="center" vertical="center"/>
    </xf>
    <xf numFmtId="0" fontId="101" fillId="9" borderId="139" xfId="0" applyFont="1" applyFill="1" applyBorder="1" applyAlignment="1">
      <alignment horizontal="center" vertical="center"/>
    </xf>
    <xf numFmtId="0" fontId="101" fillId="9" borderId="169" xfId="0" applyFont="1" applyFill="1" applyBorder="1" applyAlignment="1">
      <alignment horizontal="center" vertical="center"/>
    </xf>
    <xf numFmtId="0" fontId="101" fillId="9" borderId="155" xfId="0" applyFont="1" applyFill="1" applyBorder="1" applyAlignment="1">
      <alignment horizontal="center" vertical="center"/>
    </xf>
    <xf numFmtId="0" fontId="23" fillId="0" borderId="156" xfId="0" applyFont="1" applyBorder="1" applyAlignment="1">
      <alignment horizontal="center" vertical="center"/>
    </xf>
    <xf numFmtId="0" fontId="23" fillId="0" borderId="157" xfId="0" applyFont="1" applyBorder="1" applyAlignment="1">
      <alignment horizontal="center" vertical="center"/>
    </xf>
    <xf numFmtId="0" fontId="23" fillId="0" borderId="160" xfId="0" applyFont="1" applyBorder="1" applyAlignment="1">
      <alignment horizontal="center" vertical="center"/>
    </xf>
    <xf numFmtId="0" fontId="99" fillId="0" borderId="146" xfId="0" applyFont="1" applyBorder="1" applyAlignment="1">
      <alignment horizontal="center" vertical="center"/>
    </xf>
    <xf numFmtId="0" fontId="99" fillId="0" borderId="147" xfId="0" applyFont="1" applyBorder="1" applyAlignment="1">
      <alignment horizontal="center" vertical="center"/>
    </xf>
    <xf numFmtId="0" fontId="99" fillId="0" borderId="150" xfId="0" applyFont="1" applyBorder="1" applyAlignment="1">
      <alignment horizontal="center" vertical="center"/>
    </xf>
    <xf numFmtId="0" fontId="92" fillId="0" borderId="143" xfId="0" applyFont="1" applyBorder="1" applyAlignment="1">
      <alignment horizontal="center" vertical="center"/>
    </xf>
    <xf numFmtId="0" fontId="92" fillId="0" borderId="144" xfId="0" applyFont="1" applyBorder="1" applyAlignment="1">
      <alignment horizontal="center" vertical="center"/>
    </xf>
    <xf numFmtId="0" fontId="92" fillId="0" borderId="145" xfId="0" applyFont="1" applyBorder="1" applyAlignment="1">
      <alignment horizontal="center" vertical="center"/>
    </xf>
    <xf numFmtId="0" fontId="91" fillId="0" borderId="77" xfId="0" applyFont="1" applyBorder="1" applyAlignment="1">
      <alignment horizontal="center" vertical="center"/>
    </xf>
    <xf numFmtId="0" fontId="91" fillId="0" borderId="139" xfId="0" applyFont="1" applyBorder="1" applyAlignment="1">
      <alignment horizontal="center" vertical="center"/>
    </xf>
    <xf numFmtId="0" fontId="41" fillId="0" borderId="78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85" xfId="0" applyFont="1" applyBorder="1" applyAlignment="1">
      <alignment horizontal="center" vertical="center"/>
    </xf>
    <xf numFmtId="0" fontId="41" fillId="0" borderId="85" xfId="0" applyFont="1" applyBorder="1" applyAlignment="1">
      <alignment horizontal="left" vertical="center"/>
    </xf>
    <xf numFmtId="0" fontId="41" fillId="0" borderId="140" xfId="0" applyFont="1" applyBorder="1" applyAlignment="1">
      <alignment horizontal="left" vertical="center"/>
    </xf>
    <xf numFmtId="0" fontId="40" fillId="0" borderId="141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2" xfId="0" applyFont="1" applyBorder="1" applyAlignment="1">
      <alignment horizontal="left" vertical="center"/>
    </xf>
    <xf numFmtId="0" fontId="40" fillId="0" borderId="141" xfId="0" applyFont="1" applyBorder="1" applyAlignment="1">
      <alignment vertical="center"/>
    </xf>
    <xf numFmtId="0" fontId="82" fillId="0" borderId="2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2" xfId="0" applyFont="1" applyBorder="1" applyAlignment="1">
      <alignment horizontal="center" vertical="center"/>
    </xf>
    <xf numFmtId="1" fontId="23" fillId="0" borderId="80" xfId="0" applyNumberFormat="1" applyFont="1" applyBorder="1" applyAlignment="1">
      <alignment horizontal="center" vertical="center"/>
    </xf>
    <xf numFmtId="1" fontId="41" fillId="0" borderId="161" xfId="0" applyNumberFormat="1" applyFont="1" applyBorder="1" applyAlignment="1">
      <alignment horizontal="center" vertical="center"/>
    </xf>
    <xf numFmtId="0" fontId="41" fillId="0" borderId="144" xfId="0" applyFont="1" applyBorder="1" applyAlignment="1">
      <alignment horizontal="center" vertical="center"/>
    </xf>
    <xf numFmtId="0" fontId="41" fillId="0" borderId="145" xfId="0" applyFont="1" applyBorder="1" applyAlignment="1">
      <alignment horizontal="center" vertical="center"/>
    </xf>
    <xf numFmtId="1" fontId="23" fillId="0" borderId="86" xfId="0" applyNumberFormat="1" applyFont="1" applyBorder="1" applyAlignment="1">
      <alignment horizontal="center" vertical="center"/>
    </xf>
    <xf numFmtId="164" fontId="93" fillId="0" borderId="161" xfId="0" applyNumberFormat="1" applyFont="1" applyBorder="1" applyAlignment="1">
      <alignment horizontal="center" vertical="center"/>
    </xf>
    <xf numFmtId="0" fontId="38" fillId="0" borderId="144" xfId="0" applyFont="1" applyBorder="1" applyAlignment="1">
      <alignment horizontal="center" vertical="center"/>
    </xf>
    <xf numFmtId="0" fontId="38" fillId="0" borderId="145" xfId="0" applyFont="1" applyBorder="1" applyAlignment="1">
      <alignment horizontal="center" vertical="center"/>
    </xf>
    <xf numFmtId="2" fontId="3" fillId="0" borderId="56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164" fontId="0" fillId="0" borderId="69" xfId="0" applyNumberFormat="1" applyFont="1" applyFill="1" applyBorder="1" applyAlignment="1">
      <alignment horizontal="center" vertical="center" wrapText="1"/>
    </xf>
    <xf numFmtId="0" fontId="82" fillId="0" borderId="80" xfId="0" applyFont="1" applyBorder="1" applyAlignment="1">
      <alignment horizontal="center"/>
    </xf>
    <xf numFmtId="0" fontId="41" fillId="0" borderId="143" xfId="0" applyFont="1" applyBorder="1" applyAlignment="1">
      <alignment horizontal="center" vertical="center"/>
    </xf>
    <xf numFmtId="0" fontId="90" fillId="0" borderId="144" xfId="0" applyFont="1" applyBorder="1" applyAlignment="1">
      <alignment horizontal="center" vertical="center"/>
    </xf>
    <xf numFmtId="0" fontId="90" fillId="0" borderId="162" xfId="0" applyFont="1" applyBorder="1" applyAlignment="1">
      <alignment horizontal="center" vertical="center"/>
    </xf>
    <xf numFmtId="0" fontId="90" fillId="0" borderId="145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1" xfId="0" applyNumberFormat="1" applyFont="1" applyBorder="1" applyAlignment="1">
      <alignment horizontal="center" vertical="center"/>
    </xf>
    <xf numFmtId="0" fontId="35" fillId="0" borderId="158" xfId="0" applyFont="1" applyBorder="1" applyAlignment="1">
      <alignment horizontal="center" vertical="center"/>
    </xf>
    <xf numFmtId="0" fontId="35" fillId="0" borderId="159" xfId="0" applyFont="1" applyBorder="1" applyAlignment="1">
      <alignment horizontal="center" vertical="center"/>
    </xf>
    <xf numFmtId="164" fontId="0" fillId="0" borderId="70" xfId="0" applyNumberFormat="1" applyFont="1" applyFill="1" applyBorder="1" applyAlignment="1">
      <alignment horizontal="center" vertical="center" wrapText="1"/>
    </xf>
    <xf numFmtId="0" fontId="38" fillId="8" borderId="85" xfId="0" applyFont="1" applyFill="1" applyBorder="1" applyAlignment="1">
      <alignment horizontal="center"/>
    </xf>
    <xf numFmtId="0" fontId="0" fillId="8" borderId="85" xfId="0" applyFill="1" applyBorder="1" applyAlignment="1">
      <alignment horizontal="center"/>
    </xf>
    <xf numFmtId="2" fontId="3" fillId="0" borderId="57" xfId="0" applyNumberFormat="1" applyFont="1" applyFill="1" applyBorder="1" applyAlignment="1">
      <alignment horizontal="center" vertical="center"/>
    </xf>
    <xf numFmtId="2" fontId="35" fillId="0" borderId="141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35" fillId="0" borderId="143" xfId="0" applyNumberFormat="1" applyFont="1" applyBorder="1" applyAlignment="1">
      <alignment horizontal="center" vertical="center"/>
    </xf>
    <xf numFmtId="2" fontId="35" fillId="0" borderId="144" xfId="0" applyNumberFormat="1" applyFont="1" applyBorder="1" applyAlignment="1">
      <alignment horizontal="center" vertical="center"/>
    </xf>
    <xf numFmtId="2" fontId="35" fillId="0" borderId="162" xfId="0" applyNumberFormat="1" applyFont="1" applyBorder="1" applyAlignment="1">
      <alignment horizontal="center" vertical="center"/>
    </xf>
    <xf numFmtId="0" fontId="79" fillId="0" borderId="141" xfId="0" applyFont="1" applyBorder="1" applyAlignment="1">
      <alignment horizontal="left" vertical="center"/>
    </xf>
    <xf numFmtId="0" fontId="82" fillId="0" borderId="142" xfId="0" applyFont="1" applyBorder="1" applyAlignment="1">
      <alignment vertical="center"/>
    </xf>
    <xf numFmtId="165" fontId="35" fillId="0" borderId="141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2" xfId="0" applyNumberFormat="1" applyFont="1" applyBorder="1" applyAlignment="1">
      <alignment horizontal="center" vertical="center"/>
    </xf>
    <xf numFmtId="0" fontId="35" fillId="0" borderId="141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42" xfId="0" applyFont="1" applyBorder="1" applyAlignment="1">
      <alignment horizontal="center" vertical="center"/>
    </xf>
    <xf numFmtId="0" fontId="35" fillId="0" borderId="143" xfId="0" applyFont="1" applyBorder="1" applyAlignment="1">
      <alignment horizontal="left" vertical="center"/>
    </xf>
    <xf numFmtId="0" fontId="82" fillId="0" borderId="144" xfId="0" applyFont="1" applyBorder="1" applyAlignment="1">
      <alignment vertical="center"/>
    </xf>
    <xf numFmtId="0" fontId="82" fillId="0" borderId="145" xfId="0" applyFont="1" applyBorder="1" applyAlignment="1">
      <alignment vertical="center"/>
    </xf>
    <xf numFmtId="0" fontId="35" fillId="0" borderId="143" xfId="0" applyFont="1" applyFill="1" applyBorder="1" applyAlignment="1">
      <alignment horizontal="center" vertical="center"/>
    </xf>
    <xf numFmtId="0" fontId="35" fillId="0" borderId="144" xfId="0" applyFont="1" applyFill="1" applyBorder="1" applyAlignment="1">
      <alignment horizontal="center" vertical="center"/>
    </xf>
    <xf numFmtId="0" fontId="35" fillId="0" borderId="162" xfId="0" applyFont="1" applyFill="1" applyBorder="1" applyAlignment="1">
      <alignment horizontal="center" vertical="center"/>
    </xf>
    <xf numFmtId="0" fontId="35" fillId="0" borderId="161" xfId="0" applyFont="1" applyBorder="1" applyAlignment="1">
      <alignment horizontal="center" vertical="center"/>
    </xf>
    <xf numFmtId="0" fontId="35" fillId="0" borderId="144" xfId="0" applyFont="1" applyBorder="1" applyAlignment="1">
      <alignment horizontal="center" vertical="center"/>
    </xf>
    <xf numFmtId="0" fontId="35" fillId="0" borderId="145" xfId="0" applyFont="1" applyBorder="1" applyAlignment="1">
      <alignment horizontal="center" vertical="center"/>
    </xf>
    <xf numFmtId="0" fontId="44" fillId="0" borderId="78" xfId="0" applyFont="1" applyBorder="1" applyAlignment="1"/>
    <xf numFmtId="0" fontId="44" fillId="0" borderId="0" xfId="0" applyFont="1" applyBorder="1" applyAlignment="1"/>
    <xf numFmtId="0" fontId="44" fillId="0" borderId="78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63" xfId="0" applyFont="1" applyBorder="1" applyAlignment="1">
      <alignment horizontal="right"/>
    </xf>
    <xf numFmtId="0" fontId="86" fillId="0" borderId="78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63" xfId="0" applyFont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78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54" xfId="0" applyFont="1" applyBorder="1" applyAlignment="1">
      <alignment horizontal="left" vertical="center"/>
    </xf>
    <xf numFmtId="0" fontId="109" fillId="0" borderId="79" xfId="0" applyFont="1" applyBorder="1" applyAlignment="1">
      <alignment horizontal="left" vertical="center"/>
    </xf>
    <xf numFmtId="0" fontId="109" fillId="0" borderId="78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63" xfId="0" applyFont="1" applyBorder="1" applyAlignment="1">
      <alignment horizontal="right"/>
    </xf>
    <xf numFmtId="0" fontId="109" fillId="0" borderId="154" xfId="0" applyFont="1" applyBorder="1" applyAlignment="1">
      <alignment horizontal="right"/>
    </xf>
    <xf numFmtId="0" fontId="109" fillId="0" borderId="79" xfId="0" applyFont="1" applyBorder="1" applyAlignment="1">
      <alignment horizontal="right"/>
    </xf>
    <xf numFmtId="0" fontId="109" fillId="0" borderId="155" xfId="0" applyFont="1" applyBorder="1" applyAlignment="1">
      <alignment horizontal="right"/>
    </xf>
    <xf numFmtId="0" fontId="82" fillId="0" borderId="76" xfId="0" applyFont="1" applyBorder="1" applyAlignment="1">
      <alignment horizontal="center"/>
    </xf>
    <xf numFmtId="0" fontId="82" fillId="0" borderId="77" xfId="0" applyFont="1" applyBorder="1" applyAlignment="1">
      <alignment horizontal="center"/>
    </xf>
    <xf numFmtId="0" fontId="82" fillId="0" borderId="139" xfId="0" applyFont="1" applyBorder="1" applyAlignment="1">
      <alignment horizont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35" fillId="0" borderId="80" xfId="0" applyNumberFormat="1" applyFont="1" applyBorder="1" applyAlignment="1">
      <alignment horizontal="center" vertical="center"/>
    </xf>
    <xf numFmtId="164" fontId="35" fillId="0" borderId="134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56" xfId="0" applyNumberFormat="1" applyFont="1" applyBorder="1" applyAlignment="1">
      <alignment horizontal="center" vertical="center"/>
    </xf>
    <xf numFmtId="2" fontId="35" fillId="0" borderId="157" xfId="0" applyNumberFormat="1" applyFont="1" applyBorder="1" applyAlignment="1">
      <alignment horizontal="center" vertical="center"/>
    </xf>
    <xf numFmtId="2" fontId="35" fillId="0" borderId="160" xfId="0" applyNumberFormat="1" applyFont="1" applyBorder="1" applyAlignment="1">
      <alignment horizontal="center" vertical="center"/>
    </xf>
    <xf numFmtId="0" fontId="44" fillId="9" borderId="76" xfId="0" applyFont="1" applyFill="1" applyBorder="1" applyAlignment="1">
      <alignment horizontal="center" vertical="center"/>
    </xf>
    <xf numFmtId="0" fontId="44" fillId="9" borderId="167" xfId="0" applyFont="1" applyFill="1" applyBorder="1" applyAlignment="1">
      <alignment horizontal="center" vertical="center"/>
    </xf>
    <xf numFmtId="165" fontId="44" fillId="0" borderId="143" xfId="0" applyNumberFormat="1" applyFont="1" applyBorder="1" applyAlignment="1">
      <alignment horizontal="center" vertical="center"/>
    </xf>
    <xf numFmtId="165" fontId="44" fillId="0" borderId="145" xfId="0" applyNumberFormat="1" applyFont="1" applyBorder="1" applyAlignment="1">
      <alignment horizontal="center" vertical="center"/>
    </xf>
    <xf numFmtId="2" fontId="44" fillId="0" borderId="156" xfId="0" applyNumberFormat="1" applyFont="1" applyBorder="1" applyAlignment="1">
      <alignment horizontal="center" vertical="center"/>
    </xf>
    <xf numFmtId="2" fontId="44" fillId="0" borderId="159" xfId="0" applyNumberFormat="1" applyFont="1" applyBorder="1" applyAlignment="1">
      <alignment horizontal="center" vertical="center"/>
    </xf>
    <xf numFmtId="0" fontId="1" fillId="0" borderId="76" xfId="0" applyFont="1" applyBorder="1" applyAlignment="1"/>
    <xf numFmtId="0" fontId="1" fillId="0" borderId="77" xfId="0" applyFont="1" applyBorder="1" applyAlignment="1"/>
    <xf numFmtId="0" fontId="1" fillId="0" borderId="139" xfId="0" applyFont="1" applyBorder="1" applyAlignment="1"/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7" xfId="0" applyBorder="1" applyAlignment="1">
      <alignment horizontal="left"/>
    </xf>
    <xf numFmtId="0" fontId="0" fillId="0" borderId="139" xfId="0" applyBorder="1" applyAlignment="1">
      <alignment horizontal="left"/>
    </xf>
    <xf numFmtId="0" fontId="1" fillId="0" borderId="78" xfId="0" applyFont="1" applyBorder="1" applyAlignment="1">
      <alignment horizontal="center" wrapText="1"/>
    </xf>
    <xf numFmtId="0" fontId="1" fillId="0" borderId="154" xfId="0" applyFont="1" applyBorder="1" applyAlignment="1">
      <alignment horizont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63" xfId="0" applyFont="1" applyBorder="1" applyAlignment="1">
      <alignment horizontal="center" vertical="center" wrapText="1"/>
    </xf>
    <xf numFmtId="0" fontId="1" fillId="0" borderId="154" xfId="0" applyFont="1" applyBorder="1" applyAlignment="1">
      <alignment horizontal="left"/>
    </xf>
    <xf numFmtId="0" fontId="1" fillId="0" borderId="79" xfId="0" applyFont="1" applyBorder="1" applyAlignment="1">
      <alignment horizontal="left"/>
    </xf>
    <xf numFmtId="0" fontId="1" fillId="0" borderId="155" xfId="0" applyFont="1" applyBorder="1" applyAlignment="1">
      <alignment horizontal="left"/>
    </xf>
    <xf numFmtId="0" fontId="1" fillId="0" borderId="157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1" fillId="0" borderId="0" xfId="0" applyFont="1" applyBorder="1" applyAlignment="1">
      <alignment horizontal="center"/>
    </xf>
    <xf numFmtId="11" fontId="85" fillId="0" borderId="80" xfId="0" applyNumberFormat="1" applyFont="1" applyBorder="1" applyAlignment="1">
      <alignment horizontal="center"/>
    </xf>
    <xf numFmtId="0" fontId="84" fillId="0" borderId="76" xfId="0" applyFont="1" applyBorder="1" applyAlignment="1">
      <alignment horizontal="left"/>
    </xf>
    <xf numFmtId="0" fontId="81" fillId="0" borderId="77" xfId="0" applyFont="1" applyBorder="1" applyAlignment="1">
      <alignment horizontal="left"/>
    </xf>
    <xf numFmtId="0" fontId="81" fillId="0" borderId="139" xfId="0" applyFont="1" applyBorder="1" applyAlignment="1">
      <alignment horizontal="left"/>
    </xf>
    <xf numFmtId="0" fontId="81" fillId="0" borderId="78" xfId="0" applyFont="1" applyBorder="1" applyAlignment="1">
      <alignment horizontal="left"/>
    </xf>
    <xf numFmtId="0" fontId="81" fillId="0" borderId="0" xfId="0" applyFont="1" applyBorder="1" applyAlignment="1">
      <alignment horizontal="left"/>
    </xf>
    <xf numFmtId="0" fontId="81" fillId="0" borderId="163" xfId="0" applyFont="1" applyBorder="1" applyAlignment="1">
      <alignment horizontal="left"/>
    </xf>
    <xf numFmtId="0" fontId="82" fillId="0" borderId="78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63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2" fillId="0" borderId="138" xfId="0" applyFont="1" applyBorder="1" applyAlignment="1">
      <alignment horizontal="center"/>
    </xf>
    <xf numFmtId="0" fontId="82" fillId="0" borderId="85" xfId="0" applyFont="1" applyBorder="1" applyAlignment="1">
      <alignment horizontal="center"/>
    </xf>
    <xf numFmtId="0" fontId="82" fillId="0" borderId="140" xfId="0" applyFont="1" applyBorder="1" applyAlignment="1">
      <alignment horizontal="center"/>
    </xf>
    <xf numFmtId="0" fontId="82" fillId="0" borderId="174" xfId="0" applyFont="1" applyBorder="1" applyAlignment="1">
      <alignment horizontal="center"/>
    </xf>
    <xf numFmtId="0" fontId="82" fillId="0" borderId="137" xfId="0" applyFont="1" applyBorder="1" applyAlignment="1">
      <alignment horizontal="center"/>
    </xf>
    <xf numFmtId="0" fontId="82" fillId="0" borderId="78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2" fillId="0" borderId="78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4" fillId="0" borderId="137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74" xfId="0" applyFont="1" applyBorder="1" applyAlignment="1">
      <alignment horizontal="center"/>
    </xf>
    <xf numFmtId="0" fontId="82" fillId="0" borderId="78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63" xfId="0" applyFont="1" applyBorder="1" applyAlignment="1">
      <alignment horizontal="center" vertical="top"/>
    </xf>
    <xf numFmtId="0" fontId="81" fillId="0" borderId="154" xfId="0" applyFont="1" applyBorder="1" applyAlignment="1">
      <alignment horizontal="left"/>
    </xf>
    <xf numFmtId="0" fontId="81" fillId="0" borderId="79" xfId="0" applyFont="1" applyBorder="1" applyAlignment="1">
      <alignment horizontal="left"/>
    </xf>
    <xf numFmtId="0" fontId="81" fillId="0" borderId="155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79" xfId="0" applyBorder="1" applyAlignment="1">
      <alignment horizontal="center" wrapText="1"/>
    </xf>
    <xf numFmtId="0" fontId="82" fillId="0" borderId="154" xfId="0" applyFont="1" applyBorder="1" applyAlignment="1">
      <alignment horizontal="center"/>
    </xf>
    <xf numFmtId="0" fontId="82" fillId="0" borderId="79" xfId="0" applyFont="1" applyBorder="1" applyAlignment="1">
      <alignment horizontal="center"/>
    </xf>
    <xf numFmtId="0" fontId="82" fillId="0" borderId="155" xfId="0" applyFont="1" applyBorder="1" applyAlignment="1">
      <alignment horizontal="center"/>
    </xf>
    <xf numFmtId="0" fontId="82" fillId="0" borderId="76" xfId="0" applyFont="1" applyBorder="1" applyAlignment="1">
      <alignment horizontal="left" vertical="top"/>
    </xf>
    <xf numFmtId="0" fontId="82" fillId="0" borderId="77" xfId="0" applyFont="1" applyBorder="1" applyAlignment="1">
      <alignment horizontal="left" vertical="top"/>
    </xf>
    <xf numFmtId="0" fontId="82" fillId="0" borderId="139" xfId="0" applyFont="1" applyBorder="1" applyAlignment="1">
      <alignment horizontal="left" vertical="top"/>
    </xf>
    <xf numFmtId="0" fontId="82" fillId="0" borderId="163" xfId="0" applyFont="1" applyBorder="1" applyAlignment="1">
      <alignment horizontal="left"/>
    </xf>
    <xf numFmtId="0" fontId="81" fillId="0" borderId="78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63" xfId="0" applyBorder="1" applyAlignment="1">
      <alignment horizontal="left"/>
    </xf>
    <xf numFmtId="0" fontId="81" fillId="0" borderId="0" xfId="0" applyFont="1" applyAlignment="1">
      <alignment horizontal="center"/>
    </xf>
    <xf numFmtId="0" fontId="0" fillId="0" borderId="154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79" xfId="0" applyBorder="1" applyAlignment="1">
      <alignment horizontal="left"/>
    </xf>
    <xf numFmtId="0" fontId="0" fillId="0" borderId="155" xfId="0" applyBorder="1" applyAlignment="1">
      <alignment horizontal="left"/>
    </xf>
    <xf numFmtId="0" fontId="0" fillId="0" borderId="157" xfId="0" applyBorder="1" applyAlignment="1">
      <alignment horizontal="center"/>
    </xf>
    <xf numFmtId="0" fontId="83" fillId="0" borderId="2" xfId="0" applyFont="1" applyBorder="1" applyAlignment="1">
      <alignment horizontal="center" wrapText="1"/>
    </xf>
    <xf numFmtId="0" fontId="83" fillId="0" borderId="3" xfId="0" applyFont="1" applyBorder="1" applyAlignment="1">
      <alignment horizontal="center" wrapText="1"/>
    </xf>
    <xf numFmtId="11" fontId="107" fillId="0" borderId="80" xfId="0" applyNumberFormat="1" applyFont="1" applyBorder="1" applyAlignment="1">
      <alignment horizontal="center"/>
    </xf>
    <xf numFmtId="0" fontId="81" fillId="0" borderId="80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0" xfId="0" applyFont="1" applyBorder="1" applyAlignment="1">
      <alignment horizontal="center" vertical="top" wrapText="1"/>
    </xf>
    <xf numFmtId="0" fontId="109" fillId="0" borderId="81" xfId="0" applyFont="1" applyBorder="1" applyAlignment="1">
      <alignment horizontal="center" vertical="top" wrapText="1"/>
    </xf>
    <xf numFmtId="0" fontId="81" fillId="0" borderId="80" xfId="0" applyFont="1" applyBorder="1" applyAlignment="1">
      <alignment horizontal="center" vertical="center" wrapText="1"/>
    </xf>
    <xf numFmtId="0" fontId="81" fillId="0" borderId="81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81" fillId="0" borderId="80" xfId="0" applyFont="1" applyBorder="1" applyAlignment="1">
      <alignment horizontal="center" vertical="center"/>
    </xf>
    <xf numFmtId="0" fontId="110" fillId="0" borderId="80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83" xfId="0" applyFont="1" applyBorder="1" applyAlignment="1">
      <alignment horizontal="center" vertical="center" wrapText="1"/>
    </xf>
    <xf numFmtId="0" fontId="110" fillId="0" borderId="84" xfId="0" applyFont="1" applyBorder="1" applyAlignment="1">
      <alignment horizontal="center" vertical="center" wrapText="1"/>
    </xf>
    <xf numFmtId="0" fontId="110" fillId="0" borderId="80" xfId="0" applyFont="1" applyBorder="1" applyAlignment="1">
      <alignment horizontal="center" wrapText="1"/>
    </xf>
    <xf numFmtId="0" fontId="81" fillId="0" borderId="82" xfId="0" applyFont="1" applyBorder="1" applyAlignment="1">
      <alignment horizontal="center"/>
    </xf>
    <xf numFmtId="0" fontId="110" fillId="0" borderId="80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83" xfId="0" applyFont="1" applyBorder="1" applyAlignment="1">
      <alignment horizontal="center" vertical="center" wrapText="1"/>
    </xf>
    <xf numFmtId="0" fontId="81" fillId="0" borderId="85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84" xfId="0" applyFont="1" applyBorder="1" applyAlignment="1">
      <alignment horizontal="center" vertical="center" wrapText="1"/>
    </xf>
    <xf numFmtId="164" fontId="82" fillId="0" borderId="80" xfId="0" applyNumberFormat="1" applyFont="1" applyBorder="1" applyAlignment="1">
      <alignment horizontal="center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left"/>
    </xf>
    <xf numFmtId="0" fontId="81" fillId="0" borderId="0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85" xfId="0" applyFont="1" applyBorder="1" applyAlignment="1">
      <alignment horizontal="center" wrapText="1"/>
    </xf>
    <xf numFmtId="0" fontId="81" fillId="0" borderId="83" xfId="0" applyFont="1" applyBorder="1" applyAlignment="1">
      <alignment horizontal="center" wrapText="1"/>
    </xf>
    <xf numFmtId="0" fontId="81" fillId="0" borderId="84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82" xfId="0" applyFont="1" applyBorder="1" applyAlignment="1">
      <alignment horizontal="center" vertical="center" wrapText="1"/>
    </xf>
    <xf numFmtId="0" fontId="81" fillId="0" borderId="86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/>
    </xf>
    <xf numFmtId="0" fontId="81" fillId="0" borderId="6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5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83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83" xfId="0" applyFont="1" applyBorder="1" applyAlignment="1"/>
    <xf numFmtId="0" fontId="81" fillId="0" borderId="85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83" xfId="0" applyFont="1" applyBorder="1" applyAlignment="1">
      <alignment horizontal="left" vertical="center" wrapText="1"/>
    </xf>
    <xf numFmtId="0" fontId="81" fillId="0" borderId="85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83" xfId="0" applyFont="1" applyBorder="1" applyAlignment="1">
      <alignment horizontal="left" vertical="center"/>
    </xf>
    <xf numFmtId="0" fontId="81" fillId="0" borderId="85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84" xfId="0" applyFont="1" applyBorder="1" applyAlignment="1">
      <alignment horizontal="left" vertical="center" wrapText="1"/>
    </xf>
    <xf numFmtId="0" fontId="81" fillId="0" borderId="80" xfId="0" applyFont="1" applyBorder="1" applyAlignment="1">
      <alignment horizontal="left"/>
    </xf>
    <xf numFmtId="0" fontId="81" fillId="0" borderId="83" xfId="0" applyFont="1" applyBorder="1" applyAlignment="1">
      <alignment horizontal="center"/>
    </xf>
    <xf numFmtId="0" fontId="81" fillId="0" borderId="84" xfId="0" applyFont="1" applyBorder="1" applyAlignment="1">
      <alignment horizontal="center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85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83" xfId="0" applyFont="1" applyBorder="1" applyAlignment="1">
      <alignment horizontal="left" vertical="top"/>
    </xf>
    <xf numFmtId="0" fontId="81" fillId="0" borderId="85" xfId="0" applyFont="1" applyBorder="1" applyAlignment="1">
      <alignment horizontal="left" vertical="top"/>
    </xf>
    <xf numFmtId="0" fontId="1" fillId="0" borderId="76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154" xfId="0" applyFont="1" applyBorder="1" applyAlignment="1">
      <alignment horizontal="center"/>
    </xf>
    <xf numFmtId="0" fontId="1" fillId="0" borderId="79" xfId="0" applyFont="1" applyBorder="1" applyAlignment="1">
      <alignment horizontal="center"/>
    </xf>
    <xf numFmtId="0" fontId="82" fillId="0" borderId="2" xfId="0" applyFont="1" applyBorder="1" applyAlignment="1">
      <alignment horizontal="left"/>
    </xf>
    <xf numFmtId="0" fontId="1" fillId="0" borderId="132" xfId="0" applyFont="1" applyBorder="1" applyAlignment="1">
      <alignment horizontal="left"/>
    </xf>
    <xf numFmtId="0" fontId="1" fillId="0" borderId="175" xfId="0" applyFont="1" applyBorder="1" applyAlignment="1">
      <alignment horizontal="left"/>
    </xf>
    <xf numFmtId="0" fontId="114" fillId="0" borderId="76" xfId="0" applyFont="1" applyBorder="1" applyAlignment="1">
      <alignment horizontal="left"/>
    </xf>
    <xf numFmtId="0" fontId="114" fillId="0" borderId="139" xfId="0" applyFont="1" applyBorder="1" applyAlignment="1">
      <alignment horizontal="left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3" xfId="0" applyBorder="1" applyAlignment="1">
      <alignment horizontal="center" vertical="center"/>
    </xf>
    <xf numFmtId="0" fontId="0" fillId="0" borderId="154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155" xfId="0" applyBorder="1" applyAlignment="1">
      <alignment horizontal="center" vertical="center"/>
    </xf>
    <xf numFmtId="0" fontId="2" fillId="0" borderId="77" xfId="0" applyFont="1" applyBorder="1" applyAlignment="1">
      <alignment horizontal="center"/>
    </xf>
    <xf numFmtId="0" fontId="1" fillId="0" borderId="78" xfId="0" applyFont="1" applyBorder="1" applyAlignment="1">
      <alignment horizontal="center"/>
    </xf>
    <xf numFmtId="0" fontId="1" fillId="0" borderId="163" xfId="0" applyFont="1" applyBorder="1" applyAlignment="1">
      <alignment horizontal="center"/>
    </xf>
    <xf numFmtId="0" fontId="1" fillId="0" borderId="15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76" xfId="0" applyFont="1" applyBorder="1" applyAlignment="1">
      <alignment horizontal="left"/>
    </xf>
    <xf numFmtId="0" fontId="1" fillId="0" borderId="77" xfId="0" applyFont="1" applyBorder="1" applyAlignment="1">
      <alignment horizontal="left"/>
    </xf>
    <xf numFmtId="0" fontId="1" fillId="0" borderId="139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163" xfId="0" applyFont="1" applyBorder="1" applyAlignment="1">
      <alignment horizontal="left" vertical="center"/>
    </xf>
    <xf numFmtId="0" fontId="1" fillId="0" borderId="7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63" xfId="0" applyFont="1" applyBorder="1" applyAlignment="1">
      <alignment horizontal="left"/>
    </xf>
    <xf numFmtId="0" fontId="1" fillId="0" borderId="146" xfId="0" applyFont="1" applyBorder="1" applyAlignment="1">
      <alignment horizontal="left"/>
    </xf>
    <xf numFmtId="0" fontId="1" fillId="0" borderId="147" xfId="0" applyFont="1" applyBorder="1" applyAlignment="1">
      <alignment horizontal="left"/>
    </xf>
    <xf numFmtId="0" fontId="1" fillId="0" borderId="150" xfId="0" applyFont="1" applyBorder="1" applyAlignment="1">
      <alignment horizontal="left"/>
    </xf>
    <xf numFmtId="0" fontId="1" fillId="0" borderId="76" xfId="0" applyFont="1" applyBorder="1" applyAlignment="1">
      <alignment horizontal="left" vertical="center"/>
    </xf>
    <xf numFmtId="0" fontId="1" fillId="0" borderId="139" xfId="0" applyFont="1" applyBorder="1" applyAlignment="1">
      <alignment horizontal="left" vertical="center"/>
    </xf>
    <xf numFmtId="0" fontId="1" fillId="0" borderId="138" xfId="0" applyFont="1" applyBorder="1" applyAlignment="1">
      <alignment horizontal="left" vertical="center"/>
    </xf>
    <xf numFmtId="0" fontId="1" fillId="0" borderId="140" xfId="0" applyFont="1" applyBorder="1" applyAlignment="1">
      <alignment horizontal="left" vertical="center"/>
    </xf>
    <xf numFmtId="0" fontId="3" fillId="0" borderId="160" xfId="0" applyFont="1" applyBorder="1" applyAlignment="1">
      <alignment horizontal="center"/>
    </xf>
    <xf numFmtId="0" fontId="3" fillId="0" borderId="171" xfId="0" applyFont="1" applyBorder="1" applyAlignment="1">
      <alignment horizontal="center"/>
    </xf>
    <xf numFmtId="0" fontId="3" fillId="0" borderId="158" xfId="0" applyFont="1" applyBorder="1" applyAlignment="1">
      <alignment horizontal="center"/>
    </xf>
    <xf numFmtId="0" fontId="114" fillId="0" borderId="164" xfId="0" applyFont="1" applyBorder="1" applyAlignment="1">
      <alignment horizontal="center" vertical="center"/>
    </xf>
    <xf numFmtId="0" fontId="114" fillId="0" borderId="171" xfId="0" applyFont="1" applyBorder="1" applyAlignment="1">
      <alignment horizontal="center" vertical="center"/>
    </xf>
    <xf numFmtId="0" fontId="114" fillId="0" borderId="165" xfId="0" applyFont="1" applyBorder="1" applyAlignment="1">
      <alignment horizontal="center" vertical="center"/>
    </xf>
    <xf numFmtId="0" fontId="114" fillId="0" borderId="132" xfId="0" applyFont="1" applyBorder="1" applyAlignment="1">
      <alignment horizontal="center" vertical="center"/>
    </xf>
    <xf numFmtId="0" fontId="114" fillId="0" borderId="80" xfId="0" applyFont="1" applyBorder="1" applyAlignment="1">
      <alignment horizontal="center" vertical="center"/>
    </xf>
    <xf numFmtId="0" fontId="114" fillId="0" borderId="175" xfId="0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top"/>
    </xf>
    <xf numFmtId="0" fontId="0" fillId="5" borderId="0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0" fontId="0" fillId="5" borderId="181" xfId="0" applyFill="1" applyBorder="1" applyAlignment="1">
      <alignment horizontal="center" vertical="top"/>
    </xf>
    <xf numFmtId="0" fontId="0" fillId="5" borderId="179" xfId="0" applyFill="1" applyBorder="1" applyAlignment="1">
      <alignment horizontal="center" vertical="top"/>
    </xf>
    <xf numFmtId="0" fontId="0" fillId="5" borderId="180" xfId="0" applyFill="1" applyBorder="1" applyAlignment="1">
      <alignment horizontal="center" vertical="top"/>
    </xf>
    <xf numFmtId="0" fontId="0" fillId="5" borderId="176" xfId="0" applyFill="1" applyBorder="1" applyAlignment="1">
      <alignment horizontal="center" vertical="top"/>
    </xf>
    <xf numFmtId="0" fontId="0" fillId="5" borderId="182" xfId="0" applyFill="1" applyBorder="1" applyAlignment="1">
      <alignment horizontal="center" vertical="top"/>
    </xf>
    <xf numFmtId="0" fontId="1" fillId="0" borderId="133" xfId="0" applyFont="1" applyBorder="1" applyAlignment="1">
      <alignment horizontal="left"/>
    </xf>
    <xf numFmtId="0" fontId="1" fillId="0" borderId="166" xfId="0" applyFont="1" applyBorder="1" applyAlignment="1">
      <alignment horizontal="left"/>
    </xf>
    <xf numFmtId="0" fontId="0" fillId="5" borderId="177" xfId="0" applyFill="1" applyBorder="1" applyAlignment="1">
      <alignment horizontal="center" vertical="top"/>
    </xf>
    <xf numFmtId="0" fontId="0" fillId="5" borderId="178" xfId="0" applyFill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0" fontId="0" fillId="0" borderId="163" xfId="0" applyBorder="1" applyAlignment="1">
      <alignment horizontal="center"/>
    </xf>
    <xf numFmtId="0" fontId="116" fillId="0" borderId="141" xfId="0" applyFont="1" applyBorder="1" applyAlignment="1">
      <alignment horizontal="center"/>
    </xf>
    <xf numFmtId="0" fontId="116" fillId="0" borderId="2" xfId="0" applyFont="1" applyBorder="1" applyAlignment="1">
      <alignment horizontal="center"/>
    </xf>
    <xf numFmtId="0" fontId="116" fillId="0" borderId="142" xfId="0" applyFont="1" applyBorder="1" applyAlignment="1">
      <alignment horizontal="center"/>
    </xf>
    <xf numFmtId="0" fontId="0" fillId="0" borderId="1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74" xfId="0" applyBorder="1" applyAlignment="1">
      <alignment horizontal="center"/>
    </xf>
    <xf numFmtId="0" fontId="1" fillId="0" borderId="85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1" xfId="0" applyFont="1" applyFill="1" applyBorder="1" applyAlignment="1">
      <alignment horizontal="center"/>
    </xf>
    <xf numFmtId="0" fontId="1" fillId="7" borderId="86" xfId="0" applyFont="1" applyFill="1" applyBorder="1" applyAlignment="1">
      <alignment horizontal="center"/>
    </xf>
    <xf numFmtId="0" fontId="1" fillId="7" borderId="192" xfId="0" applyFont="1" applyFill="1" applyBorder="1" applyAlignment="1">
      <alignment horizontal="center"/>
    </xf>
    <xf numFmtId="0" fontId="1" fillId="7" borderId="19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74" xfId="0" applyFont="1" applyFill="1" applyBorder="1" applyAlignment="1">
      <alignment horizontal="center"/>
    </xf>
    <xf numFmtId="0" fontId="1" fillId="2" borderId="83" xfId="0" applyFont="1" applyFill="1" applyBorder="1" applyAlignment="1">
      <alignment horizontal="center"/>
    </xf>
    <xf numFmtId="0" fontId="1" fillId="2" borderId="85" xfId="0" applyFont="1" applyFill="1" applyBorder="1" applyAlignment="1">
      <alignment horizontal="center"/>
    </xf>
    <xf numFmtId="0" fontId="1" fillId="2" borderId="140" xfId="0" applyFont="1" applyFill="1" applyBorder="1" applyAlignment="1">
      <alignment horizontal="center"/>
    </xf>
    <xf numFmtId="0" fontId="1" fillId="7" borderId="174" xfId="0" applyFont="1" applyFill="1" applyBorder="1" applyAlignment="1">
      <alignment horizontal="center"/>
    </xf>
    <xf numFmtId="0" fontId="1" fillId="7" borderId="140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84" xfId="0" applyFont="1" applyFill="1" applyBorder="1" applyAlignment="1">
      <alignment horizontal="center"/>
    </xf>
    <xf numFmtId="0" fontId="2" fillId="0" borderId="76" xfId="0" applyFont="1" applyBorder="1" applyAlignment="1">
      <alignment vertical="top" wrapText="1"/>
    </xf>
    <xf numFmtId="0" fontId="2" fillId="0" borderId="77" xfId="0" applyFont="1" applyBorder="1" applyAlignment="1">
      <alignment vertical="top" wrapText="1"/>
    </xf>
    <xf numFmtId="0" fontId="2" fillId="0" borderId="193" xfId="0" applyFont="1" applyBorder="1" applyAlignment="1">
      <alignment vertical="top" wrapText="1"/>
    </xf>
    <xf numFmtId="0" fontId="2" fillId="0" borderId="154" xfId="0" applyFont="1" applyBorder="1" applyAlignment="1">
      <alignment vertical="top" wrapText="1"/>
    </xf>
    <xf numFmtId="0" fontId="2" fillId="0" borderId="79" xfId="0" applyFont="1" applyBorder="1" applyAlignment="1">
      <alignment vertical="top" wrapText="1"/>
    </xf>
    <xf numFmtId="0" fontId="2" fillId="0" borderId="195" xfId="0" applyFont="1" applyBorder="1" applyAlignment="1">
      <alignment vertical="top" wrapText="1"/>
    </xf>
    <xf numFmtId="0" fontId="7" fillId="0" borderId="194" xfId="0" applyFont="1" applyBorder="1" applyAlignment="1">
      <alignment vertical="top" wrapText="1"/>
    </xf>
    <xf numFmtId="0" fontId="7" fillId="0" borderId="77" xfId="0" applyFont="1" applyBorder="1" applyAlignment="1">
      <alignment vertical="top" wrapText="1"/>
    </xf>
    <xf numFmtId="0" fontId="7" fillId="0" borderId="139" xfId="0" applyFont="1" applyBorder="1" applyAlignment="1">
      <alignment vertical="top" wrapText="1"/>
    </xf>
    <xf numFmtId="0" fontId="7" fillId="0" borderId="196" xfId="0" applyFont="1" applyBorder="1" applyAlignment="1">
      <alignment vertical="top" wrapText="1"/>
    </xf>
    <xf numFmtId="0" fontId="7" fillId="0" borderId="79" xfId="0" applyFont="1" applyBorder="1" applyAlignment="1">
      <alignment vertical="top" wrapText="1"/>
    </xf>
    <xf numFmtId="0" fontId="7" fillId="0" borderId="155" xfId="0" applyFont="1" applyBorder="1" applyAlignment="1">
      <alignment vertical="top" wrapText="1"/>
    </xf>
    <xf numFmtId="0" fontId="1" fillId="2" borderId="7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1" xfId="0" applyNumberFormat="1" applyFont="1" applyFill="1" applyBorder="1" applyAlignment="1">
      <alignment horizontal="center"/>
    </xf>
    <xf numFmtId="2" fontId="1" fillId="7" borderId="86" xfId="0" applyNumberFormat="1" applyFont="1" applyFill="1" applyBorder="1" applyAlignment="1">
      <alignment horizontal="center"/>
    </xf>
    <xf numFmtId="2" fontId="1" fillId="7" borderId="192" xfId="0" applyNumberFormat="1" applyFont="1" applyFill="1" applyBorder="1" applyAlignment="1">
      <alignment horizontal="center"/>
    </xf>
    <xf numFmtId="2" fontId="1" fillId="7" borderId="191" xfId="0" applyNumberFormat="1" applyFont="1" applyFill="1" applyBorder="1" applyAlignment="1">
      <alignment horizontal="center"/>
    </xf>
    <xf numFmtId="0" fontId="114" fillId="2" borderId="78" xfId="0" applyFont="1" applyFill="1" applyBorder="1" applyAlignment="1">
      <alignment horizontal="left" vertical="center"/>
    </xf>
    <xf numFmtId="0" fontId="114" fillId="2" borderId="0" xfId="0" applyFont="1" applyFill="1" applyBorder="1" applyAlignment="1">
      <alignment horizontal="left" vertical="center"/>
    </xf>
    <xf numFmtId="0" fontId="114" fillId="2" borderId="8" xfId="0" applyFont="1" applyFill="1" applyBorder="1" applyAlignment="1">
      <alignment horizontal="left" vertical="center"/>
    </xf>
    <xf numFmtId="0" fontId="114" fillId="2" borderId="138" xfId="0" applyFont="1" applyFill="1" applyBorder="1" applyAlignment="1">
      <alignment horizontal="left" vertical="center"/>
    </xf>
    <xf numFmtId="0" fontId="114" fillId="2" borderId="85" xfId="0" applyFont="1" applyFill="1" applyBorder="1" applyAlignment="1">
      <alignment horizontal="left" vertical="center"/>
    </xf>
    <xf numFmtId="0" fontId="114" fillId="2" borderId="84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74" xfId="0" applyNumberFormat="1" applyFont="1" applyFill="1" applyBorder="1" applyAlignment="1">
      <alignment horizontal="center"/>
    </xf>
    <xf numFmtId="2" fontId="6" fillId="7" borderId="83" xfId="0" applyNumberFormat="1" applyFont="1" applyFill="1" applyBorder="1" applyAlignment="1">
      <alignment horizontal="center"/>
    </xf>
    <xf numFmtId="2" fontId="6" fillId="7" borderId="85" xfId="0" applyNumberFormat="1" applyFont="1" applyFill="1" applyBorder="1" applyAlignment="1">
      <alignment horizontal="center"/>
    </xf>
    <xf numFmtId="2" fontId="6" fillId="7" borderId="140" xfId="0" applyNumberFormat="1" applyFont="1" applyFill="1" applyBorder="1" applyAlignment="1">
      <alignment horizontal="center"/>
    </xf>
    <xf numFmtId="0" fontId="117" fillId="0" borderId="137" xfId="0" applyFont="1" applyBorder="1" applyAlignment="1">
      <alignment vertical="top"/>
    </xf>
    <xf numFmtId="0" fontId="119" fillId="0" borderId="4" xfId="0" applyFont="1" applyBorder="1" applyAlignment="1">
      <alignment vertical="top"/>
    </xf>
    <xf numFmtId="0" fontId="119" fillId="0" borderId="174" xfId="0" applyFont="1" applyBorder="1" applyAlignment="1">
      <alignment vertical="top"/>
    </xf>
    <xf numFmtId="0" fontId="119" fillId="0" borderId="154" xfId="0" applyFont="1" applyBorder="1" applyAlignment="1">
      <alignment vertical="top"/>
    </xf>
    <xf numFmtId="0" fontId="119" fillId="0" borderId="79" xfId="0" applyFont="1" applyBorder="1" applyAlignment="1">
      <alignment vertical="top"/>
    </xf>
    <xf numFmtId="0" fontId="119" fillId="0" borderId="155" xfId="0" applyFont="1" applyBorder="1" applyAlignment="1">
      <alignment vertical="top"/>
    </xf>
    <xf numFmtId="0" fontId="0" fillId="0" borderId="2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18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190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18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3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2" fontId="3" fillId="0" borderId="49" xfId="0" applyNumberFormat="1" applyFont="1" applyFill="1" applyBorder="1" applyAlignment="1">
      <alignment horizontal="center" vertical="center"/>
    </xf>
    <xf numFmtId="2" fontId="3" fillId="0" borderId="50" xfId="0" applyNumberFormat="1" applyFont="1" applyFill="1" applyBorder="1" applyAlignment="1">
      <alignment horizontal="center" vertical="center"/>
    </xf>
    <xf numFmtId="2" fontId="3" fillId="0" borderId="188" xfId="0" applyNumberFormat="1" applyFont="1" applyFill="1" applyBorder="1" applyAlignment="1">
      <alignment horizontal="center" vertical="center"/>
    </xf>
    <xf numFmtId="2" fontId="3" fillId="0" borderId="187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1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66" xfId="0" applyFont="1" applyFill="1" applyBorder="1" applyAlignment="1">
      <alignment horizontal="center" vertical="center" wrapText="1"/>
    </xf>
    <xf numFmtId="0" fontId="1" fillId="0" borderId="73" xfId="0" applyFont="1" applyFill="1" applyBorder="1" applyAlignment="1">
      <alignment horizontal="center" vertical="center" wrapText="1"/>
    </xf>
    <xf numFmtId="0" fontId="1" fillId="0" borderId="74" xfId="0" applyFont="1" applyFill="1" applyBorder="1" applyAlignment="1">
      <alignment horizontal="center" vertical="center" wrapText="1"/>
    </xf>
    <xf numFmtId="0" fontId="1" fillId="0" borderId="75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164" fontId="0" fillId="0" borderId="183" xfId="0" applyNumberFormat="1" applyFont="1" applyFill="1" applyBorder="1" applyAlignment="1">
      <alignment horizontal="center" vertical="center" wrapText="1"/>
    </xf>
    <xf numFmtId="0" fontId="29" fillId="0" borderId="96" xfId="0" applyFont="1" applyBorder="1" applyAlignment="1">
      <alignment horizontal="center"/>
    </xf>
    <xf numFmtId="0" fontId="29" fillId="0" borderId="96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/>
    </xf>
    <xf numFmtId="0" fontId="23" fillId="0" borderId="87" xfId="0" applyFont="1" applyBorder="1" applyAlignment="1">
      <alignment horizontal="center"/>
    </xf>
    <xf numFmtId="0" fontId="23" fillId="0" borderId="88" xfId="0" applyFont="1" applyBorder="1" applyAlignment="1">
      <alignment horizontal="center"/>
    </xf>
    <xf numFmtId="0" fontId="23" fillId="0" borderId="88" xfId="0" applyFont="1" applyBorder="1" applyAlignment="1">
      <alignment horizontal="center" vertical="center" wrapText="1"/>
    </xf>
    <xf numFmtId="0" fontId="23" fillId="0" borderId="85" xfId="0" applyFont="1" applyBorder="1" applyAlignment="1">
      <alignment horizontal="center" vertical="center" wrapText="1"/>
    </xf>
    <xf numFmtId="1" fontId="23" fillId="3" borderId="89" xfId="0" applyNumberFormat="1" applyFont="1" applyFill="1" applyBorder="1" applyAlignment="1">
      <alignment horizontal="center" vertical="center"/>
    </xf>
    <xf numFmtId="1" fontId="23" fillId="3" borderId="120" xfId="0" applyNumberFormat="1" applyFont="1" applyFill="1" applyBorder="1" applyAlignment="1">
      <alignment horizontal="center" vertical="center"/>
    </xf>
    <xf numFmtId="0" fontId="23" fillId="0" borderId="119" xfId="0" applyFont="1" applyBorder="1" applyAlignment="1">
      <alignment horizontal="center"/>
    </xf>
    <xf numFmtId="0" fontId="23" fillId="0" borderId="85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1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1" xfId="0" applyFont="1" applyFill="1" applyBorder="1" applyAlignment="1">
      <alignment horizontal="center" vertical="center"/>
    </xf>
    <xf numFmtId="0" fontId="23" fillId="6" borderId="126" xfId="0" applyFont="1" applyFill="1" applyBorder="1" applyAlignment="1">
      <alignment horizontal="center" vertical="center"/>
    </xf>
    <xf numFmtId="0" fontId="23" fillId="6" borderId="96" xfId="0" applyFont="1" applyFill="1" applyBorder="1" applyAlignment="1">
      <alignment horizontal="center" vertical="center"/>
    </xf>
    <xf numFmtId="0" fontId="23" fillId="6" borderId="97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wrapText="1"/>
    </xf>
    <xf numFmtId="0" fontId="29" fillId="0" borderId="81" xfId="0" applyFont="1" applyBorder="1" applyAlignment="1">
      <alignment horizontal="center" wrapText="1"/>
    </xf>
    <xf numFmtId="0" fontId="30" fillId="0" borderId="99" xfId="0" applyFont="1" applyBorder="1" applyAlignment="1">
      <alignment horizontal="center" wrapText="1"/>
    </xf>
    <xf numFmtId="0" fontId="30" fillId="0" borderId="100" xfId="0" applyFont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85" xfId="0" applyFont="1" applyBorder="1" applyAlignment="1">
      <alignment horizontal="center" wrapText="1"/>
    </xf>
    <xf numFmtId="0" fontId="30" fillId="0" borderId="84" xfId="0" applyFont="1" applyBorder="1" applyAlignment="1">
      <alignment horizontal="center" wrapText="1"/>
    </xf>
    <xf numFmtId="0" fontId="30" fillId="0" borderId="83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1" xfId="0" applyNumberFormat="1" applyFont="1" applyFill="1" applyBorder="1" applyAlignment="1">
      <alignment horizontal="center" vertical="center"/>
    </xf>
    <xf numFmtId="0" fontId="30" fillId="0" borderId="115" xfId="0" applyFont="1" applyBorder="1" applyAlignment="1">
      <alignment horizontal="center" wrapText="1"/>
    </xf>
    <xf numFmtId="0" fontId="30" fillId="0" borderId="80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6" borderId="115" xfId="0" applyFont="1" applyFill="1" applyBorder="1" applyAlignment="1">
      <alignment horizontal="center" vertical="center"/>
    </xf>
    <xf numFmtId="0" fontId="30" fillId="6" borderId="80" xfId="0" applyFont="1" applyFill="1" applyBorder="1" applyAlignment="1">
      <alignment horizontal="center" vertical="center"/>
    </xf>
    <xf numFmtId="0" fontId="29" fillId="0" borderId="123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2" xfId="0" applyFont="1" applyFill="1" applyBorder="1" applyAlignment="1">
      <alignment horizontal="center" vertical="center"/>
    </xf>
    <xf numFmtId="0" fontId="29" fillId="6" borderId="93" xfId="0" applyFont="1" applyFill="1" applyBorder="1" applyAlignment="1">
      <alignment horizontal="center" vertical="center"/>
    </xf>
    <xf numFmtId="0" fontId="29" fillId="0" borderId="84" xfId="0" applyFont="1" applyBorder="1" applyAlignment="1">
      <alignment horizontal="center" wrapText="1"/>
    </xf>
    <xf numFmtId="0" fontId="29" fillId="0" borderId="86" xfId="0" applyFont="1" applyBorder="1" applyAlignment="1">
      <alignment horizontal="center" wrapText="1"/>
    </xf>
    <xf numFmtId="0" fontId="29" fillId="0" borderId="124" xfId="0" applyFont="1" applyBorder="1" applyAlignment="1">
      <alignment horizontal="center" wrapText="1"/>
    </xf>
    <xf numFmtId="0" fontId="30" fillId="0" borderId="122" xfId="0" applyFont="1" applyBorder="1" applyAlignment="1">
      <alignment horizontal="center" wrapText="1"/>
    </xf>
    <xf numFmtId="0" fontId="30" fillId="0" borderId="81" xfId="0" applyFont="1" applyBorder="1" applyAlignment="1">
      <alignment horizontal="center" wrapText="1"/>
    </xf>
    <xf numFmtId="2" fontId="31" fillId="3" borderId="80" xfId="0" applyNumberFormat="1" applyFont="1" applyFill="1" applyBorder="1" applyAlignment="1">
      <alignment horizontal="center" wrapText="1"/>
    </xf>
    <xf numFmtId="0" fontId="30" fillId="0" borderId="121" xfId="0" applyFont="1" applyBorder="1" applyAlignment="1">
      <alignment horizontal="center" vertical="center" wrapText="1"/>
    </xf>
    <xf numFmtId="0" fontId="30" fillId="0" borderId="86" xfId="0" applyFont="1" applyBorder="1" applyAlignment="1">
      <alignment horizontal="center" vertical="center" wrapText="1"/>
    </xf>
    <xf numFmtId="0" fontId="21" fillId="0" borderId="9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20" fillId="0" borderId="91" xfId="0" applyFont="1" applyBorder="1" applyAlignment="1">
      <alignment horizontal="center" vertical="center" wrapText="1"/>
    </xf>
    <xf numFmtId="0" fontId="20" fillId="0" borderId="92" xfId="0" applyFont="1" applyBorder="1" applyAlignment="1">
      <alignment horizontal="center" vertical="center" wrapText="1"/>
    </xf>
    <xf numFmtId="0" fontId="20" fillId="0" borderId="93" xfId="0" applyFont="1" applyBorder="1" applyAlignment="1">
      <alignment horizontal="center" vertical="center" wrapText="1"/>
    </xf>
    <xf numFmtId="0" fontId="29" fillId="0" borderId="119" xfId="0" applyFont="1" applyBorder="1" applyAlignment="1">
      <alignment horizontal="center" vertical="center" wrapText="1"/>
    </xf>
    <xf numFmtId="0" fontId="29" fillId="0" borderId="85" xfId="0" applyFont="1" applyBorder="1" applyAlignment="1">
      <alignment horizontal="center" vertical="center" wrapText="1"/>
    </xf>
    <xf numFmtId="0" fontId="30" fillId="0" borderId="83" xfId="0" applyFont="1" applyBorder="1" applyAlignment="1">
      <alignment horizontal="center" vertical="center" wrapText="1"/>
    </xf>
    <xf numFmtId="0" fontId="30" fillId="0" borderId="84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85" xfId="0" applyFont="1" applyBorder="1" applyAlignment="1">
      <alignment horizontal="center" wrapText="1"/>
    </xf>
    <xf numFmtId="0" fontId="29" fillId="0" borderId="120" xfId="0" applyFont="1" applyBorder="1" applyAlignment="1">
      <alignment horizontal="center" vertical="center" wrapText="1"/>
    </xf>
    <xf numFmtId="0" fontId="23" fillId="0" borderId="92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horizontal="center" vertical="center"/>
    </xf>
    <xf numFmtId="0" fontId="23" fillId="0" borderId="101" xfId="0" applyFont="1" applyFill="1" applyBorder="1" applyAlignment="1">
      <alignment horizontal="center" vertical="center"/>
    </xf>
    <xf numFmtId="0" fontId="25" fillId="0" borderId="99" xfId="0" applyFont="1" applyBorder="1" applyAlignment="1">
      <alignment horizontal="right" vertical="center"/>
    </xf>
    <xf numFmtId="0" fontId="25" fillId="0" borderId="100" xfId="0" applyFont="1" applyBorder="1" applyAlignment="1">
      <alignment horizontal="right" vertical="center"/>
    </xf>
    <xf numFmtId="0" fontId="25" fillId="0" borderId="101" xfId="0" applyFont="1" applyBorder="1" applyAlignment="1">
      <alignment horizontal="right" vertical="center"/>
    </xf>
    <xf numFmtId="0" fontId="22" fillId="0" borderId="99" xfId="0" applyFont="1" applyBorder="1" applyAlignment="1">
      <alignment horizontal="right" vertical="center"/>
    </xf>
    <xf numFmtId="0" fontId="22" fillId="0" borderId="101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2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06" xfId="0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109" xfId="0" applyFont="1" applyBorder="1" applyAlignment="1">
      <alignment horizontal="right" vertical="center"/>
    </xf>
    <xf numFmtId="0" fontId="22" fillId="0" borderId="90" xfId="0" applyFont="1" applyBorder="1" applyAlignment="1">
      <alignment horizontal="center" vertical="center"/>
    </xf>
    <xf numFmtId="0" fontId="22" fillId="0" borderId="114" xfId="0" applyFont="1" applyBorder="1" applyAlignment="1">
      <alignment horizontal="center" vertical="center"/>
    </xf>
    <xf numFmtId="0" fontId="22" fillId="0" borderId="110" xfId="0" applyFont="1" applyBorder="1" applyAlignment="1">
      <alignment horizontal="center" vertical="center"/>
    </xf>
    <xf numFmtId="0" fontId="22" fillId="0" borderId="111" xfId="0" applyFont="1" applyBorder="1" applyAlignment="1">
      <alignment horizontal="center" vertical="center"/>
    </xf>
    <xf numFmtId="0" fontId="22" fillId="0" borderId="115" xfId="0" applyFont="1" applyBorder="1" applyAlignment="1">
      <alignment horizontal="center" vertical="center"/>
    </xf>
    <xf numFmtId="0" fontId="22" fillId="0" borderId="116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22" fillId="0" borderId="100" xfId="0" applyFont="1" applyBorder="1" applyAlignment="1">
      <alignment horizontal="right" vertical="center"/>
    </xf>
    <xf numFmtId="0" fontId="24" fillId="0" borderId="99" xfId="0" applyFont="1" applyBorder="1" applyAlignment="1">
      <alignment horizontal="right" vertical="center" wrapText="1"/>
    </xf>
    <xf numFmtId="0" fontId="24" fillId="0" borderId="101" xfId="0" applyFont="1" applyBorder="1" applyAlignment="1">
      <alignment horizontal="right" vertical="center" wrapText="1"/>
    </xf>
    <xf numFmtId="0" fontId="22" fillId="0" borderId="117" xfId="0" applyFont="1" applyBorder="1" applyAlignment="1">
      <alignment horizontal="right" vertical="center"/>
    </xf>
    <xf numFmtId="0" fontId="22" fillId="0" borderId="103" xfId="0" applyFont="1" applyBorder="1" applyAlignment="1">
      <alignment horizontal="right" vertical="center"/>
    </xf>
    <xf numFmtId="0" fontId="22" fillId="0" borderId="104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 wrapText="1"/>
    </xf>
    <xf numFmtId="0" fontId="20" fillId="0" borderId="51" xfId="0" applyFont="1" applyBorder="1" applyAlignment="1">
      <alignment horizontal="right" vertical="center" wrapText="1"/>
    </xf>
    <xf numFmtId="0" fontId="21" fillId="0" borderId="52" xfId="0" applyFont="1" applyFill="1" applyBorder="1" applyAlignment="1">
      <alignment horizontal="center" vertical="center" wrapText="1"/>
    </xf>
    <xf numFmtId="0" fontId="21" fillId="0" borderId="82" xfId="0" applyFont="1" applyFill="1" applyBorder="1" applyAlignment="1">
      <alignment horizontal="center" vertical="center" wrapText="1"/>
    </xf>
    <xf numFmtId="0" fontId="21" fillId="0" borderId="105" xfId="0" applyFont="1" applyFill="1" applyBorder="1" applyAlignment="1">
      <alignment horizontal="center" vertical="center" wrapText="1"/>
    </xf>
    <xf numFmtId="0" fontId="20" fillId="0" borderId="94" xfId="0" applyFont="1" applyBorder="1" applyAlignment="1">
      <alignment horizontal="right" vertical="center" wrapText="1"/>
    </xf>
    <xf numFmtId="14" fontId="21" fillId="0" borderId="102" xfId="0" applyNumberFormat="1" applyFont="1" applyFill="1" applyBorder="1" applyAlignment="1">
      <alignment horizontal="center" vertical="center" wrapText="1"/>
    </xf>
    <xf numFmtId="0" fontId="21" fillId="0" borderId="103" xfId="0" applyFont="1" applyFill="1" applyBorder="1" applyAlignment="1">
      <alignment horizontal="center" vertical="center" wrapText="1"/>
    </xf>
    <xf numFmtId="0" fontId="21" fillId="0" borderId="104" xfId="0" applyFont="1" applyFill="1" applyBorder="1" applyAlignment="1">
      <alignment horizontal="center" vertical="center" wrapText="1"/>
    </xf>
    <xf numFmtId="14" fontId="23" fillId="0" borderId="99" xfId="0" applyNumberFormat="1" applyFont="1" applyFill="1" applyBorder="1" applyAlignment="1">
      <alignment horizontal="center" vertical="center" wrapText="1"/>
    </xf>
    <xf numFmtId="0" fontId="23" fillId="0" borderId="100" xfId="0" applyFont="1" applyFill="1" applyBorder="1" applyAlignment="1">
      <alignment horizontal="center" vertical="center" wrapText="1"/>
    </xf>
    <xf numFmtId="0" fontId="23" fillId="0" borderId="101" xfId="0" applyFont="1" applyFill="1" applyBorder="1" applyAlignment="1">
      <alignment horizontal="center" vertical="center" wrapText="1"/>
    </xf>
    <xf numFmtId="0" fontId="21" fillId="0" borderId="102" xfId="0" applyFont="1" applyFill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/>
    </xf>
    <xf numFmtId="0" fontId="15" fillId="0" borderId="88" xfId="0" applyFont="1" applyBorder="1" applyAlignment="1">
      <alignment horizontal="center" vertical="center"/>
    </xf>
    <xf numFmtId="0" fontId="15" fillId="0" borderId="89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18" fillId="0" borderId="93" xfId="0" applyFont="1" applyBorder="1" applyAlignment="1">
      <alignment horizontal="center" vertical="center"/>
    </xf>
    <xf numFmtId="0" fontId="19" fillId="0" borderId="91" xfId="0" applyFont="1" applyBorder="1" applyAlignment="1">
      <alignment horizontal="center" vertical="center"/>
    </xf>
    <xf numFmtId="0" fontId="19" fillId="0" borderId="92" xfId="0" applyFont="1" applyBorder="1" applyAlignment="1">
      <alignment horizontal="center" vertical="center"/>
    </xf>
    <xf numFmtId="0" fontId="19" fillId="0" borderId="93" xfId="0" applyFont="1" applyBorder="1" applyAlignment="1">
      <alignment horizontal="center" vertical="center"/>
    </xf>
    <xf numFmtId="0" fontId="21" fillId="0" borderId="99" xfId="0" applyFont="1" applyFill="1" applyBorder="1" applyAlignment="1">
      <alignment horizontal="center" vertical="center" wrapText="1"/>
    </xf>
    <xf numFmtId="0" fontId="21" fillId="0" borderId="100" xfId="0" applyFont="1" applyFill="1" applyBorder="1" applyAlignment="1">
      <alignment horizontal="center" vertical="center" wrapText="1"/>
    </xf>
    <xf numFmtId="0" fontId="21" fillId="0" borderId="101" xfId="0" applyFont="1" applyFill="1" applyBorder="1" applyAlignment="1">
      <alignment horizontal="center" vertical="center" wrapText="1"/>
    </xf>
    <xf numFmtId="14" fontId="21" fillId="0" borderId="99" xfId="0" applyNumberFormat="1" applyFont="1" applyFill="1" applyBorder="1" applyAlignment="1">
      <alignment horizontal="center" vertical="center" wrapText="1"/>
    </xf>
    <xf numFmtId="14" fontId="21" fillId="0" borderId="100" xfId="0" applyNumberFormat="1" applyFont="1" applyFill="1" applyBorder="1" applyAlignment="1">
      <alignment horizontal="center" vertical="center" wrapText="1"/>
    </xf>
    <xf numFmtId="14" fontId="21" fillId="0" borderId="101" xfId="0" applyNumberFormat="1" applyFont="1" applyFill="1" applyBorder="1" applyAlignment="1">
      <alignment horizontal="center" vertical="center" wrapText="1"/>
    </xf>
    <xf numFmtId="49" fontId="21" fillId="0" borderId="102" xfId="0" applyNumberFormat="1" applyFont="1" applyFill="1" applyBorder="1" applyAlignment="1">
      <alignment horizontal="center" vertical="center" wrapText="1"/>
    </xf>
    <xf numFmtId="0" fontId="76" fillId="0" borderId="96" xfId="0" applyFont="1" applyBorder="1" applyAlignment="1">
      <alignment horizontal="right" vertical="center" wrapText="1"/>
    </xf>
    <xf numFmtId="0" fontId="21" fillId="0" borderId="96" xfId="0" applyFont="1" applyBorder="1" applyAlignment="1">
      <alignment horizontal="right" vertical="center" wrapText="1"/>
    </xf>
    <xf numFmtId="0" fontId="21" fillId="7" borderId="96" xfId="0" applyFont="1" applyFill="1" applyBorder="1" applyAlignment="1">
      <alignment horizontal="center" vertical="center" wrapText="1"/>
    </xf>
    <xf numFmtId="0" fontId="74" fillId="0" borderId="78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1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  <xf numFmtId="0" fontId="51" fillId="0" borderId="131" xfId="0" applyFont="1" applyFill="1" applyBorder="1" applyAlignment="1">
      <alignment horizontal="center" wrapText="1"/>
    </xf>
    <xf numFmtId="0" fontId="51" fillId="0" borderId="86" xfId="0" applyFont="1" applyFill="1" applyBorder="1" applyAlignment="1">
      <alignment horizontal="center" wrapText="1"/>
    </xf>
    <xf numFmtId="0" fontId="68" fillId="0" borderId="83" xfId="0" applyFont="1" applyFill="1" applyBorder="1" applyAlignment="1">
      <alignment horizontal="center" vertical="center"/>
    </xf>
    <xf numFmtId="0" fontId="68" fillId="0" borderId="85" xfId="0" applyFont="1" applyFill="1" applyBorder="1" applyAlignment="1">
      <alignment horizontal="center" vertical="center"/>
    </xf>
    <xf numFmtId="0" fontId="51" fillId="0" borderId="132" xfId="0" applyFont="1" applyFill="1" applyBorder="1" applyAlignment="1">
      <alignment horizontal="center" wrapText="1"/>
    </xf>
    <xf numFmtId="0" fontId="51" fillId="0" borderId="80" xfId="0" applyFont="1" applyFill="1" applyBorder="1" applyAlignment="1">
      <alignment horizontal="center" wrapText="1"/>
    </xf>
    <xf numFmtId="0" fontId="51" fillId="0" borderId="133" xfId="0" applyFont="1" applyFill="1" applyBorder="1" applyAlignment="1">
      <alignment horizontal="center" wrapText="1"/>
    </xf>
    <xf numFmtId="0" fontId="51" fillId="0" borderId="134" xfId="0" applyFont="1" applyFill="1" applyBorder="1" applyAlignment="1">
      <alignment horizontal="center" wrapText="1"/>
    </xf>
    <xf numFmtId="0" fontId="73" fillId="0" borderId="76" xfId="0" applyFont="1" applyFill="1" applyBorder="1" applyAlignment="1">
      <alignment horizontal="center" vertical="center"/>
    </xf>
    <xf numFmtId="0" fontId="73" fillId="0" borderId="77" xfId="0" applyFont="1" applyFill="1" applyBorder="1" applyAlignment="1">
      <alignment horizontal="center" vertical="center"/>
    </xf>
    <xf numFmtId="0" fontId="73" fillId="0" borderId="136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wrapText="1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68" fillId="0" borderId="94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1" xfId="0" applyFont="1" applyFill="1" applyBorder="1" applyAlignment="1">
      <alignment horizontal="center"/>
    </xf>
    <xf numFmtId="0" fontId="70" fillId="0" borderId="94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68" xfId="0" applyFont="1" applyFill="1" applyBorder="1" applyAlignment="1">
      <alignment horizontal="center" vertical="center"/>
    </xf>
    <xf numFmtId="0" fontId="21" fillId="7" borderId="69" xfId="0" applyFont="1" applyFill="1" applyBorder="1" applyAlignment="1">
      <alignment horizontal="center" vertical="center"/>
    </xf>
    <xf numFmtId="0" fontId="21" fillId="7" borderId="130" xfId="0" applyFont="1" applyFill="1" applyBorder="1" applyAlignment="1">
      <alignment horizontal="center" vertical="center"/>
    </xf>
    <xf numFmtId="2" fontId="21" fillId="0" borderId="69" xfId="0" applyNumberFormat="1" applyFont="1" applyBorder="1" applyAlignment="1">
      <alignment horizontal="center" vertical="center"/>
    </xf>
    <xf numFmtId="2" fontId="21" fillId="7" borderId="69" xfId="0" applyNumberFormat="1" applyFont="1" applyFill="1" applyBorder="1" applyAlignment="1">
      <alignment horizontal="center" vertical="center"/>
    </xf>
    <xf numFmtId="2" fontId="62" fillId="0" borderId="69" xfId="0" applyNumberFormat="1" applyFont="1" applyFill="1" applyBorder="1" applyAlignment="1">
      <alignment horizontal="center" vertical="center"/>
    </xf>
    <xf numFmtId="2" fontId="62" fillId="0" borderId="70" xfId="0" applyNumberFormat="1" applyFont="1" applyFill="1" applyBorder="1" applyAlignment="1">
      <alignment horizontal="center" vertical="center"/>
    </xf>
    <xf numFmtId="0" fontId="21" fillId="7" borderId="121" xfId="0" applyFont="1" applyFill="1" applyBorder="1" applyAlignment="1">
      <alignment horizontal="center"/>
    </xf>
    <xf numFmtId="0" fontId="21" fillId="7" borderId="86" xfId="0" applyFont="1" applyFill="1" applyBorder="1" applyAlignment="1">
      <alignment horizontal="center"/>
    </xf>
    <xf numFmtId="0" fontId="44" fillId="7" borderId="84" xfId="0" applyFont="1" applyFill="1" applyBorder="1" applyAlignment="1">
      <alignment horizontal="center" vertical="center"/>
    </xf>
    <xf numFmtId="0" fontId="44" fillId="7" borderId="86" xfId="0" applyFont="1" applyFill="1" applyBorder="1" applyAlignment="1">
      <alignment horizontal="center" vertical="center"/>
    </xf>
    <xf numFmtId="9" fontId="44" fillId="0" borderId="86" xfId="0" applyNumberFormat="1" applyFont="1" applyBorder="1" applyAlignment="1">
      <alignment horizontal="center" vertical="center"/>
    </xf>
    <xf numFmtId="9" fontId="44" fillId="7" borderId="86" xfId="0" applyNumberFormat="1" applyFont="1" applyFill="1" applyBorder="1" applyAlignment="1">
      <alignment horizontal="center" vertical="center"/>
    </xf>
    <xf numFmtId="9" fontId="44" fillId="0" borderId="124" xfId="0" applyNumberFormat="1" applyFont="1" applyBorder="1" applyAlignment="1">
      <alignment horizontal="center" vertical="center"/>
    </xf>
    <xf numFmtId="0" fontId="21" fillId="7" borderId="115" xfId="0" applyFont="1" applyFill="1" applyBorder="1" applyAlignment="1">
      <alignment horizontal="center" vertical="center"/>
    </xf>
    <xf numFmtId="0" fontId="21" fillId="7" borderId="80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0" xfId="0" applyFont="1" applyFill="1" applyBorder="1" applyAlignment="1">
      <alignment horizontal="center" vertical="center"/>
    </xf>
    <xf numFmtId="1" fontId="21" fillId="0" borderId="80" xfId="0" applyNumberFormat="1" applyFont="1" applyBorder="1" applyAlignment="1">
      <alignment horizontal="center" vertical="center"/>
    </xf>
    <xf numFmtId="1" fontId="21" fillId="7" borderId="80" xfId="0" applyNumberFormat="1" applyFont="1" applyFill="1" applyBorder="1" applyAlignment="1">
      <alignment horizontal="center" vertical="center"/>
    </xf>
    <xf numFmtId="0" fontId="62" fillId="0" borderId="80" xfId="0" applyFont="1" applyFill="1" applyBorder="1" applyAlignment="1">
      <alignment horizontal="center" vertical="center"/>
    </xf>
    <xf numFmtId="0" fontId="62" fillId="0" borderId="116" xfId="0" applyFont="1" applyFill="1" applyBorder="1" applyAlignment="1">
      <alignment horizontal="center" vertical="center"/>
    </xf>
    <xf numFmtId="0" fontId="21" fillId="0" borderId="94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1" xfId="0" applyFont="1" applyFill="1" applyBorder="1" applyAlignment="1">
      <alignment horizontal="center"/>
    </xf>
    <xf numFmtId="0" fontId="21" fillId="0" borderId="95" xfId="0" applyFont="1" applyFill="1" applyBorder="1" applyAlignment="1">
      <alignment horizontal="center" wrapText="1"/>
    </xf>
    <xf numFmtId="0" fontId="21" fillId="0" borderId="96" xfId="0" applyFont="1" applyFill="1" applyBorder="1" applyAlignment="1">
      <alignment horizontal="center" wrapText="1"/>
    </xf>
    <xf numFmtId="0" fontId="67" fillId="0" borderId="96" xfId="0" applyFont="1" applyFill="1" applyBorder="1" applyAlignment="1">
      <alignment horizontal="center"/>
    </xf>
    <xf numFmtId="0" fontId="67" fillId="0" borderId="97" xfId="0" applyFont="1" applyFill="1" applyBorder="1" applyAlignment="1">
      <alignment horizontal="center"/>
    </xf>
    <xf numFmtId="0" fontId="21" fillId="0" borderId="68" xfId="0" applyFont="1" applyBorder="1" applyAlignment="1">
      <alignment horizontal="left" vertical="center"/>
    </xf>
    <xf numFmtId="0" fontId="21" fillId="0" borderId="69" xfId="0" applyFont="1" applyBorder="1" applyAlignment="1">
      <alignment vertical="center"/>
    </xf>
    <xf numFmtId="0" fontId="21" fillId="0" borderId="69" xfId="0" applyFont="1" applyBorder="1" applyAlignment="1">
      <alignment horizontal="center" vertical="center"/>
    </xf>
    <xf numFmtId="164" fontId="66" fillId="0" borderId="69" xfId="0" applyNumberFormat="1" applyFont="1" applyBorder="1" applyAlignment="1">
      <alignment horizontal="center" vertical="center"/>
    </xf>
    <xf numFmtId="164" fontId="21" fillId="0" borderId="69" xfId="0" applyNumberFormat="1" applyFont="1" applyBorder="1" applyAlignment="1">
      <alignment horizontal="center" vertical="center"/>
    </xf>
    <xf numFmtId="164" fontId="21" fillId="0" borderId="70" xfId="0" applyNumberFormat="1" applyFont="1" applyBorder="1" applyAlignment="1">
      <alignment horizontal="center" vertical="center"/>
    </xf>
    <xf numFmtId="0" fontId="21" fillId="0" borderId="115" xfId="0" applyFont="1" applyBorder="1" applyAlignment="1">
      <alignment horizontal="left" vertical="center"/>
    </xf>
    <xf numFmtId="0" fontId="21" fillId="0" borderId="80" xfId="0" applyFont="1" applyBorder="1" applyAlignment="1">
      <alignment vertical="center"/>
    </xf>
    <xf numFmtId="2" fontId="21" fillId="0" borderId="80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0" xfId="0" applyNumberFormat="1" applyFont="1" applyBorder="1" applyAlignment="1">
      <alignment horizontal="center" vertical="center"/>
    </xf>
    <xf numFmtId="164" fontId="21" fillId="0" borderId="116" xfId="0" applyNumberFormat="1" applyFont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 wrapText="1"/>
    </xf>
    <xf numFmtId="0" fontId="21" fillId="7" borderId="124" xfId="0" applyFont="1" applyFill="1" applyBorder="1" applyAlignment="1">
      <alignment horizontal="center" vertical="center" wrapText="1"/>
    </xf>
    <xf numFmtId="0" fontId="21" fillId="7" borderId="80" xfId="0" applyFont="1" applyFill="1" applyBorder="1" applyAlignment="1">
      <alignment horizontal="center" vertical="center" wrapText="1"/>
    </xf>
    <xf numFmtId="0" fontId="21" fillId="7" borderId="116" xfId="0" applyFont="1" applyFill="1" applyBorder="1" applyAlignment="1">
      <alignment horizontal="center" vertical="center" wrapText="1"/>
    </xf>
    <xf numFmtId="0" fontId="62" fillId="0" borderId="115" xfId="0" applyFont="1" applyBorder="1" applyAlignment="1">
      <alignment horizontal="left" vertical="center"/>
    </xf>
    <xf numFmtId="165" fontId="21" fillId="0" borderId="80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50" fillId="0" borderId="92" xfId="0" applyFont="1" applyFill="1" applyBorder="1" applyAlignment="1">
      <alignment horizontal="center" vertical="center"/>
    </xf>
    <xf numFmtId="0" fontId="51" fillId="0" borderId="99" xfId="0" applyFont="1" applyFill="1" applyBorder="1" applyAlignment="1">
      <alignment horizontal="center" vertical="center"/>
    </xf>
    <xf numFmtId="0" fontId="51" fillId="0" borderId="101" xfId="0" applyFont="1" applyFill="1" applyBorder="1" applyAlignment="1">
      <alignment horizontal="center" vertical="center"/>
    </xf>
    <xf numFmtId="0" fontId="49" fillId="0" borderId="117" xfId="0" applyFont="1" applyBorder="1" applyAlignment="1">
      <alignment horizontal="right" vertical="center"/>
    </xf>
    <xf numFmtId="0" fontId="49" fillId="0" borderId="103" xfId="0" applyFont="1" applyBorder="1" applyAlignment="1">
      <alignment horizontal="right" vertical="center"/>
    </xf>
    <xf numFmtId="0" fontId="49" fillId="0" borderId="104" xfId="0" applyFont="1" applyBorder="1" applyAlignment="1">
      <alignment horizontal="right" vertical="center"/>
    </xf>
    <xf numFmtId="0" fontId="52" fillId="0" borderId="99" xfId="0" applyFont="1" applyBorder="1" applyAlignment="1">
      <alignment horizontal="right" vertical="center"/>
    </xf>
    <xf numFmtId="0" fontId="52" fillId="0" borderId="101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2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99" xfId="0" applyFont="1" applyBorder="1" applyAlignment="1">
      <alignment horizontal="right" vertical="center"/>
    </xf>
    <xf numFmtId="0" fontId="57" fillId="0" borderId="101" xfId="0" applyFont="1" applyBorder="1" applyAlignment="1">
      <alignment horizontal="right" vertical="center"/>
    </xf>
    <xf numFmtId="0" fontId="46" fillId="0" borderId="99" xfId="0" applyFont="1" applyBorder="1" applyAlignment="1">
      <alignment horizontal="right" vertical="center"/>
    </xf>
    <xf numFmtId="0" fontId="46" fillId="0" borderId="101" xfId="0" applyFont="1" applyBorder="1" applyAlignment="1">
      <alignment horizontal="right" vertical="center"/>
    </xf>
    <xf numFmtId="0" fontId="20" fillId="0" borderId="106" xfId="0" applyFont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28" xfId="0" applyFont="1" applyBorder="1" applyAlignment="1">
      <alignment horizontal="right" vertical="center"/>
    </xf>
    <xf numFmtId="0" fontId="20" fillId="0" borderId="100" xfId="0" applyFont="1" applyBorder="1" applyAlignment="1">
      <alignment horizontal="right" vertical="center"/>
    </xf>
    <xf numFmtId="0" fontId="20" fillId="0" borderId="101" xfId="0" applyFont="1" applyBorder="1" applyAlignment="1">
      <alignment horizontal="right" vertical="center"/>
    </xf>
    <xf numFmtId="0" fontId="20" fillId="0" borderId="90" xfId="0" applyFont="1" applyBorder="1" applyAlignment="1">
      <alignment horizontal="center" vertical="center"/>
    </xf>
    <xf numFmtId="0" fontId="20" fillId="0" borderId="114" xfId="0" applyFont="1" applyBorder="1" applyAlignment="1">
      <alignment horizontal="center" vertical="center"/>
    </xf>
    <xf numFmtId="0" fontId="20" fillId="0" borderId="99" xfId="0" applyFont="1" applyBorder="1" applyAlignment="1">
      <alignment horizontal="right" vertical="center"/>
    </xf>
    <xf numFmtId="0" fontId="46" fillId="0" borderId="110" xfId="0" applyFont="1" applyBorder="1" applyAlignment="1">
      <alignment horizontal="center" vertical="center"/>
    </xf>
    <xf numFmtId="0" fontId="46" fillId="0" borderId="111" xfId="0" applyFont="1" applyBorder="1" applyAlignment="1">
      <alignment horizontal="center" vertical="center"/>
    </xf>
    <xf numFmtId="0" fontId="46" fillId="0" borderId="115" xfId="0" applyFont="1" applyBorder="1" applyAlignment="1">
      <alignment horizontal="center" vertical="center"/>
    </xf>
    <xf numFmtId="0" fontId="46" fillId="0" borderId="116" xfId="0" applyFont="1" applyBorder="1" applyAlignment="1">
      <alignment horizontal="center" vertical="center"/>
    </xf>
    <xf numFmtId="0" fontId="46" fillId="0" borderId="68" xfId="0" applyFont="1" applyBorder="1" applyAlignment="1">
      <alignment horizontal="center" vertical="center"/>
    </xf>
    <xf numFmtId="0" fontId="46" fillId="0" borderId="70" xfId="0" applyFont="1" applyBorder="1" applyAlignment="1">
      <alignment horizontal="center" vertical="center"/>
    </xf>
    <xf numFmtId="0" fontId="46" fillId="0" borderId="128" xfId="0" applyFont="1" applyBorder="1" applyAlignment="1">
      <alignment horizontal="right" vertical="center"/>
    </xf>
    <xf numFmtId="0" fontId="48" fillId="0" borderId="102" xfId="0" applyFont="1" applyBorder="1" applyAlignment="1">
      <alignment horizontal="right" vertical="center" wrapText="1"/>
    </xf>
    <xf numFmtId="0" fontId="48" fillId="0" borderId="104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05" xfId="0" applyFont="1" applyBorder="1" applyAlignment="1">
      <alignment horizontal="right" vertical="center"/>
    </xf>
    <xf numFmtId="14" fontId="21" fillId="0" borderId="95" xfId="0" applyNumberFormat="1" applyFont="1" applyFill="1" applyBorder="1" applyAlignment="1">
      <alignment horizontal="center" vertical="center" wrapText="1"/>
    </xf>
    <xf numFmtId="0" fontId="21" fillId="0" borderId="96" xfId="0" applyFont="1" applyFill="1" applyBorder="1" applyAlignment="1">
      <alignment horizontal="center" vertical="center" wrapText="1"/>
    </xf>
    <xf numFmtId="0" fontId="21" fillId="0" borderId="97" xfId="0" applyFont="1" applyFill="1" applyBorder="1" applyAlignment="1">
      <alignment horizontal="center" vertical="center" wrapText="1"/>
    </xf>
    <xf numFmtId="0" fontId="21" fillId="0" borderId="99" xfId="0" applyFont="1" applyFill="1" applyBorder="1" applyAlignment="1">
      <alignment horizontal="left" vertical="center" wrapText="1"/>
    </xf>
    <xf numFmtId="0" fontId="21" fillId="0" borderId="100" xfId="0" applyFont="1" applyFill="1" applyBorder="1" applyAlignment="1">
      <alignment horizontal="left" vertical="center" wrapText="1"/>
    </xf>
    <xf numFmtId="0" fontId="21" fillId="0" borderId="101" xfId="0" applyFont="1" applyFill="1" applyBorder="1" applyAlignment="1">
      <alignment horizontal="left" vertical="center" wrapText="1"/>
    </xf>
    <xf numFmtId="0" fontId="44" fillId="0" borderId="102" xfId="0" applyFont="1" applyFill="1" applyBorder="1" applyAlignment="1">
      <alignment horizontal="center" vertical="center" wrapText="1"/>
    </xf>
    <xf numFmtId="0" fontId="44" fillId="0" borderId="103" xfId="0" applyFont="1" applyFill="1" applyBorder="1" applyAlignment="1">
      <alignment horizontal="center" vertical="center" wrapText="1"/>
    </xf>
    <xf numFmtId="0" fontId="44" fillId="0" borderId="104" xfId="0" applyFont="1" applyFill="1" applyBorder="1" applyAlignment="1">
      <alignment horizontal="center" vertical="center" wrapText="1"/>
    </xf>
    <xf numFmtId="0" fontId="37" fillId="0" borderId="88" xfId="0" applyFont="1" applyBorder="1" applyAlignment="1">
      <alignment horizontal="center" vertical="center"/>
    </xf>
    <xf numFmtId="0" fontId="37" fillId="0" borderId="89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5" fillId="0" borderId="91" xfId="0" applyFont="1" applyBorder="1" applyAlignment="1">
      <alignment horizontal="center" vertical="center"/>
    </xf>
    <xf numFmtId="0" fontId="35" fillId="0" borderId="92" xfId="0" applyFont="1" applyBorder="1" applyAlignment="1">
      <alignment horizontal="center" vertical="center"/>
    </xf>
    <xf numFmtId="0" fontId="35" fillId="0" borderId="93" xfId="0" applyFont="1" applyBorder="1" applyAlignment="1">
      <alignment horizontal="center" vertical="center"/>
    </xf>
    <xf numFmtId="0" fontId="40" fillId="0" borderId="91" xfId="0" applyFont="1" applyBorder="1" applyAlignment="1">
      <alignment horizontal="center" vertical="center"/>
    </xf>
    <xf numFmtId="0" fontId="40" fillId="0" borderId="92" xfId="0" applyFont="1" applyBorder="1" applyAlignment="1">
      <alignment horizontal="center" vertical="center"/>
    </xf>
    <xf numFmtId="0" fontId="40" fillId="0" borderId="93" xfId="0" applyFont="1" applyBorder="1" applyAlignment="1">
      <alignment horizontal="center" vertical="center"/>
    </xf>
    <xf numFmtId="0" fontId="41" fillId="0" borderId="92" xfId="0" applyFont="1" applyBorder="1" applyAlignment="1">
      <alignment horizontal="center" vertical="center"/>
    </xf>
    <xf numFmtId="0" fontId="41" fillId="0" borderId="93" xfId="0" applyFont="1" applyBorder="1" applyAlignment="1">
      <alignment horizontal="center" vertical="center"/>
    </xf>
    <xf numFmtId="0" fontId="29" fillId="0" borderId="99" xfId="0" applyFont="1" applyFill="1" applyBorder="1" applyAlignment="1">
      <alignment horizontal="center" vertical="center" wrapText="1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1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Style" Target="style2.xml"/><Relationship Id="rId2" Type="http://schemas.microsoft.com/office/2011/relationships/chartColorStyle" Target="colors2.xml"/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98.63333333333334</c:v>
                </c:pt>
                <c:pt idx="5">
                  <c:v>96</c:v>
                </c:pt>
                <c:pt idx="6">
                  <c:v>93.733333333333334</c:v>
                </c:pt>
                <c:pt idx="7">
                  <c:v>84</c:v>
                </c:pt>
                <c:pt idx="8">
                  <c:v>58.1</c:v>
                </c:pt>
                <c:pt idx="9">
                  <c:v>29.533333333333331</c:v>
                </c:pt>
                <c:pt idx="10">
                  <c:v>24.86666666666666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256704"/>
        <c:axId val="305258880"/>
      </c:scatterChart>
      <c:valAx>
        <c:axId val="305256704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5258880"/>
        <c:crosses val="autoZero"/>
        <c:crossBetween val="midCat"/>
      </c:valAx>
      <c:valAx>
        <c:axId val="30525888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5256704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4.1224916826748279</c:v>
                </c:pt>
                <c:pt idx="1">
                  <c:v>6.0731823628206723</c:v>
                </c:pt>
                <c:pt idx="2">
                  <c:v>8.3045221822493893</c:v>
                </c:pt>
                <c:pt idx="3">
                  <c:v>10.14656325501363</c:v>
                </c:pt>
                <c:pt idx="4">
                  <c:v>11.935935920065679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1.7920165578952847</c:v>
                </c:pt>
                <c:pt idx="1">
                  <c:v>1.8337243342757841</c:v>
                </c:pt>
                <c:pt idx="2">
                  <c:v>1.8349449916291107</c:v>
                </c:pt>
                <c:pt idx="3">
                  <c:v>1.7985060538385576</c:v>
                </c:pt>
                <c:pt idx="4">
                  <c:v>1.7499450035819022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1.8420000000000001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7.3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1.8420000000000001</c:v>
                </c:pt>
                <c:pt idx="1">
                  <c:v>1.8420000000000001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593280"/>
        <c:axId val="298608128"/>
      </c:scatterChart>
      <c:valAx>
        <c:axId val="298593280"/>
        <c:scaling>
          <c:orientation val="minMax"/>
          <c:max val="14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98608128"/>
        <c:crossesAt val="1.2"/>
        <c:crossBetween val="midCat"/>
        <c:majorUnit val="2"/>
      </c:valAx>
      <c:valAx>
        <c:axId val="298608128"/>
        <c:scaling>
          <c:orientation val="minMax"/>
          <c:max val="1.86"/>
          <c:min val="1.72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98593280"/>
        <c:crossesAt val="1"/>
        <c:crossBetween val="midCat"/>
        <c:majorUnit val="0.1"/>
        <c:minorUnit val="1.0000000000000005E-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17.886673955296409</c:v>
                </c:pt>
                <c:pt idx="1">
                  <c:v>12.163514091350828</c:v>
                </c:pt>
                <c:pt idx="2">
                  <c:v>5.9113226433430528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1.8422857037963325</c:v>
                </c:pt>
                <c:pt idx="1">
                  <c:v>1.749714864139633</c:v>
                </c:pt>
                <c:pt idx="2">
                  <c:v>1.6578685717936619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12.2</c:v>
                </c:pt>
                <c:pt idx="1">
                  <c:v>12.2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1.7499</c:v>
                </c:pt>
                <c:pt idx="1">
                  <c:v>1.64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4</c:v>
                </c:pt>
                <c:pt idx="1">
                  <c:v>12.2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1.7499</c:v>
                </c:pt>
                <c:pt idx="1">
                  <c:v>1.7499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632320"/>
        <c:axId val="298634624"/>
      </c:scatterChart>
      <c:valAx>
        <c:axId val="298632320"/>
        <c:scaling>
          <c:orientation val="minMax"/>
          <c:max val="20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98634624"/>
        <c:crossesAt val="1.4"/>
        <c:crossBetween val="midCat"/>
        <c:majorUnit val="4"/>
        <c:minorUnit val="0.4"/>
      </c:valAx>
      <c:valAx>
        <c:axId val="298634624"/>
        <c:scaling>
          <c:orientation val="minMax"/>
          <c:max val="1.86"/>
          <c:min val="1.64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98632320"/>
        <c:crossesAt val="0"/>
        <c:crossBetween val="midCat"/>
        <c:majorUnit val="4.0000000000000022E-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98.63333333333334</c:v>
                </c:pt>
                <c:pt idx="5">
                  <c:v>96</c:v>
                </c:pt>
                <c:pt idx="6">
                  <c:v>93.733333333333334</c:v>
                </c:pt>
                <c:pt idx="7">
                  <c:v>84</c:v>
                </c:pt>
                <c:pt idx="8">
                  <c:v>58.1</c:v>
                </c:pt>
                <c:pt idx="9">
                  <c:v>29.533333333333331</c:v>
                </c:pt>
                <c:pt idx="10">
                  <c:v>24.866666666666674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405312"/>
        <c:axId val="303407872"/>
      </c:scatterChart>
      <c:valAx>
        <c:axId val="303405312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3407872"/>
        <c:crosses val="autoZero"/>
        <c:crossBetween val="midCat"/>
        <c:majorUnit val="10"/>
      </c:valAx>
      <c:valAx>
        <c:axId val="303407872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3405312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COURBE LIMITE</a:t>
            </a:r>
          </a:p>
        </c:rich>
      </c:tx>
      <c:layout>
        <c:manualLayout>
          <c:xMode val="edge"/>
          <c:yMode val="edge"/>
          <c:x val="0.43573616764750595"/>
          <c:y val="2.423534863880982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015033150354765E-2"/>
          <c:y val="9.7638888888888928E-2"/>
          <c:w val="0.85388740157480336"/>
          <c:h val="0.75850299962504686"/>
        </c:manualLayout>
      </c:layout>
      <c:scatterChart>
        <c:scatterStyle val="lineMarker"/>
        <c:varyColors val="0"/>
        <c:ser>
          <c:idx val="2"/>
          <c:order val="0"/>
          <c:tx>
            <c:v>COURBE LIMITE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/>
              </a:solidFill>
              <a:ln w="12700" cap="flat" cmpd="sng" algn="ctr">
                <a:solidFill>
                  <a:schemeClr val="dk1">
                    <a:shade val="50000"/>
                  </a:schemeClr>
                </a:solidFill>
                <a:prstDash val="solid"/>
                <a:miter lim="800000"/>
              </a:ln>
              <a:effectLst/>
            </c:spPr>
          </c:marker>
          <c:trendline>
            <c:spPr>
              <a:ln w="28575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'Limite '!$C$9:$H$9</c:f>
              <c:numCache>
                <c:formatCode>General</c:formatCode>
                <c:ptCount val="6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32</c:v>
                </c:pt>
                <c:pt idx="5">
                  <c:v>35</c:v>
                </c:pt>
              </c:numCache>
            </c:numRef>
          </c:xVal>
          <c:yVal>
            <c:numRef>
              <c:f>'Limite '!$C$16:$H$16</c:f>
              <c:numCache>
                <c:formatCode>0.00</c:formatCode>
                <c:ptCount val="6"/>
                <c:pt idx="0">
                  <c:v>29.305912596401011</c:v>
                </c:pt>
                <c:pt idx="1">
                  <c:v>28.667163067758729</c:v>
                </c:pt>
                <c:pt idx="2">
                  <c:v>28.115264797507784</c:v>
                </c:pt>
                <c:pt idx="3">
                  <c:v>27.398311588641601</c:v>
                </c:pt>
                <c:pt idx="4">
                  <c:v>26.673427991886399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BA-4680-86DC-C1E4A5A5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23072"/>
        <c:axId val="301124992"/>
      </c:scatterChart>
      <c:scatterChart>
        <c:scatterStyle val="smoothMarker"/>
        <c:varyColors val="0"/>
        <c:ser>
          <c:idx val="3"/>
          <c:order val="1"/>
          <c:spPr>
            <a:ln w="28575" cap="rnd">
              <a:solidFill>
                <a:srgbClr val="FF0000"/>
              </a:solidFill>
              <a:prstDash val="dash"/>
              <a:round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'Limite '!$N$20:$N$21</c:f>
              <c:numCache>
                <c:formatCode>General</c:formatCode>
                <c:ptCount val="2"/>
                <c:pt idx="0">
                  <c:v>25</c:v>
                </c:pt>
                <c:pt idx="1">
                  <c:v>14</c:v>
                </c:pt>
              </c:numCache>
            </c:numRef>
          </c:xVal>
          <c:yVal>
            <c:numRef>
              <c:f>'Limite '!$M$20:$M$21</c:f>
              <c:numCache>
                <c:formatCode>General</c:formatCode>
                <c:ptCount val="2"/>
                <c:pt idx="0">
                  <c:v>27.84</c:v>
                </c:pt>
                <c:pt idx="1">
                  <c:v>27.84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BBA-4680-86DC-C1E4A5A53265}"/>
            </c:ext>
          </c:extLst>
        </c:ser>
        <c:ser>
          <c:idx val="4"/>
          <c:order val="2"/>
          <c:spPr>
            <a:ln w="28575" cap="flat" cmpd="sng" algn="ctr">
              <a:solidFill>
                <a:schemeClr val="dk1"/>
              </a:solidFill>
              <a:prstDash val="solid"/>
              <a:miter lim="800000"/>
              <a:headEnd type="none" w="med" len="med"/>
              <a:tailEnd type="triangle" w="med" len="med"/>
            </a:ln>
            <a:effectLst/>
          </c:spPr>
          <c:marker>
            <c:symbol val="none"/>
          </c:marker>
          <c:xVal>
            <c:numRef>
              <c:f>'Limite '!$N$23:$N$24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'Limite '!$M$23:$M$24</c:f>
              <c:numCache>
                <c:formatCode>General</c:formatCode>
                <c:ptCount val="2"/>
                <c:pt idx="0">
                  <c:v>12</c:v>
                </c:pt>
                <c:pt idx="1">
                  <c:v>27.84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3BBA-4680-86DC-C1E4A5A5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23072"/>
        <c:axId val="301124992"/>
      </c:scatterChart>
      <c:valAx>
        <c:axId val="301123072"/>
        <c:scaling>
          <c:orientation val="minMax"/>
          <c:max val="35"/>
          <c:min val="16"/>
        </c:scaling>
        <c:delete val="0"/>
        <c:axPos val="b"/>
        <c:maj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Nombre de coups</a:t>
                </a:r>
              </a:p>
            </c:rich>
          </c:tx>
          <c:layout>
            <c:manualLayout>
              <c:xMode val="edge"/>
              <c:yMode val="edge"/>
              <c:x val="0.4536379746822618"/>
              <c:y val="0.90988536698059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1124992"/>
        <c:crosses val="autoZero"/>
        <c:crossBetween val="midCat"/>
        <c:majorUnit val="1"/>
      </c:valAx>
      <c:valAx>
        <c:axId val="301124992"/>
        <c:scaling>
          <c:orientation val="minMax"/>
          <c:max val="30"/>
          <c:min val="25"/>
        </c:scaling>
        <c:delete val="0"/>
        <c:axPos val="l"/>
        <c:maj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min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Teneur en eau</a:t>
                </a:r>
              </a:p>
            </c:rich>
          </c:tx>
          <c:layout>
            <c:manualLayout>
              <c:xMode val="edge"/>
              <c:yMode val="edge"/>
              <c:x val="8.1940347427073134E-3"/>
              <c:y val="0.344193642461358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1123072"/>
        <c:crosses val="autoZero"/>
        <c:crossBetween val="midCat"/>
        <c:majorUnit val="1"/>
        <c:minorUnit val="0.1"/>
      </c:valAx>
      <c:spPr>
        <a:solidFill>
          <a:schemeClr val="lt1"/>
        </a:solidFill>
        <a:ln w="12700" cap="flat" cmpd="sng" algn="ctr">
          <a:noFill/>
          <a:prstDash val="solid"/>
          <a:miter lim="800000"/>
        </a:ln>
        <a:effectLst/>
        <a:scene3d>
          <a:camera prst="orthographicFront"/>
          <a:lightRig rig="threePt" dir="t"/>
        </a:scene3d>
        <a:sp3d prstMaterial="plastic">
          <a:bevelT w="82550" h="63500" prst="divot"/>
          <a:bevelB/>
        </a:sp3d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prst="angle"/>
    </a:sp3d>
  </c:spPr>
  <c:txPr>
    <a:bodyPr/>
    <a:lstStyle/>
    <a:p>
      <a:pPr>
        <a:defRPr/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>
                <a:latin typeface="Angsana New" panose="02020603050405020304" pitchFamily="18" charset="-34"/>
                <a:cs typeface="Angsana New" panose="02020603050405020304" pitchFamily="18" charset="-34"/>
              </a:rPr>
              <a:t>Courbe Proctor P3</a:t>
            </a:r>
            <a:r>
              <a:rPr lang="fr-FR" sz="1400" baseline="0">
                <a:latin typeface="Angsana New" panose="02020603050405020304" pitchFamily="18" charset="-34"/>
                <a:cs typeface="Angsana New" panose="02020603050405020304" pitchFamily="18" charset="-34"/>
              </a:rPr>
              <a:t>  - 1 ère couche</a:t>
            </a:r>
            <a:r>
              <a:rPr lang="fr-FR" sz="1400">
                <a:latin typeface="Angsana New" panose="02020603050405020304" pitchFamily="18" charset="-34"/>
                <a:cs typeface="Angsana New" panose="02020603050405020304" pitchFamily="18" charset="-34"/>
              </a:rPr>
              <a:t> </a:t>
            </a:r>
          </a:p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rich>
      </c:tx>
      <c:layout>
        <c:manualLayout>
          <c:xMode val="edge"/>
          <c:yMode val="edge"/>
          <c:x val="0.2360694199303599"/>
          <c:y val="3.26812509632663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'!$B$41,'Proctor '!$D$41,'Proctor '!$F$41,'Proctor '!$H$41,'Proctor '!$J$41)</c:f>
              <c:numCache>
                <c:formatCode>0.0</c:formatCode>
                <c:ptCount val="5"/>
                <c:pt idx="0">
                  <c:v>4.1224916826748279</c:v>
                </c:pt>
                <c:pt idx="1">
                  <c:v>6.0731823628206723</c:v>
                </c:pt>
                <c:pt idx="2">
                  <c:v>8.3045221822493893</c:v>
                </c:pt>
                <c:pt idx="3">
                  <c:v>10.14656325501363</c:v>
                </c:pt>
                <c:pt idx="4">
                  <c:v>11.935935920065679</c:v>
                </c:pt>
              </c:numCache>
            </c:numRef>
          </c:xVal>
          <c:yVal>
            <c:numRef>
              <c:f>('Proctor '!$B$33,'Proctor '!$D$33,'Proctor '!$F$33,'Proctor '!$H$33,'Proctor '!$J$33)</c:f>
              <c:numCache>
                <c:formatCode>0.00</c:formatCode>
                <c:ptCount val="5"/>
                <c:pt idx="0">
                  <c:v>1.7920165578952847</c:v>
                </c:pt>
                <c:pt idx="1">
                  <c:v>1.8337243342757841</c:v>
                </c:pt>
                <c:pt idx="2">
                  <c:v>1.8349449916291107</c:v>
                </c:pt>
                <c:pt idx="3">
                  <c:v>1.7985060538385576</c:v>
                </c:pt>
                <c:pt idx="4">
                  <c:v>1.7499450035819022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453-41B9-ADC7-B41E491BAB02}"/>
            </c:ext>
          </c:extLst>
        </c:ser>
        <c:ser>
          <c:idx val="1"/>
          <c:order val="1"/>
          <c:tx>
            <c:strRef>
              <c:f>'Proctor '!$O$52:$O$53</c:f>
              <c:strCache>
                <c:ptCount val="1"/>
                <c:pt idx="0">
                  <c:v>1,842 1,78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'Proctor '!$N$52:$N$53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xVal>
          <c:yVal>
            <c:numRef>
              <c:f>'Proctor '!$O$52:$O$53</c:f>
              <c:numCache>
                <c:formatCode>General</c:formatCode>
                <c:ptCount val="2"/>
                <c:pt idx="0">
                  <c:v>1.8420000000000001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453-41B9-ADC7-B41E491BAB02}"/>
            </c:ext>
          </c:extLst>
        </c:ser>
        <c:ser>
          <c:idx val="2"/>
          <c:order val="2"/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'Proctor '!$O$55:$O$56</c:f>
              <c:numCache>
                <c:formatCode>General</c:formatCode>
                <c:ptCount val="2"/>
                <c:pt idx="0">
                  <c:v>7.3</c:v>
                </c:pt>
                <c:pt idx="1">
                  <c:v>4</c:v>
                </c:pt>
              </c:numCache>
            </c:numRef>
          </c:xVal>
          <c:yVal>
            <c:numRef>
              <c:f>'Proctor '!$N$55:$N$56</c:f>
              <c:numCache>
                <c:formatCode>General</c:formatCode>
                <c:ptCount val="2"/>
                <c:pt idx="0">
                  <c:v>1.8420000000000001</c:v>
                </c:pt>
                <c:pt idx="1">
                  <c:v>1.8420000000000001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453-41B9-ADC7-B41E491BA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715520"/>
        <c:axId val="314721792"/>
      </c:scatterChart>
      <c:valAx>
        <c:axId val="314715520"/>
        <c:scaling>
          <c:orientation val="minMax"/>
          <c:max val="1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4721792"/>
        <c:crosses val="autoZero"/>
        <c:crossBetween val="midCat"/>
        <c:minorUnit val="0.2"/>
      </c:valAx>
      <c:valAx>
        <c:axId val="314721792"/>
        <c:scaling>
          <c:orientation val="minMax"/>
          <c:max val="1.86"/>
          <c:min val="1.74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4715520"/>
        <c:crosses val="autoZero"/>
        <c:crossBetween val="midCat"/>
        <c:majorUnit val="2.0000000000000011E-2"/>
        <c:minorUnit val="2.0000000000000013E-3"/>
      </c:valAx>
      <c:spPr>
        <a:solidFill>
          <a:schemeClr val="lt1"/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36.534800000000004</c:v>
                </c:pt>
                <c:pt idx="2">
                  <c:v>81.074449999999999</c:v>
                </c:pt>
                <c:pt idx="3">
                  <c:v>117.69593999999999</c:v>
                </c:pt>
                <c:pt idx="4">
                  <c:v>175.10260000000002</c:v>
                </c:pt>
                <c:pt idx="5">
                  <c:v>207.76501000000002</c:v>
                </c:pt>
                <c:pt idx="6">
                  <c:v>368.10775000000007</c:v>
                </c:pt>
                <c:pt idx="7">
                  <c:v>461.14613000000008</c:v>
                </c:pt>
                <c:pt idx="8">
                  <c:v>745.21011999999996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18.718940000000003</c:v>
                </c:pt>
                <c:pt idx="2">
                  <c:v>40.493880000000004</c:v>
                </c:pt>
                <c:pt idx="3">
                  <c:v>72.166519999999991</c:v>
                </c:pt>
                <c:pt idx="4">
                  <c:v>117.69593999999999</c:v>
                </c:pt>
                <c:pt idx="5">
                  <c:v>154.31743</c:v>
                </c:pt>
                <c:pt idx="6">
                  <c:v>250.32512000000003</c:v>
                </c:pt>
                <c:pt idx="7">
                  <c:v>302.78293000000002</c:v>
                </c:pt>
                <c:pt idx="8">
                  <c:v>551.2152000000001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6.8417000000000003</c:v>
                </c:pt>
                <c:pt idx="2">
                  <c:v>24.657560000000004</c:v>
                </c:pt>
                <c:pt idx="3">
                  <c:v>31.58595</c:v>
                </c:pt>
                <c:pt idx="4">
                  <c:v>47.422269999999997</c:v>
                </c:pt>
                <c:pt idx="5">
                  <c:v>54.350659999999998</c:v>
                </c:pt>
                <c:pt idx="6">
                  <c:v>121.65502000000001</c:v>
                </c:pt>
                <c:pt idx="7">
                  <c:v>166.19467000000003</c:v>
                </c:pt>
                <c:pt idx="8">
                  <c:v>264.18190000000004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461120"/>
        <c:axId val="303462656"/>
      </c:scatterChart>
      <c:valAx>
        <c:axId val="303461120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3462656"/>
        <c:crosses val="autoZero"/>
        <c:crossBetween val="midCat"/>
        <c:majorUnit val="1"/>
      </c:valAx>
      <c:valAx>
        <c:axId val="30346265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3461120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 P 3 - 1 ère couche</a:t>
            </a:r>
            <a:endParaRPr lang="fr-FR" b="1"/>
          </a:p>
        </c:rich>
      </c:tx>
      <c:layout>
        <c:manualLayout>
          <c:xMode val="edge"/>
          <c:yMode val="edge"/>
          <c:x val="0.30361290368770416"/>
          <c:y val="2.74810283530641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17.886673955296409</c:v>
                </c:pt>
                <c:pt idx="1">
                  <c:v>12.163514091350828</c:v>
                </c:pt>
                <c:pt idx="2">
                  <c:v>5.9113226433430528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1.8422857037963325</c:v>
                </c:pt>
                <c:pt idx="1">
                  <c:v>1.749714864139633</c:v>
                </c:pt>
                <c:pt idx="2">
                  <c:v>1.6578685717936619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12.2</c:v>
                </c:pt>
                <c:pt idx="1">
                  <c:v>12.2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1.7499</c:v>
                </c:pt>
                <c:pt idx="1">
                  <c:v>1.64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12.2</c:v>
                </c:pt>
                <c:pt idx="1">
                  <c:v>4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1.7499</c:v>
                </c:pt>
                <c:pt idx="1">
                  <c:v>1.7499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840960"/>
        <c:axId val="316859904"/>
      </c:scatterChart>
      <c:valAx>
        <c:axId val="316840960"/>
        <c:scaling>
          <c:orientation val="minMax"/>
          <c:max val="20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6859904"/>
        <c:crossesAt val="1.4"/>
        <c:crossBetween val="midCat"/>
        <c:majorUnit val="4"/>
        <c:minorUnit val="0.4"/>
      </c:valAx>
      <c:valAx>
        <c:axId val="316859904"/>
        <c:scaling>
          <c:orientation val="minMax"/>
          <c:max val="1.86"/>
          <c:min val="1.64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6840960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156320</xdr:colOff>
      <xdr:row>47</xdr:row>
      <xdr:rowOff>185628</xdr:rowOff>
    </xdr:from>
    <xdr:to>
      <xdr:col>14</xdr:col>
      <xdr:colOff>105614</xdr:colOff>
      <xdr:row>49</xdr:row>
      <xdr:rowOff>136184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859864" y="7856054"/>
          <a:ext cx="1036265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365984</xdr:colOff>
      <xdr:row>54</xdr:row>
      <xdr:rowOff>26055</xdr:rowOff>
    </xdr:from>
    <xdr:to>
      <xdr:col>19</xdr:col>
      <xdr:colOff>294153</xdr:colOff>
      <xdr:row>55</xdr:row>
      <xdr:rowOff>91521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632749" y="9001967"/>
          <a:ext cx="746198" cy="2503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12</a:t>
          </a:r>
        </a:p>
      </xdr:txBody>
    </xdr:sp>
    <xdr:clientData/>
  </xdr:twoCellAnchor>
  <xdr:twoCellAnchor>
    <xdr:from>
      <xdr:col>3</xdr:col>
      <xdr:colOff>114861</xdr:colOff>
      <xdr:row>50</xdr:row>
      <xdr:rowOff>143772</xdr:rowOff>
    </xdr:from>
    <xdr:to>
      <xdr:col>6</xdr:col>
      <xdr:colOff>42471</xdr:colOff>
      <xdr:row>52</xdr:row>
      <xdr:rowOff>157779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165412" y="8317062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1,842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7,3</a:t>
          </a:r>
          <a:endParaRPr lang="fr-FR" sz="9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30480</xdr:rowOff>
    </xdr:from>
    <xdr:ext cx="5000625" cy="792480"/>
    <xdr:sp macro="" textlink="">
      <xdr:nvSpPr>
        <xdr:cNvPr id="2" name="ZoneTexte 1"/>
        <xdr:cNvSpPr txBox="1"/>
      </xdr:nvSpPr>
      <xdr:spPr>
        <a:xfrm>
          <a:off x="1632857" y="30480"/>
          <a:ext cx="5000625" cy="7924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="1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PRODES</a:t>
          </a:r>
          <a:r>
            <a:rPr lang="fr-FR" sz="1200" b="1" baseline="0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 VERBAL D'ESSAI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="1" baseline="0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DETERMINATION DES </a:t>
          </a:r>
          <a:r>
            <a:rPr lang="fr-FR" sz="1200" b="1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LIMITES D'ATTERBERG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="1"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Conformement à la norme</a:t>
          </a:r>
          <a:r>
            <a:rPr kumimoji="0" lang="fr-F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Palatino Linotype" panose="02040502050505030304" pitchFamily="18" charset="0"/>
              <a:ea typeface="Arial Unicode MS" panose="020B0604020202020204" pitchFamily="34" charset="-128"/>
              <a:cs typeface="Arial Unicode MS" panose="020B0604020202020204" pitchFamily="34" charset="-128"/>
            </a:rPr>
            <a:t>NF P 94-051</a:t>
          </a:r>
        </a:p>
        <a:p>
          <a:pPr algn="ctr"/>
          <a:endParaRPr lang="fr-FR" sz="1200" b="1">
            <a:latin typeface="Palatino Linotype" panose="02040502050505030304" pitchFamily="18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  <a:p>
          <a:pPr algn="ctr"/>
          <a:endParaRPr lang="fr-FR" sz="1200" b="1">
            <a:latin typeface="Palatino Linotype" panose="02040502050505030304" pitchFamily="18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  <a:p>
          <a:pPr algn="ctr"/>
          <a:endParaRPr lang="fr-FR" sz="1200" b="1">
            <a:latin typeface="Palatino Linotype" panose="02040502050505030304" pitchFamily="18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</xdr:txBody>
    </xdr:sp>
    <xdr:clientData/>
  </xdr:oneCellAnchor>
  <xdr:twoCellAnchor>
    <xdr:from>
      <xdr:col>8</xdr:col>
      <xdr:colOff>379828</xdr:colOff>
      <xdr:row>1</xdr:row>
      <xdr:rowOff>4690</xdr:rowOff>
    </xdr:from>
    <xdr:to>
      <xdr:col>10</xdr:col>
      <xdr:colOff>754811</xdr:colOff>
      <xdr:row>1</xdr:row>
      <xdr:rowOff>8986</xdr:rowOff>
    </xdr:to>
    <xdr:cxnSp macro="">
      <xdr:nvCxnSpPr>
        <xdr:cNvPr id="3" name="Connecteur droit 2"/>
        <xdr:cNvCxnSpPr/>
      </xdr:nvCxnSpPr>
      <xdr:spPr>
        <a:xfrm>
          <a:off x="7704553" y="242815"/>
          <a:ext cx="2299033" cy="42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478301</xdr:colOff>
      <xdr:row>1</xdr:row>
      <xdr:rowOff>252046</xdr:rowOff>
    </xdr:from>
    <xdr:to>
      <xdr:col>10</xdr:col>
      <xdr:colOff>837341</xdr:colOff>
      <xdr:row>1</xdr:row>
      <xdr:rowOff>252046</xdr:rowOff>
    </xdr:to>
    <xdr:cxnSp macro="">
      <xdr:nvCxnSpPr>
        <xdr:cNvPr id="4" name="Connecteur droit 3"/>
        <xdr:cNvCxnSpPr/>
      </xdr:nvCxnSpPr>
      <xdr:spPr>
        <a:xfrm>
          <a:off x="7803026" y="442546"/>
          <a:ext cx="22830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655320</xdr:colOff>
      <xdr:row>6</xdr:row>
      <xdr:rowOff>160020</xdr:rowOff>
    </xdr:from>
    <xdr:to>
      <xdr:col>1</xdr:col>
      <xdr:colOff>1089660</xdr:colOff>
      <xdr:row>6</xdr:row>
      <xdr:rowOff>160020</xdr:rowOff>
    </xdr:to>
    <xdr:cxnSp macro="">
      <xdr:nvCxnSpPr>
        <xdr:cNvPr id="5" name="Connecteur droit 4"/>
        <xdr:cNvCxnSpPr/>
      </xdr:nvCxnSpPr>
      <xdr:spPr>
        <a:xfrm>
          <a:off x="655320" y="1398270"/>
          <a:ext cx="11296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68580</xdr:rowOff>
    </xdr:from>
    <xdr:to>
      <xdr:col>9</xdr:col>
      <xdr:colOff>487680</xdr:colOff>
      <xdr:row>28</xdr:row>
      <xdr:rowOff>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184575</xdr:rowOff>
    </xdr:from>
    <xdr:to>
      <xdr:col>11</xdr:col>
      <xdr:colOff>4730</xdr:colOff>
      <xdr:row>25</xdr:row>
      <xdr:rowOff>184575</xdr:rowOff>
    </xdr:to>
    <xdr:cxnSp macro="">
      <xdr:nvCxnSpPr>
        <xdr:cNvPr id="7" name="Connecteur droit 6"/>
        <xdr:cNvCxnSpPr/>
      </xdr:nvCxnSpPr>
      <xdr:spPr>
        <a:xfrm>
          <a:off x="9248775" y="5061375"/>
          <a:ext cx="89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24</xdr:row>
      <xdr:rowOff>167033</xdr:rowOff>
    </xdr:from>
    <xdr:to>
      <xdr:col>11</xdr:col>
      <xdr:colOff>7140</xdr:colOff>
      <xdr:row>24</xdr:row>
      <xdr:rowOff>167033</xdr:rowOff>
    </xdr:to>
    <xdr:cxnSp macro="">
      <xdr:nvCxnSpPr>
        <xdr:cNvPr id="8" name="Connecteur droit 7"/>
        <xdr:cNvCxnSpPr/>
      </xdr:nvCxnSpPr>
      <xdr:spPr>
        <a:xfrm>
          <a:off x="9256395" y="4853333"/>
          <a:ext cx="8853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816428</xdr:colOff>
      <xdr:row>23</xdr:row>
      <xdr:rowOff>174652</xdr:rowOff>
    </xdr:from>
    <xdr:to>
      <xdr:col>10</xdr:col>
      <xdr:colOff>777550</xdr:colOff>
      <xdr:row>23</xdr:row>
      <xdr:rowOff>174652</xdr:rowOff>
    </xdr:to>
    <xdr:cxnSp macro="">
      <xdr:nvCxnSpPr>
        <xdr:cNvPr id="9" name="Connecteur droit 8"/>
        <xdr:cNvCxnSpPr/>
      </xdr:nvCxnSpPr>
      <xdr:spPr>
        <a:xfrm>
          <a:off x="9122228" y="4670452"/>
          <a:ext cx="9040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5</xdr:row>
      <xdr:rowOff>7620</xdr:rowOff>
    </xdr:from>
    <xdr:to>
      <xdr:col>8</xdr:col>
      <xdr:colOff>0</xdr:colOff>
      <xdr:row>5</xdr:row>
      <xdr:rowOff>7620</xdr:rowOff>
    </xdr:to>
    <xdr:cxnSp macro="">
      <xdr:nvCxnSpPr>
        <xdr:cNvPr id="10" name="Connecteur droit 9"/>
        <xdr:cNvCxnSpPr/>
      </xdr:nvCxnSpPr>
      <xdr:spPr>
        <a:xfrm>
          <a:off x="2771775" y="1045845"/>
          <a:ext cx="4552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86122</xdr:colOff>
      <xdr:row>6</xdr:row>
      <xdr:rowOff>9921</xdr:rowOff>
    </xdr:from>
    <xdr:to>
      <xdr:col>7</xdr:col>
      <xdr:colOff>832882</xdr:colOff>
      <xdr:row>6</xdr:row>
      <xdr:rowOff>9921</xdr:rowOff>
    </xdr:to>
    <xdr:cxnSp macro="">
      <xdr:nvCxnSpPr>
        <xdr:cNvPr id="11" name="Connecteur droit 10"/>
        <xdr:cNvCxnSpPr/>
      </xdr:nvCxnSpPr>
      <xdr:spPr>
        <a:xfrm>
          <a:off x="2781697" y="1248171"/>
          <a:ext cx="43948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510540</xdr:colOff>
      <xdr:row>6</xdr:row>
      <xdr:rowOff>162560</xdr:rowOff>
    </xdr:from>
    <xdr:to>
      <xdr:col>7</xdr:col>
      <xdr:colOff>817880</xdr:colOff>
      <xdr:row>6</xdr:row>
      <xdr:rowOff>162560</xdr:rowOff>
    </xdr:to>
    <xdr:cxnSp macro="">
      <xdr:nvCxnSpPr>
        <xdr:cNvPr id="12" name="Connecteur droit 11"/>
        <xdr:cNvCxnSpPr/>
      </xdr:nvCxnSpPr>
      <xdr:spPr>
        <a:xfrm flipV="1">
          <a:off x="2291715" y="1400810"/>
          <a:ext cx="48698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38100</xdr:rowOff>
    </xdr:from>
    <xdr:to>
      <xdr:col>2</xdr:col>
      <xdr:colOff>777240</xdr:colOff>
      <xdr:row>31</xdr:row>
      <xdr:rowOff>7620</xdr:rowOff>
    </xdr:to>
    <xdr:sp macro="" textlink="">
      <xdr:nvSpPr>
        <xdr:cNvPr id="13" name="ZoneTexte 12"/>
        <xdr:cNvSpPr txBox="1"/>
      </xdr:nvSpPr>
      <xdr:spPr>
        <a:xfrm>
          <a:off x="0" y="6448425"/>
          <a:ext cx="2558415" cy="100774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1" u="sng"/>
            <a:t>Opérateur</a:t>
          </a:r>
        </a:p>
        <a:p>
          <a:pPr algn="l"/>
          <a:endParaRPr lang="fr-FR" sz="700"/>
        </a:p>
        <a:p>
          <a:pPr algn="l"/>
          <a:endParaRPr lang="fr-FR" sz="800"/>
        </a:p>
        <a:p>
          <a:pPr algn="l"/>
          <a:endParaRPr lang="fr-FR" sz="9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fr-F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Claire</a:t>
          </a:r>
          <a:r>
            <a:rPr lang="fr-FR" sz="1100"/>
            <a:t> </a:t>
          </a:r>
          <a:r>
            <a:rPr lang="fr-FR" sz="1100" b="1"/>
            <a:t>LOUMPANGOU</a:t>
          </a:r>
        </a:p>
      </xdr:txBody>
    </xdr:sp>
    <xdr:clientData/>
  </xdr:twoCellAnchor>
  <xdr:twoCellAnchor>
    <xdr:from>
      <xdr:col>2</xdr:col>
      <xdr:colOff>792480</xdr:colOff>
      <xdr:row>28</xdr:row>
      <xdr:rowOff>30480</xdr:rowOff>
    </xdr:from>
    <xdr:to>
      <xdr:col>7</xdr:col>
      <xdr:colOff>0</xdr:colOff>
      <xdr:row>31</xdr:row>
      <xdr:rowOff>0</xdr:rowOff>
    </xdr:to>
    <xdr:sp macro="" textlink="">
      <xdr:nvSpPr>
        <xdr:cNvPr id="14" name="ZoneTexte 13"/>
        <xdr:cNvSpPr txBox="1"/>
      </xdr:nvSpPr>
      <xdr:spPr>
        <a:xfrm>
          <a:off x="2573655" y="6440805"/>
          <a:ext cx="3769995" cy="100774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1" u="sng"/>
            <a:t>Chef de division Sol Routier </a:t>
          </a:r>
        </a:p>
        <a:p>
          <a:pPr algn="l"/>
          <a:endParaRPr lang="fr-FR" sz="1050"/>
        </a:p>
        <a:p>
          <a:pPr algn="l"/>
          <a:endParaRPr lang="fr-FR" sz="1050"/>
        </a:p>
        <a:p>
          <a:pPr algn="l"/>
          <a:endParaRPr lang="fr-FR" sz="1050"/>
        </a:p>
        <a:p>
          <a:pPr algn="l"/>
          <a:endParaRPr lang="fr-FR" sz="400"/>
        </a:p>
        <a:p>
          <a:pPr algn="l"/>
          <a:r>
            <a:rPr lang="fr-FR" sz="1100" b="1"/>
            <a:t>Eric KENGUE</a:t>
          </a:r>
        </a:p>
      </xdr:txBody>
    </xdr:sp>
    <xdr:clientData/>
  </xdr:twoCellAnchor>
  <xdr:twoCellAnchor>
    <xdr:from>
      <xdr:col>7</xdr:col>
      <xdr:colOff>15239</xdr:colOff>
      <xdr:row>28</xdr:row>
      <xdr:rowOff>23446</xdr:rowOff>
    </xdr:from>
    <xdr:to>
      <xdr:col>10</xdr:col>
      <xdr:colOff>788962</xdr:colOff>
      <xdr:row>31</xdr:row>
      <xdr:rowOff>0</xdr:rowOff>
    </xdr:to>
    <xdr:sp macro="" textlink="">
      <xdr:nvSpPr>
        <xdr:cNvPr id="15" name="ZoneTexte 14"/>
        <xdr:cNvSpPr txBox="1"/>
      </xdr:nvSpPr>
      <xdr:spPr>
        <a:xfrm>
          <a:off x="6358889" y="6433771"/>
          <a:ext cx="3678848" cy="101477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00" b="1" u="sng"/>
            <a:t>Directeur de laboratoire </a:t>
          </a:r>
        </a:p>
        <a:p>
          <a:pPr algn="l"/>
          <a:endParaRPr lang="fr-FR" sz="1100" b="1"/>
        </a:p>
        <a:p>
          <a:pPr algn="l"/>
          <a:endParaRPr lang="fr-FR" sz="1100" b="1"/>
        </a:p>
        <a:p>
          <a:pPr algn="l"/>
          <a:endParaRPr lang="fr-FR" sz="1100" b="1"/>
        </a:p>
        <a:p>
          <a:pPr algn="l"/>
          <a:endParaRPr lang="fr-FR" sz="300" b="1"/>
        </a:p>
        <a:p>
          <a:pPr algn="l"/>
          <a:r>
            <a:rPr lang="fr-FR" sz="1100" b="1"/>
            <a:t>Jean Richard NGAMBI</a:t>
          </a:r>
          <a:r>
            <a:rPr lang="fr-FR" sz="1100" b="1">
              <a:latin typeface="Calibri" panose="020F0502020204030204" pitchFamily="34" charset="0"/>
              <a:cs typeface="Calibri" panose="020F0502020204030204" pitchFamily="34" charset="0"/>
            </a:rPr>
            <a:t>É</a:t>
          </a:r>
          <a:endParaRPr lang="fr-FR" sz="1100" b="1"/>
        </a:p>
      </xdr:txBody>
    </xdr:sp>
    <xdr:clientData/>
  </xdr:twoCellAnchor>
  <xdr:twoCellAnchor>
    <xdr:from>
      <xdr:col>9</xdr:col>
      <xdr:colOff>121920</xdr:colOff>
      <xdr:row>5</xdr:row>
      <xdr:rowOff>167640</xdr:rowOff>
    </xdr:from>
    <xdr:to>
      <xdr:col>10</xdr:col>
      <xdr:colOff>696120</xdr:colOff>
      <xdr:row>5</xdr:row>
      <xdr:rowOff>167640</xdr:rowOff>
    </xdr:to>
    <xdr:cxnSp macro="">
      <xdr:nvCxnSpPr>
        <xdr:cNvPr id="16" name="Connecteur droit 15"/>
        <xdr:cNvCxnSpPr/>
      </xdr:nvCxnSpPr>
      <xdr:spPr>
        <a:xfrm>
          <a:off x="8427720" y="1205865"/>
          <a:ext cx="1517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289560</xdr:colOff>
      <xdr:row>0</xdr:row>
      <xdr:rowOff>45720</xdr:rowOff>
    </xdr:from>
    <xdr:to>
      <xdr:col>1</xdr:col>
      <xdr:colOff>480060</xdr:colOff>
      <xdr:row>4</xdr:row>
      <xdr:rowOff>15240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45720"/>
          <a:ext cx="1028700" cy="8077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4" name="ZoneTexte 3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5" name="Connecteur droit 4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6" name="Connecteur droit 5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7" name="Connecteur droit 6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13335</xdr:rowOff>
    </xdr:from>
    <xdr:to>
      <xdr:col>11</xdr:col>
      <xdr:colOff>7620</xdr:colOff>
      <xdr:row>55</xdr:row>
      <xdr:rowOff>276225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0.32906</cdr:x>
      <cdr:y>0.64881</cdr:y>
    </cdr:from>
    <cdr:to>
      <cdr:x>0.54149</cdr:x>
      <cdr:y>0.87171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197766" y="1503487"/>
          <a:ext cx="1418789" cy="51652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dens.1,842t/m³;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7,3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8</xdr:col>
      <xdr:colOff>59351</xdr:colOff>
      <xdr:row>40</xdr:row>
      <xdr:rowOff>75878</xdr:rowOff>
    </xdr:from>
    <xdr:to>
      <xdr:col>12</xdr:col>
      <xdr:colOff>320095</xdr:colOff>
      <xdr:row>42</xdr:row>
      <xdr:rowOff>13927</xdr:rowOff>
    </xdr:to>
    <xdr:sp macro="" textlink="">
      <xdr:nvSpPr>
        <xdr:cNvPr id="16" name="Rectangle 15"/>
        <xdr:cNvSpPr/>
      </xdr:nvSpPr>
      <xdr:spPr>
        <a:xfrm>
          <a:off x="2883312" y="7642216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12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E3" sqref="E3:V3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48"/>
      <c r="B1" s="349"/>
      <c r="C1" s="571" t="s">
        <v>161</v>
      </c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2"/>
    </row>
    <row r="2" spans="1:29" ht="19.149999999999999" customHeight="1" x14ac:dyDescent="0.25">
      <c r="A2" s="573"/>
      <c r="B2" s="574"/>
      <c r="C2" s="574"/>
      <c r="D2" s="574"/>
      <c r="E2" s="575"/>
      <c r="F2" s="575"/>
      <c r="G2" s="575"/>
      <c r="H2" s="575"/>
      <c r="I2" s="575"/>
      <c r="J2" s="575"/>
      <c r="K2" s="575"/>
      <c r="L2" s="575"/>
      <c r="M2" s="576" t="s">
        <v>308</v>
      </c>
      <c r="N2" s="576"/>
      <c r="O2" s="576"/>
      <c r="P2" s="576"/>
      <c r="Q2" s="576"/>
      <c r="R2" s="576"/>
      <c r="S2" s="576"/>
      <c r="T2" s="576"/>
      <c r="U2" s="576"/>
      <c r="V2" s="577"/>
    </row>
    <row r="3" spans="1:29" ht="16.149999999999999" customHeight="1" x14ac:dyDescent="0.25">
      <c r="A3" s="578" t="s">
        <v>162</v>
      </c>
      <c r="B3" s="579"/>
      <c r="C3" s="579"/>
      <c r="D3" s="579"/>
      <c r="E3" s="580" t="s">
        <v>388</v>
      </c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  <c r="V3" s="582"/>
    </row>
    <row r="4" spans="1:29" ht="20.45" customHeight="1" x14ac:dyDescent="0.25">
      <c r="A4" s="583" t="s">
        <v>163</v>
      </c>
      <c r="B4" s="584"/>
      <c r="C4" s="584"/>
      <c r="D4" s="584"/>
      <c r="E4" s="585"/>
      <c r="F4" s="586">
        <v>43808</v>
      </c>
      <c r="G4" s="587"/>
      <c r="H4" s="587"/>
      <c r="I4" s="588"/>
      <c r="J4" s="589" t="s">
        <v>164</v>
      </c>
      <c r="K4" s="590"/>
      <c r="L4" s="590"/>
      <c r="M4" s="591"/>
      <c r="N4" s="592">
        <v>43809</v>
      </c>
      <c r="O4" s="593"/>
      <c r="P4" s="593"/>
      <c r="Q4" s="593"/>
      <c r="R4" s="593"/>
      <c r="S4" s="350" t="s">
        <v>136</v>
      </c>
      <c r="T4" s="593">
        <v>43827</v>
      </c>
      <c r="U4" s="594"/>
      <c r="V4" s="595"/>
    </row>
    <row r="5" spans="1:29" ht="7.15" customHeight="1" thickBot="1" x14ac:dyDescent="0.3">
      <c r="A5" s="568"/>
      <c r="B5" s="569"/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  <c r="Q5" s="569"/>
      <c r="R5" s="569"/>
      <c r="S5" s="569"/>
      <c r="T5" s="569"/>
      <c r="U5" s="569"/>
      <c r="V5" s="570"/>
    </row>
    <row r="6" spans="1:29" ht="16.5" thickBot="1" x14ac:dyDescent="0.3">
      <c r="A6" s="540" t="s">
        <v>165</v>
      </c>
      <c r="B6" s="541"/>
      <c r="C6" s="541"/>
      <c r="D6" s="541"/>
      <c r="E6" s="542"/>
      <c r="F6" s="543" t="s">
        <v>389</v>
      </c>
      <c r="G6" s="544"/>
      <c r="H6" s="54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5"/>
    </row>
    <row r="7" spans="1:29" ht="14.45" customHeight="1" x14ac:dyDescent="0.25">
      <c r="A7" s="546" t="s">
        <v>166</v>
      </c>
      <c r="B7" s="547"/>
      <c r="C7" s="547"/>
      <c r="D7" s="547"/>
      <c r="E7" s="547"/>
      <c r="F7" s="548" t="s">
        <v>368</v>
      </c>
      <c r="G7" s="548"/>
      <c r="H7" s="548"/>
      <c r="I7" s="548"/>
      <c r="J7" s="548"/>
      <c r="K7" s="548"/>
      <c r="L7" s="548"/>
      <c r="M7" s="548"/>
      <c r="N7" s="548"/>
      <c r="O7" s="548"/>
      <c r="P7" s="548"/>
      <c r="Q7" s="548"/>
      <c r="R7" s="548"/>
      <c r="S7" s="548"/>
      <c r="T7" s="548"/>
      <c r="U7" s="548"/>
      <c r="V7" s="549"/>
    </row>
    <row r="8" spans="1:29" ht="5.45" customHeight="1" thickBot="1" x14ac:dyDescent="0.3">
      <c r="A8" s="351"/>
      <c r="B8" s="352"/>
      <c r="C8" s="352"/>
      <c r="D8" s="352"/>
      <c r="E8" s="352"/>
      <c r="F8" s="352"/>
      <c r="G8" s="352"/>
      <c r="H8" s="352"/>
      <c r="I8" s="352"/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3"/>
    </row>
    <row r="9" spans="1:29" ht="7.9" customHeight="1" thickBot="1" x14ac:dyDescent="0.3">
      <c r="A9" s="550"/>
      <c r="B9" s="551"/>
      <c r="C9" s="551"/>
      <c r="D9" s="551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1"/>
      <c r="S9" s="551"/>
      <c r="T9" s="551"/>
      <c r="U9" s="551"/>
      <c r="V9" s="552"/>
    </row>
    <row r="10" spans="1:29" ht="18.600000000000001" customHeight="1" thickBot="1" x14ac:dyDescent="0.3">
      <c r="A10" s="354" t="s">
        <v>167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6"/>
      <c r="N10" s="357" t="s">
        <v>168</v>
      </c>
      <c r="O10" s="358"/>
      <c r="P10" s="358"/>
      <c r="Q10" s="358"/>
      <c r="R10" s="358"/>
      <c r="S10" s="358"/>
      <c r="T10" s="358"/>
      <c r="U10" s="358"/>
      <c r="V10" s="359"/>
    </row>
    <row r="11" spans="1:29" ht="16.149999999999999" customHeight="1" thickBot="1" x14ac:dyDescent="0.3">
      <c r="A11" s="360" t="s">
        <v>169</v>
      </c>
      <c r="B11" s="361"/>
      <c r="C11" s="361"/>
      <c r="D11" s="553">
        <f>'Limite '!K24</f>
        <v>27.84</v>
      </c>
      <c r="E11" s="554"/>
      <c r="F11" s="555"/>
      <c r="G11" s="562" t="s">
        <v>170</v>
      </c>
      <c r="H11" s="563"/>
      <c r="I11" s="563"/>
      <c r="J11" s="564"/>
      <c r="K11" s="537">
        <f>'Teneur en eau 2 P1 '!F41</f>
        <v>6.8478559151898519</v>
      </c>
      <c r="L11" s="538"/>
      <c r="M11" s="539"/>
      <c r="N11" s="565"/>
      <c r="O11" s="566"/>
      <c r="P11" s="566"/>
      <c r="Q11" s="566"/>
      <c r="R11" s="566"/>
      <c r="S11" s="566"/>
      <c r="T11" s="566"/>
      <c r="U11" s="566"/>
      <c r="V11" s="567"/>
    </row>
    <row r="12" spans="1:29" ht="23.45" customHeight="1" x14ac:dyDescent="0.25">
      <c r="A12" s="362" t="s">
        <v>171</v>
      </c>
      <c r="B12" s="363"/>
      <c r="C12" s="363"/>
      <c r="D12" s="525">
        <f>'Limite '!K25</f>
        <v>9.683129313362576</v>
      </c>
      <c r="E12" s="526"/>
      <c r="F12" s="527"/>
      <c r="G12" s="528" t="s">
        <v>390</v>
      </c>
      <c r="H12" s="529"/>
      <c r="I12" s="529"/>
      <c r="J12" s="530"/>
      <c r="K12" s="531">
        <f>PS!G42</f>
        <v>2.5584179490574304</v>
      </c>
      <c r="L12" s="532"/>
      <c r="M12" s="533"/>
      <c r="N12" s="534" t="s">
        <v>172</v>
      </c>
      <c r="O12" s="535"/>
      <c r="P12" s="535"/>
      <c r="Q12" s="536"/>
      <c r="R12" s="537">
        <v>36.6</v>
      </c>
      <c r="S12" s="538"/>
      <c r="T12" s="538"/>
      <c r="U12" s="538"/>
      <c r="V12" s="539"/>
      <c r="AB12">
        <v>300</v>
      </c>
    </row>
    <row r="13" spans="1:29" ht="16.149999999999999" customHeight="1" thickBot="1" x14ac:dyDescent="0.3">
      <c r="A13" s="364" t="s">
        <v>173</v>
      </c>
      <c r="B13" s="365"/>
      <c r="C13" s="365"/>
      <c r="D13" s="601">
        <f>'Limite '!K26</f>
        <v>18.156870686637426</v>
      </c>
      <c r="E13" s="602"/>
      <c r="F13" s="603"/>
      <c r="G13" s="366" t="s">
        <v>174</v>
      </c>
      <c r="H13" s="367"/>
      <c r="I13" s="367"/>
      <c r="J13" s="368"/>
      <c r="K13" s="597">
        <f>E34</f>
        <v>24.86666666666666</v>
      </c>
      <c r="L13" s="598"/>
      <c r="M13" s="599"/>
      <c r="N13" s="608" t="s">
        <v>175</v>
      </c>
      <c r="O13" s="609"/>
      <c r="P13" s="609"/>
      <c r="Q13" s="610"/>
      <c r="R13" s="597" t="s">
        <v>136</v>
      </c>
      <c r="S13" s="609"/>
      <c r="T13" s="609"/>
      <c r="U13" s="609"/>
      <c r="V13" s="611"/>
    </row>
    <row r="14" spans="1:29" ht="3.6" customHeight="1" thickBot="1" x14ac:dyDescent="0.3">
      <c r="A14" s="369"/>
      <c r="B14" s="370"/>
      <c r="C14" s="370"/>
      <c r="D14" s="371"/>
      <c r="E14" s="371"/>
      <c r="F14" s="371"/>
      <c r="G14" s="371"/>
      <c r="H14" s="371"/>
      <c r="I14" s="371"/>
      <c r="J14" s="371"/>
      <c r="K14" s="371"/>
      <c r="L14" s="371"/>
      <c r="M14" s="371"/>
      <c r="N14" s="370"/>
      <c r="O14" s="370"/>
      <c r="P14" s="370"/>
      <c r="Q14" s="370"/>
      <c r="R14" s="371"/>
      <c r="S14" s="371"/>
      <c r="T14" s="371"/>
      <c r="U14" s="371"/>
      <c r="V14" s="372"/>
    </row>
    <row r="15" spans="1:29" ht="13.15" customHeight="1" x14ac:dyDescent="0.25">
      <c r="A15" s="373"/>
      <c r="B15" s="374" t="s">
        <v>176</v>
      </c>
      <c r="C15" s="523" t="s">
        <v>314</v>
      </c>
      <c r="D15" s="556" t="s">
        <v>315</v>
      </c>
      <c r="E15" s="558" t="s">
        <v>273</v>
      </c>
      <c r="F15" s="559"/>
      <c r="G15" s="375" t="s">
        <v>177</v>
      </c>
      <c r="H15" s="375"/>
      <c r="I15" s="375"/>
      <c r="J15" s="375"/>
      <c r="K15" s="375"/>
      <c r="L15" s="375"/>
      <c r="M15" s="375"/>
      <c r="N15" s="375"/>
      <c r="O15" s="375"/>
      <c r="P15" s="375"/>
      <c r="Q15" s="375"/>
      <c r="R15" s="375"/>
      <c r="S15" s="375"/>
      <c r="T15" s="375"/>
      <c r="U15" s="375"/>
      <c r="V15" s="376"/>
    </row>
    <row r="16" spans="1:29" ht="10.9" customHeight="1" thickBot="1" x14ac:dyDescent="0.3">
      <c r="A16" s="377"/>
      <c r="B16" s="378" t="s">
        <v>178</v>
      </c>
      <c r="C16" s="524"/>
      <c r="D16" s="557"/>
      <c r="E16" s="560"/>
      <c r="F16" s="561"/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79"/>
      <c r="AC16" s="317">
        <v>63</v>
      </c>
    </row>
    <row r="17" spans="1:31" ht="12" customHeight="1" x14ac:dyDescent="0.25">
      <c r="A17" s="373"/>
      <c r="B17" s="515">
        <v>40</v>
      </c>
      <c r="C17" s="516">
        <f>'Granulo P1'!L23</f>
        <v>0</v>
      </c>
      <c r="D17" s="468">
        <f>(C17*100)/'Granulo P1'!C17:C18</f>
        <v>0</v>
      </c>
      <c r="E17" s="600">
        <f>100-D17</f>
        <v>100</v>
      </c>
      <c r="F17" s="600"/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79"/>
      <c r="AC17" s="317">
        <v>50</v>
      </c>
    </row>
    <row r="18" spans="1:31" ht="12" customHeight="1" x14ac:dyDescent="0.25">
      <c r="A18" s="373"/>
      <c r="B18" s="510">
        <v>31.5</v>
      </c>
      <c r="C18" s="514">
        <f>'Granulo P1'!L24</f>
        <v>0</v>
      </c>
      <c r="D18" s="469">
        <f>(C18*100)/'Granulo P1'!C17</f>
        <v>0</v>
      </c>
      <c r="E18" s="596">
        <f t="shared" ref="E18:E34" si="0">100-D18</f>
        <v>100</v>
      </c>
      <c r="F18" s="596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79"/>
      <c r="Z18" s="607"/>
      <c r="AA18" s="607"/>
      <c r="AB18" s="317"/>
      <c r="AC18" s="317">
        <v>40</v>
      </c>
      <c r="AD18" s="470">
        <f>E17</f>
        <v>100</v>
      </c>
    </row>
    <row r="19" spans="1:31" ht="10.15" customHeight="1" x14ac:dyDescent="0.25">
      <c r="A19" s="373"/>
      <c r="B19" s="510">
        <v>20</v>
      </c>
      <c r="C19" s="514">
        <f>'Granulo P1'!L26</f>
        <v>0</v>
      </c>
      <c r="D19" s="469">
        <f>(C19*100)/'Granulo P1'!C17</f>
        <v>0</v>
      </c>
      <c r="E19" s="596">
        <f t="shared" si="0"/>
        <v>100</v>
      </c>
      <c r="F19" s="596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79"/>
      <c r="Z19" s="607"/>
      <c r="AA19" s="607"/>
      <c r="AB19" s="317"/>
      <c r="AC19" s="317">
        <v>31.5</v>
      </c>
      <c r="AD19" s="470">
        <f>E18</f>
        <v>100</v>
      </c>
    </row>
    <row r="20" spans="1:31" ht="11.45" customHeight="1" x14ac:dyDescent="0.25">
      <c r="A20" s="373"/>
      <c r="B20" s="510">
        <v>10</v>
      </c>
      <c r="C20" s="513">
        <f>'Granulo P1'!L29</f>
        <v>0</v>
      </c>
      <c r="D20" s="469">
        <f>(C20*100)/'Granulo P1'!C17</f>
        <v>0</v>
      </c>
      <c r="E20" s="596">
        <f t="shared" si="0"/>
        <v>100</v>
      </c>
      <c r="F20" s="596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79"/>
      <c r="Z20" s="607"/>
      <c r="AA20" s="607"/>
      <c r="AB20" s="317"/>
      <c r="AC20" s="317">
        <v>20</v>
      </c>
      <c r="AD20" s="470">
        <f>E19</f>
        <v>100</v>
      </c>
    </row>
    <row r="21" spans="1:31" ht="10.15" customHeight="1" x14ac:dyDescent="0.25">
      <c r="A21" s="373"/>
      <c r="B21" s="510">
        <v>6.3</v>
      </c>
      <c r="C21" s="514"/>
      <c r="D21" s="469"/>
      <c r="E21" s="596"/>
      <c r="F21" s="596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79"/>
      <c r="Z21" s="607"/>
      <c r="AA21" s="607"/>
      <c r="AB21" s="317"/>
      <c r="AC21" s="317">
        <v>10</v>
      </c>
      <c r="AD21" s="470">
        <f>E20</f>
        <v>100</v>
      </c>
    </row>
    <row r="22" spans="1:31" ht="11.45" customHeight="1" x14ac:dyDescent="0.25">
      <c r="A22" s="373"/>
      <c r="B22" s="510">
        <v>5</v>
      </c>
      <c r="C22" s="514">
        <f>'Granulo P1'!L32</f>
        <v>4.0999999999999996</v>
      </c>
      <c r="D22" s="469">
        <f>(C22*100)/'Granulo P1'!C17</f>
        <v>1.3666666666666665</v>
      </c>
      <c r="E22" s="596">
        <f t="shared" si="0"/>
        <v>98.63333333333334</v>
      </c>
      <c r="F22" s="596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79"/>
      <c r="Z22" s="607"/>
      <c r="AA22" s="607"/>
      <c r="AB22" s="317"/>
      <c r="AC22" s="317">
        <v>5</v>
      </c>
      <c r="AD22" s="470">
        <f>E22</f>
        <v>98.63333333333334</v>
      </c>
    </row>
    <row r="23" spans="1:31" ht="12.6" customHeight="1" x14ac:dyDescent="0.25">
      <c r="A23" s="373"/>
      <c r="B23" s="510">
        <v>4</v>
      </c>
      <c r="C23" s="513"/>
      <c r="D23" s="469"/>
      <c r="E23" s="596"/>
      <c r="F23" s="596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79"/>
      <c r="Z23" s="612"/>
      <c r="AA23" s="613"/>
      <c r="AB23" s="317"/>
      <c r="AC23" s="317">
        <v>2</v>
      </c>
      <c r="AD23" s="470">
        <f>E25</f>
        <v>96</v>
      </c>
    </row>
    <row r="24" spans="1:31" ht="11.45" customHeight="1" x14ac:dyDescent="0.25">
      <c r="A24" s="373"/>
      <c r="B24" s="510">
        <v>2.5</v>
      </c>
      <c r="C24" s="514"/>
      <c r="D24" s="469"/>
      <c r="E24" s="596"/>
      <c r="F24" s="596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79"/>
      <c r="AB24" s="317"/>
      <c r="AC24" s="317">
        <v>1</v>
      </c>
      <c r="AD24" s="470">
        <f>E27</f>
        <v>93.733333333333334</v>
      </c>
    </row>
    <row r="25" spans="1:31" ht="11.45" customHeight="1" x14ac:dyDescent="0.25">
      <c r="A25" s="373"/>
      <c r="B25" s="510">
        <v>2</v>
      </c>
      <c r="C25" s="514">
        <f>'Granulo P1'!L36</f>
        <v>12</v>
      </c>
      <c r="D25" s="469">
        <f>(C25*100)/'Granulo P1'!C17</f>
        <v>4</v>
      </c>
      <c r="E25" s="596">
        <f t="shared" si="0"/>
        <v>96</v>
      </c>
      <c r="F25" s="596"/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79"/>
      <c r="AB25" s="317"/>
      <c r="AC25" s="317">
        <v>0.4</v>
      </c>
      <c r="AD25" s="470">
        <f>E29</f>
        <v>84</v>
      </c>
    </row>
    <row r="26" spans="1:31" ht="12.6" customHeight="1" x14ac:dyDescent="0.25">
      <c r="A26" s="373"/>
      <c r="B26" s="511">
        <v>1.25</v>
      </c>
      <c r="C26" s="514"/>
      <c r="D26" s="469"/>
      <c r="E26" s="596"/>
      <c r="F26" s="596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79"/>
      <c r="AB26" s="317"/>
      <c r="AC26" s="317">
        <v>0.2</v>
      </c>
      <c r="AD26" s="470">
        <f>E31</f>
        <v>58.1</v>
      </c>
    </row>
    <row r="27" spans="1:31" ht="12.6" customHeight="1" x14ac:dyDescent="0.25">
      <c r="A27" s="373"/>
      <c r="B27" s="510">
        <v>1</v>
      </c>
      <c r="C27" s="514">
        <f>'Granulo P1'!L39</f>
        <v>18.8</v>
      </c>
      <c r="D27" s="469">
        <f>(C27*100)/'Granulo P1'!C17</f>
        <v>6.2666666666666666</v>
      </c>
      <c r="E27" s="596">
        <f t="shared" si="0"/>
        <v>93.733333333333334</v>
      </c>
      <c r="F27" s="596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79"/>
      <c r="AB27" s="317"/>
      <c r="AC27" s="317">
        <v>0.1</v>
      </c>
      <c r="AD27" s="470">
        <f>E33</f>
        <v>29.533333333333331</v>
      </c>
      <c r="AE27" s="439"/>
    </row>
    <row r="28" spans="1:31" ht="12.6" customHeight="1" x14ac:dyDescent="0.25">
      <c r="A28" s="373"/>
      <c r="B28" s="512">
        <v>0.63</v>
      </c>
      <c r="C28" s="514"/>
      <c r="D28" s="469"/>
      <c r="E28" s="596"/>
      <c r="F28" s="596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79"/>
      <c r="AB28" s="317"/>
      <c r="AC28" s="317">
        <v>0.08</v>
      </c>
      <c r="AD28" s="470">
        <f>E34</f>
        <v>24.86666666666666</v>
      </c>
      <c r="AE28" s="439"/>
    </row>
    <row r="29" spans="1:31" ht="11.45" customHeight="1" x14ac:dyDescent="0.25">
      <c r="A29" s="373"/>
      <c r="B29" s="512">
        <v>0.4</v>
      </c>
      <c r="C29" s="514">
        <f>'Granulo P1'!L43</f>
        <v>48</v>
      </c>
      <c r="D29" s="469">
        <f>(C29*100)/'Granulo P1'!C17</f>
        <v>16</v>
      </c>
      <c r="E29" s="596">
        <f t="shared" si="0"/>
        <v>84</v>
      </c>
      <c r="F29" s="596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79"/>
      <c r="AB29" s="317"/>
      <c r="AC29" s="317"/>
      <c r="AE29" s="439"/>
    </row>
    <row r="30" spans="1:31" ht="10.9" customHeight="1" x14ac:dyDescent="0.25">
      <c r="A30" s="373"/>
      <c r="B30" s="512">
        <v>0.315</v>
      </c>
      <c r="C30" s="514"/>
      <c r="D30" s="469"/>
      <c r="E30" s="596"/>
      <c r="F30" s="596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79"/>
      <c r="AB30" s="317"/>
      <c r="AC30" s="317"/>
      <c r="AE30" s="439"/>
    </row>
    <row r="31" spans="1:31" ht="12" customHeight="1" x14ac:dyDescent="0.25">
      <c r="A31" s="373"/>
      <c r="B31" s="512">
        <v>0.2</v>
      </c>
      <c r="C31" s="514">
        <f>'Granulo P1'!L46</f>
        <v>125.7</v>
      </c>
      <c r="D31" s="469">
        <f>(C31*100)/'Granulo P1'!C17</f>
        <v>41.9</v>
      </c>
      <c r="E31" s="596">
        <f t="shared" si="0"/>
        <v>58.1</v>
      </c>
      <c r="F31" s="596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79"/>
      <c r="AB31" s="317"/>
      <c r="AC31" s="317"/>
      <c r="AE31" s="439"/>
    </row>
    <row r="32" spans="1:31" ht="10.9" customHeight="1" x14ac:dyDescent="0.25">
      <c r="A32" s="373"/>
      <c r="B32" s="512">
        <v>0.16</v>
      </c>
      <c r="C32" s="514"/>
      <c r="D32" s="469"/>
      <c r="E32" s="596"/>
      <c r="F32" s="596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79"/>
      <c r="AB32" s="317"/>
      <c r="AC32" s="317"/>
      <c r="AE32" s="439"/>
    </row>
    <row r="33" spans="1:36" ht="12" customHeight="1" x14ac:dyDescent="0.25">
      <c r="A33" s="373"/>
      <c r="B33" s="512">
        <v>0.1</v>
      </c>
      <c r="C33" s="514">
        <f>'Granulo P1'!L49</f>
        <v>211.4</v>
      </c>
      <c r="D33" s="469">
        <f>(C33*100)/'Granulo P1'!C17</f>
        <v>70.466666666666669</v>
      </c>
      <c r="E33" s="596">
        <f t="shared" si="0"/>
        <v>29.533333333333331</v>
      </c>
      <c r="F33" s="596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79"/>
    </row>
    <row r="34" spans="1:36" ht="10.9" customHeight="1" x14ac:dyDescent="0.25">
      <c r="A34" s="373"/>
      <c r="B34" s="511">
        <v>0.08</v>
      </c>
      <c r="C34" s="514">
        <f>'Granulo P1'!L50</f>
        <v>225.4</v>
      </c>
      <c r="D34" s="469">
        <f>(C34*100)/'Granulo P1'!C17</f>
        <v>75.13333333333334</v>
      </c>
      <c r="E34" s="596">
        <f t="shared" si="0"/>
        <v>24.86666666666666</v>
      </c>
      <c r="F34" s="596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79"/>
    </row>
    <row r="35" spans="1:36" ht="4.9000000000000004" customHeight="1" thickBot="1" x14ac:dyDescent="0.3">
      <c r="A35" s="373"/>
      <c r="B35" s="347"/>
      <c r="C35" s="347"/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79"/>
    </row>
    <row r="36" spans="1:36" ht="14.45" customHeight="1" thickBot="1" x14ac:dyDescent="0.3">
      <c r="A36" s="357" t="s">
        <v>143</v>
      </c>
      <c r="B36" s="380"/>
      <c r="C36" s="380"/>
      <c r="D36" s="380"/>
      <c r="E36" s="380"/>
      <c r="F36" s="380"/>
      <c r="G36" s="380"/>
      <c r="H36" s="380"/>
      <c r="I36" s="381"/>
      <c r="J36" s="382"/>
      <c r="K36" s="382"/>
      <c r="L36" s="383" t="s">
        <v>179</v>
      </c>
      <c r="M36" s="384"/>
      <c r="N36" s="385"/>
      <c r="O36" s="680" t="s">
        <v>145</v>
      </c>
      <c r="P36" s="681"/>
      <c r="Q36" s="386" t="s">
        <v>146</v>
      </c>
      <c r="R36" s="387"/>
      <c r="S36" s="386" t="s">
        <v>147</v>
      </c>
      <c r="T36" s="387"/>
      <c r="U36" s="388" t="s">
        <v>180</v>
      </c>
      <c r="V36" s="389"/>
      <c r="W36" s="310"/>
    </row>
    <row r="37" spans="1:36" ht="10.9" customHeight="1" thickBot="1" x14ac:dyDescent="0.3">
      <c r="A37" s="390"/>
      <c r="B37" s="391"/>
      <c r="C37" s="391"/>
      <c r="D37" s="392" t="s">
        <v>148</v>
      </c>
      <c r="E37" s="393"/>
      <c r="F37" s="394"/>
      <c r="G37" s="393" t="s">
        <v>149</v>
      </c>
      <c r="H37" s="393"/>
      <c r="I37" s="395"/>
      <c r="J37" s="347"/>
      <c r="K37" s="347"/>
      <c r="L37" s="396" t="s">
        <v>150</v>
      </c>
      <c r="M37" s="397"/>
      <c r="N37" s="398"/>
      <c r="O37" s="399" t="s">
        <v>181</v>
      </c>
      <c r="P37" s="400"/>
      <c r="Q37" s="399" t="s">
        <v>152</v>
      </c>
      <c r="R37" s="400"/>
      <c r="S37" s="401" t="s">
        <v>182</v>
      </c>
      <c r="T37" s="402"/>
      <c r="U37" s="399" t="s">
        <v>44</v>
      </c>
      <c r="V37" s="403"/>
    </row>
    <row r="38" spans="1:36" ht="14.45" customHeight="1" x14ac:dyDescent="0.25">
      <c r="A38" s="627" t="s">
        <v>286</v>
      </c>
      <c r="B38" s="584"/>
      <c r="C38" s="628"/>
      <c r="D38" s="629">
        <f>Y54</f>
        <v>1.8420000000000001</v>
      </c>
      <c r="E38" s="630"/>
      <c r="F38" s="631"/>
      <c r="G38" s="632"/>
      <c r="H38" s="633"/>
      <c r="I38" s="634"/>
      <c r="J38" s="347"/>
      <c r="K38" s="347"/>
      <c r="L38" s="404">
        <v>56</v>
      </c>
      <c r="M38" s="405"/>
      <c r="N38" s="406"/>
      <c r="O38" s="677">
        <f>M44</f>
        <v>1.8422857037963325</v>
      </c>
      <c r="P38" s="678"/>
      <c r="Q38" s="678"/>
      <c r="R38" s="679"/>
      <c r="S38" s="614">
        <f>' CBR Poinc'!L33</f>
        <v>9.0709583028529668</v>
      </c>
      <c r="T38" s="614"/>
      <c r="U38" s="615">
        <v>0</v>
      </c>
      <c r="V38" s="616"/>
    </row>
    <row r="39" spans="1:36" ht="13.15" customHeight="1" x14ac:dyDescent="0.25">
      <c r="A39" s="635" t="s">
        <v>287</v>
      </c>
      <c r="B39" s="584"/>
      <c r="C39" s="628"/>
      <c r="D39" s="621">
        <f>X54</f>
        <v>7.3</v>
      </c>
      <c r="E39" s="622"/>
      <c r="F39" s="623"/>
      <c r="G39" s="636"/>
      <c r="H39" s="637"/>
      <c r="I39" s="638"/>
      <c r="J39" s="347"/>
      <c r="K39" s="347"/>
      <c r="L39" s="404">
        <v>25</v>
      </c>
      <c r="M39" s="405"/>
      <c r="N39" s="406"/>
      <c r="O39" s="621">
        <f>N44</f>
        <v>1.749714864139633</v>
      </c>
      <c r="P39" s="622"/>
      <c r="Q39" s="622"/>
      <c r="R39" s="623"/>
      <c r="S39" s="673">
        <f>' CBR Poinc'!O33</f>
        <v>9.5063985374771516</v>
      </c>
      <c r="T39" s="673"/>
      <c r="U39" s="636">
        <v>0</v>
      </c>
      <c r="V39" s="638"/>
    </row>
    <row r="40" spans="1:36" ht="15.75" thickBot="1" x14ac:dyDescent="0.3">
      <c r="A40" s="639" t="s">
        <v>155</v>
      </c>
      <c r="B40" s="640"/>
      <c r="C40" s="641"/>
      <c r="D40" s="642"/>
      <c r="E40" s="643"/>
      <c r="F40" s="644"/>
      <c r="G40" s="645"/>
      <c r="H40" s="646"/>
      <c r="I40" s="647"/>
      <c r="J40" s="347"/>
      <c r="K40" s="347"/>
      <c r="L40" s="407">
        <v>10</v>
      </c>
      <c r="M40" s="408"/>
      <c r="N40" s="409"/>
      <c r="O40" s="624">
        <f>O44</f>
        <v>1.6578685717936619</v>
      </c>
      <c r="P40" s="625"/>
      <c r="Q40" s="625"/>
      <c r="R40" s="626"/>
      <c r="S40" s="674">
        <f>' CBR Poinc'!R33</f>
        <v>9.5496894409937756</v>
      </c>
      <c r="T40" s="674"/>
      <c r="U40" s="645">
        <v>0</v>
      </c>
      <c r="V40" s="647"/>
    </row>
    <row r="41" spans="1:36" ht="6.6" customHeight="1" thickBot="1" x14ac:dyDescent="0.3">
      <c r="A41" s="373"/>
      <c r="B41" s="347"/>
      <c r="C41" s="347"/>
      <c r="D41" s="347"/>
      <c r="E41" s="347"/>
      <c r="F41" s="347"/>
      <c r="G41" s="347"/>
      <c r="H41" s="347"/>
      <c r="I41" s="347"/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347"/>
      <c r="U41" s="347"/>
      <c r="V41" s="379"/>
    </row>
    <row r="42" spans="1:36" ht="15.75" thickBot="1" x14ac:dyDescent="0.3">
      <c r="A42" s="410" t="s">
        <v>156</v>
      </c>
      <c r="B42" s="411">
        <v>1</v>
      </c>
      <c r="C42" s="411">
        <v>2</v>
      </c>
      <c r="D42" s="411">
        <v>3</v>
      </c>
      <c r="E42" s="411">
        <v>4</v>
      </c>
      <c r="F42" s="411">
        <v>5</v>
      </c>
      <c r="G42" s="411">
        <v>6</v>
      </c>
      <c r="H42" s="412" t="s">
        <v>157</v>
      </c>
      <c r="I42" s="413"/>
      <c r="J42" s="382"/>
      <c r="K42" s="382"/>
      <c r="L42" s="410" t="s">
        <v>156</v>
      </c>
      <c r="M42" s="411" t="s">
        <v>183</v>
      </c>
      <c r="N42" s="411" t="s">
        <v>184</v>
      </c>
      <c r="O42" s="414" t="s">
        <v>185</v>
      </c>
      <c r="P42" s="415"/>
      <c r="Q42" s="416"/>
      <c r="R42" s="417" t="s">
        <v>157</v>
      </c>
      <c r="S42" s="418">
        <v>1</v>
      </c>
      <c r="T42" s="418">
        <v>0.98</v>
      </c>
      <c r="U42" s="418">
        <v>0.95</v>
      </c>
      <c r="V42" s="419">
        <v>0.9</v>
      </c>
    </row>
    <row r="43" spans="1:36" ht="15.75" thickBot="1" x14ac:dyDescent="0.3">
      <c r="A43" s="420" t="s">
        <v>186</v>
      </c>
      <c r="B43" s="421">
        <f>'Proctor '!B41:C41</f>
        <v>4.1224916826748279</v>
      </c>
      <c r="C43" s="421">
        <f>'Proctor '!D41</f>
        <v>6.0731823628206723</v>
      </c>
      <c r="D43" s="421">
        <f>'Proctor '!F41</f>
        <v>8.3045221822493893</v>
      </c>
      <c r="E43" s="421">
        <f>'Proctor '!H41</f>
        <v>10.14656325501363</v>
      </c>
      <c r="F43" s="421">
        <f>'Proctor '!J41</f>
        <v>11.935935920065679</v>
      </c>
      <c r="G43" s="422"/>
      <c r="H43" s="684">
        <f>X54</f>
        <v>7.3</v>
      </c>
      <c r="I43" s="685"/>
      <c r="J43" s="382"/>
      <c r="K43" s="382"/>
      <c r="L43" s="420" t="s">
        <v>75</v>
      </c>
      <c r="M43" s="423">
        <f>'CBR Crb (2)'!$C$26</f>
        <v>17.886673955296409</v>
      </c>
      <c r="N43" s="423">
        <f>'CBR Crb (2)'!$D$26</f>
        <v>12.163514091350828</v>
      </c>
      <c r="O43" s="424">
        <f>'CBR Crb (2)'!$E$26</f>
        <v>5.9113226433430528</v>
      </c>
      <c r="P43" s="425"/>
      <c r="Q43" s="382"/>
      <c r="R43" s="420" t="s">
        <v>75</v>
      </c>
      <c r="S43" s="423"/>
      <c r="T43" s="423"/>
      <c r="U43" s="426">
        <f>X47</f>
        <v>12.2</v>
      </c>
      <c r="V43" s="424"/>
    </row>
    <row r="44" spans="1:36" ht="15.75" thickBot="1" x14ac:dyDescent="0.3">
      <c r="A44" s="427" t="s">
        <v>145</v>
      </c>
      <c r="B44" s="422">
        <f>'Proctor '!B33:C33</f>
        <v>1.7920165578952847</v>
      </c>
      <c r="C44" s="422">
        <f>'Proctor '!D33</f>
        <v>1.8337243342757841</v>
      </c>
      <c r="D44" s="422">
        <f>'Proctor '!F33</f>
        <v>1.8349449916291107</v>
      </c>
      <c r="E44" s="422">
        <f>'Proctor '!H33</f>
        <v>1.7985060538385576</v>
      </c>
      <c r="F44" s="422">
        <f>'Proctor '!J33</f>
        <v>1.7499450035819022</v>
      </c>
      <c r="G44" s="422"/>
      <c r="H44" s="682">
        <f>Y54</f>
        <v>1.8420000000000001</v>
      </c>
      <c r="I44" s="683"/>
      <c r="J44" s="382"/>
      <c r="K44" s="382"/>
      <c r="L44" s="427" t="s">
        <v>145</v>
      </c>
      <c r="M44" s="422">
        <f>'CBR Crb (2)'!$C$27</f>
        <v>1.8422857037963325</v>
      </c>
      <c r="N44" s="422">
        <f>'CBR Crb (2)'!$D$27</f>
        <v>1.749714864139633</v>
      </c>
      <c r="O44" s="428">
        <f>'CBR Crb (2)'!$E$27</f>
        <v>1.6578685717936619</v>
      </c>
      <c r="P44" s="382"/>
      <c r="Q44" s="382"/>
      <c r="R44" s="427" t="s">
        <v>145</v>
      </c>
      <c r="S44" s="429">
        <f>D38</f>
        <v>1.8420000000000001</v>
      </c>
      <c r="T44" s="429">
        <f>0.98*D38</f>
        <v>1.8051600000000001</v>
      </c>
      <c r="U44" s="471">
        <f>Y47</f>
        <v>1.7499</v>
      </c>
      <c r="V44" s="430">
        <f>0.9*D38</f>
        <v>1.6578000000000002</v>
      </c>
    </row>
    <row r="45" spans="1:36" ht="7.9" customHeight="1" x14ac:dyDescent="0.25">
      <c r="A45" s="373"/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79"/>
    </row>
    <row r="46" spans="1:36" ht="16.5" thickBot="1" x14ac:dyDescent="0.3">
      <c r="A46" s="373"/>
      <c r="B46" s="34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79"/>
      <c r="X46" s="618" t="s">
        <v>160</v>
      </c>
      <c r="Y46" s="619"/>
      <c r="AA46" s="604">
        <v>1.5087424812322829</v>
      </c>
      <c r="AB46" s="620"/>
      <c r="AC46" s="604">
        <v>1.7608815244713649</v>
      </c>
      <c r="AD46" s="620"/>
      <c r="AE46" s="604">
        <v>1.8072856952844565</v>
      </c>
      <c r="AF46" s="620"/>
      <c r="AG46" s="604">
        <v>1.705032926024864</v>
      </c>
      <c r="AH46" s="620"/>
      <c r="AI46" s="604">
        <v>1.6033511848620288</v>
      </c>
      <c r="AJ46" s="605"/>
    </row>
    <row r="47" spans="1:36" ht="15.75" thickTop="1" x14ac:dyDescent="0.25">
      <c r="A47" s="373"/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79"/>
      <c r="X47" s="326">
        <f>'CBR Crb (2)'!T28</f>
        <v>12.2</v>
      </c>
      <c r="Y47" s="264">
        <f>'CBR Crb (2)'!U28</f>
        <v>1.7499</v>
      </c>
    </row>
    <row r="48" spans="1:36" ht="15.75" thickBot="1" x14ac:dyDescent="0.3">
      <c r="A48" s="373"/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79"/>
      <c r="X48" s="327">
        <f>X47</f>
        <v>12.2</v>
      </c>
      <c r="Y48" s="269">
        <v>1.64</v>
      </c>
      <c r="AA48" s="606">
        <v>4.144858294811776</v>
      </c>
      <c r="AB48" s="606"/>
      <c r="AC48" s="606">
        <v>6.1434380507245683</v>
      </c>
      <c r="AD48" s="606"/>
      <c r="AE48" s="606">
        <v>8.2092014738586752</v>
      </c>
      <c r="AF48" s="606"/>
      <c r="AG48" s="606">
        <v>10.115640061204832</v>
      </c>
      <c r="AH48" s="606"/>
      <c r="AI48" s="606">
        <v>12.159486396002357</v>
      </c>
      <c r="AJ48" s="617"/>
    </row>
    <row r="49" spans="1:147" x14ac:dyDescent="0.25">
      <c r="A49" s="373"/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7"/>
      <c r="S49" s="347"/>
      <c r="T49" s="347"/>
      <c r="U49" s="347"/>
      <c r="V49" s="379"/>
      <c r="X49" s="273"/>
      <c r="Y49" s="274"/>
    </row>
    <row r="50" spans="1:147" x14ac:dyDescent="0.25">
      <c r="A50" s="373"/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79"/>
      <c r="X50" s="268">
        <v>4</v>
      </c>
      <c r="Y50" s="269">
        <f>Y47</f>
        <v>1.7499</v>
      </c>
    </row>
    <row r="51" spans="1:147" x14ac:dyDescent="0.25">
      <c r="A51" s="373"/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79"/>
      <c r="X51" s="328">
        <f>X48</f>
        <v>12.2</v>
      </c>
      <c r="Y51" s="280">
        <f>Y50</f>
        <v>1.7499</v>
      </c>
      <c r="AA51" s="460">
        <v>14.939049337260677</v>
      </c>
      <c r="AB51" s="460">
        <v>9.0401457725947534</v>
      </c>
      <c r="AC51" s="251">
        <v>4.0792754050073636</v>
      </c>
    </row>
    <row r="52" spans="1:147" x14ac:dyDescent="0.25">
      <c r="A52" s="373"/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79"/>
    </row>
    <row r="53" spans="1:147" ht="15.75" thickBot="1" x14ac:dyDescent="0.3">
      <c r="A53" s="373"/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  <c r="N53" s="347"/>
      <c r="O53" s="347"/>
      <c r="P53" s="347"/>
      <c r="Q53" s="347"/>
      <c r="R53" s="347"/>
      <c r="S53" s="347"/>
      <c r="T53" s="347"/>
      <c r="U53" s="347"/>
      <c r="V53" s="379"/>
      <c r="X53" s="675" t="s">
        <v>157</v>
      </c>
      <c r="Y53" s="676"/>
      <c r="AA53" s="459">
        <v>1.811749882333872</v>
      </c>
      <c r="AB53" s="459">
        <v>1.7248025539060909</v>
      </c>
      <c r="AC53" s="255">
        <v>1.6344850621406257</v>
      </c>
    </row>
    <row r="54" spans="1:147" x14ac:dyDescent="0.25">
      <c r="A54" s="373"/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79"/>
      <c r="X54" s="311">
        <f>'Proctor '!B44</f>
        <v>7.3</v>
      </c>
      <c r="Y54" s="312">
        <f>'Proctor '!B43</f>
        <v>1.8420000000000001</v>
      </c>
    </row>
    <row r="55" spans="1:147" x14ac:dyDescent="0.25">
      <c r="A55" s="373"/>
      <c r="B55" s="347"/>
      <c r="C55" s="347"/>
      <c r="D55" s="347"/>
      <c r="E55" s="347"/>
      <c r="F55" s="347"/>
      <c r="G55" s="347"/>
      <c r="H55" s="347"/>
      <c r="I55" s="347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79"/>
      <c r="X55" s="311">
        <f>X54</f>
        <v>7.3</v>
      </c>
      <c r="Y55" s="312">
        <v>1.78</v>
      </c>
    </row>
    <row r="56" spans="1:147" x14ac:dyDescent="0.25">
      <c r="A56" s="373"/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79"/>
      <c r="X56" s="311"/>
      <c r="Y56" s="312"/>
      <c r="AA56" s="671">
        <v>7.6067528085002696</v>
      </c>
      <c r="AB56" s="672"/>
      <c r="AC56" s="671">
        <v>7.5611458890127361</v>
      </c>
      <c r="AD56" s="672"/>
      <c r="AE56" s="671">
        <v>7.5727707943985045</v>
      </c>
      <c r="AF56" s="672"/>
    </row>
    <row r="57" spans="1:147" x14ac:dyDescent="0.25">
      <c r="A57" s="373"/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7"/>
      <c r="M57" s="347"/>
      <c r="N57" s="347"/>
      <c r="O57" s="347"/>
      <c r="P57" s="347"/>
      <c r="Q57" s="347"/>
      <c r="R57" s="347"/>
      <c r="S57" s="347"/>
      <c r="T57" s="347"/>
      <c r="U57" s="347"/>
      <c r="V57" s="379"/>
      <c r="X57" s="311">
        <f>Y54</f>
        <v>1.8420000000000001</v>
      </c>
      <c r="Y57" s="312">
        <v>7.3</v>
      </c>
    </row>
    <row r="58" spans="1:147" ht="13.15" customHeight="1" thickBot="1" x14ac:dyDescent="0.3">
      <c r="A58" s="373"/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79"/>
      <c r="X58" s="313">
        <f>X57</f>
        <v>1.8420000000000001</v>
      </c>
      <c r="Y58" s="314">
        <v>0</v>
      </c>
    </row>
    <row r="59" spans="1:147" ht="6.6" customHeight="1" x14ac:dyDescent="0.25">
      <c r="A59" s="668"/>
      <c r="B59" s="669"/>
      <c r="C59" s="669"/>
      <c r="D59" s="669"/>
      <c r="E59" s="669"/>
      <c r="F59" s="669"/>
      <c r="G59" s="669"/>
      <c r="H59" s="669"/>
      <c r="I59" s="669"/>
      <c r="J59" s="669"/>
      <c r="K59" s="668"/>
      <c r="L59" s="669"/>
      <c r="M59" s="669"/>
      <c r="N59" s="669"/>
      <c r="O59" s="669"/>
      <c r="P59" s="669"/>
      <c r="Q59" s="669"/>
      <c r="R59" s="669"/>
      <c r="S59" s="669"/>
      <c r="T59" s="669"/>
      <c r="U59" s="669"/>
      <c r="V59" s="670"/>
    </row>
    <row r="60" spans="1:147" ht="15.6" customHeight="1" x14ac:dyDescent="0.25">
      <c r="A60" s="648" t="s">
        <v>310</v>
      </c>
      <c r="B60" s="649"/>
      <c r="C60" s="649"/>
      <c r="D60" s="649"/>
      <c r="E60" s="649"/>
      <c r="F60" s="649"/>
      <c r="G60" s="649"/>
      <c r="H60" s="649"/>
      <c r="I60" s="649"/>
      <c r="J60" s="649"/>
      <c r="K60" s="650" t="s">
        <v>309</v>
      </c>
      <c r="L60" s="651"/>
      <c r="M60" s="651"/>
      <c r="N60" s="651"/>
      <c r="O60" s="651"/>
      <c r="P60" s="651"/>
      <c r="Q60" s="651"/>
      <c r="R60" s="651"/>
      <c r="S60" s="651"/>
      <c r="T60" s="651"/>
      <c r="U60" s="651"/>
      <c r="V60" s="652"/>
    </row>
    <row r="61" spans="1:147" ht="4.9000000000000004" customHeight="1" x14ac:dyDescent="0.25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3"/>
      <c r="L61" s="654"/>
      <c r="M61" s="654"/>
      <c r="N61" s="654"/>
      <c r="O61" s="654"/>
      <c r="P61" s="654"/>
      <c r="Q61" s="654"/>
      <c r="R61" s="654"/>
      <c r="S61" s="654"/>
      <c r="T61" s="654"/>
      <c r="U61" s="654"/>
      <c r="V61" s="655"/>
      <c r="W61" s="656"/>
      <c r="X61" s="657"/>
      <c r="Y61" s="657"/>
      <c r="Z61" s="657"/>
      <c r="AA61" s="657"/>
      <c r="AB61" s="657"/>
      <c r="AC61" s="657"/>
      <c r="AD61" s="657"/>
      <c r="AE61" s="657"/>
      <c r="AF61" s="657"/>
      <c r="AG61" s="657"/>
      <c r="AH61" s="657"/>
      <c r="AI61" s="657"/>
      <c r="AJ61" s="657"/>
      <c r="AK61" s="657"/>
      <c r="AL61" s="657"/>
      <c r="AM61" s="657"/>
      <c r="AN61" s="657"/>
      <c r="AO61" s="657"/>
      <c r="AP61" s="657"/>
      <c r="AQ61" s="657"/>
      <c r="AR61" s="657"/>
      <c r="AS61" s="657"/>
      <c r="AT61" s="657"/>
      <c r="AU61" s="657"/>
      <c r="AV61" s="657"/>
      <c r="AW61" s="657"/>
      <c r="AX61" s="657"/>
      <c r="AY61" s="657"/>
      <c r="AZ61" s="657"/>
      <c r="BA61" s="657"/>
      <c r="BB61" s="657"/>
      <c r="BC61" s="657"/>
      <c r="BD61" s="657"/>
      <c r="BE61" s="657"/>
      <c r="BF61" s="657"/>
      <c r="BG61" s="657"/>
      <c r="BH61" s="657"/>
      <c r="BI61" s="657"/>
      <c r="BJ61" s="657"/>
      <c r="BK61" s="657"/>
      <c r="BL61" s="657"/>
      <c r="BM61" s="657"/>
      <c r="BN61" s="657"/>
      <c r="BO61" s="657"/>
      <c r="BP61" s="657"/>
      <c r="BQ61" s="657"/>
      <c r="BR61" s="657"/>
      <c r="BS61" s="657"/>
      <c r="BT61" s="657"/>
      <c r="BU61" s="657"/>
      <c r="BV61" s="657"/>
      <c r="BW61" s="657"/>
      <c r="BX61" s="657"/>
      <c r="BY61" s="657"/>
      <c r="BZ61" s="657"/>
      <c r="CA61" s="657"/>
      <c r="CB61" s="657"/>
      <c r="CC61" s="657"/>
      <c r="CD61" s="657"/>
      <c r="CE61" s="657"/>
      <c r="CF61" s="657"/>
      <c r="CG61" s="657"/>
      <c r="CH61" s="657"/>
      <c r="CI61" s="657"/>
      <c r="CJ61" s="657"/>
      <c r="CK61" s="657"/>
      <c r="CL61" s="657"/>
      <c r="CM61" s="657"/>
      <c r="CN61" s="657"/>
      <c r="CO61" s="657"/>
      <c r="CP61" s="657"/>
      <c r="CQ61" s="657"/>
      <c r="CR61" s="657"/>
      <c r="CS61" s="657"/>
      <c r="CT61" s="657"/>
      <c r="CU61" s="657"/>
      <c r="CV61" s="657"/>
      <c r="CW61" s="657"/>
      <c r="CX61" s="657"/>
      <c r="CY61" s="657"/>
      <c r="CZ61" s="657"/>
      <c r="DA61" s="657"/>
      <c r="DB61" s="657"/>
      <c r="DC61" s="657"/>
      <c r="DD61" s="657"/>
      <c r="DE61" s="657"/>
      <c r="DF61" s="657"/>
      <c r="DG61" s="657"/>
      <c r="DH61" s="657"/>
      <c r="DI61" s="657"/>
      <c r="DJ61" s="657"/>
      <c r="DK61" s="657"/>
      <c r="DL61" s="657"/>
      <c r="DM61" s="657"/>
      <c r="DN61" s="657"/>
      <c r="DO61" s="657"/>
      <c r="DP61" s="657"/>
      <c r="DQ61" s="657"/>
      <c r="DR61" s="657"/>
      <c r="DS61" s="657"/>
      <c r="DT61" s="657"/>
      <c r="DU61" s="657"/>
      <c r="DV61" s="657"/>
      <c r="DW61" s="657"/>
      <c r="DX61" s="657"/>
      <c r="DY61" s="657"/>
      <c r="DZ61" s="657"/>
      <c r="EA61" s="657"/>
      <c r="EB61" s="657"/>
      <c r="EC61" s="657"/>
      <c r="ED61" s="657"/>
      <c r="EE61" s="657"/>
      <c r="EF61" s="657"/>
      <c r="EG61" s="657"/>
      <c r="EH61" s="657"/>
      <c r="EI61" s="657"/>
      <c r="EJ61" s="657"/>
      <c r="EK61" s="657"/>
      <c r="EL61" s="657"/>
      <c r="EM61" s="657"/>
      <c r="EN61" s="657"/>
      <c r="EO61" s="657"/>
      <c r="EP61" s="657"/>
      <c r="EQ61" s="657"/>
    </row>
    <row r="62" spans="1:147" ht="3.6" customHeight="1" x14ac:dyDescent="0.25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3"/>
      <c r="L62" s="654"/>
      <c r="M62" s="654"/>
      <c r="N62" s="654"/>
      <c r="O62" s="654"/>
      <c r="P62" s="654"/>
      <c r="Q62" s="654"/>
      <c r="R62" s="654"/>
      <c r="S62" s="654"/>
      <c r="T62" s="654"/>
      <c r="U62" s="654"/>
      <c r="V62" s="655"/>
      <c r="W62" s="656"/>
      <c r="X62" s="657"/>
      <c r="Y62" s="657"/>
      <c r="Z62" s="657"/>
      <c r="AA62" s="657"/>
      <c r="AB62" s="657"/>
      <c r="AC62" s="657"/>
      <c r="AD62" s="657"/>
      <c r="AE62" s="657"/>
      <c r="AF62" s="657"/>
      <c r="AG62" s="657"/>
      <c r="AH62" s="657"/>
      <c r="AI62" s="657"/>
      <c r="AJ62" s="657"/>
      <c r="AK62" s="657"/>
      <c r="AL62" s="657"/>
      <c r="AM62" s="657"/>
      <c r="AN62" s="657"/>
      <c r="AO62" s="657"/>
      <c r="AP62" s="657"/>
      <c r="AQ62" s="657"/>
      <c r="AR62" s="657"/>
      <c r="AS62" s="657"/>
      <c r="AT62" s="657"/>
      <c r="AU62" s="657"/>
      <c r="AV62" s="657"/>
      <c r="AW62" s="657"/>
      <c r="AX62" s="657"/>
      <c r="AY62" s="657"/>
      <c r="AZ62" s="657"/>
      <c r="BA62" s="657"/>
      <c r="BB62" s="657"/>
      <c r="BC62" s="657"/>
      <c r="BD62" s="657"/>
      <c r="BE62" s="657"/>
      <c r="BF62" s="657"/>
      <c r="BG62" s="657"/>
      <c r="BH62" s="657"/>
      <c r="BI62" s="657"/>
      <c r="BJ62" s="657"/>
      <c r="BK62" s="657"/>
      <c r="BL62" s="657"/>
      <c r="BM62" s="657"/>
      <c r="BN62" s="657"/>
      <c r="BO62" s="657"/>
      <c r="BP62" s="657"/>
      <c r="BQ62" s="657"/>
      <c r="BR62" s="657"/>
      <c r="BS62" s="657"/>
      <c r="BT62" s="657"/>
      <c r="BU62" s="657"/>
      <c r="BV62" s="657"/>
      <c r="BW62" s="657"/>
      <c r="BX62" s="657"/>
      <c r="BY62" s="657"/>
      <c r="BZ62" s="657"/>
      <c r="CA62" s="657"/>
      <c r="CB62" s="657"/>
      <c r="CC62" s="657"/>
      <c r="CD62" s="657"/>
      <c r="CE62" s="657"/>
      <c r="CF62" s="657"/>
      <c r="CG62" s="657"/>
      <c r="CH62" s="657"/>
      <c r="CI62" s="657"/>
      <c r="CJ62" s="657"/>
      <c r="CK62" s="657"/>
      <c r="CL62" s="657"/>
      <c r="CM62" s="657"/>
      <c r="CN62" s="657"/>
      <c r="CO62" s="657"/>
      <c r="CP62" s="657"/>
      <c r="CQ62" s="657"/>
      <c r="CR62" s="657"/>
      <c r="CS62" s="657"/>
      <c r="CT62" s="657"/>
      <c r="CU62" s="657"/>
      <c r="CV62" s="657"/>
      <c r="CW62" s="657"/>
      <c r="CX62" s="657"/>
      <c r="CY62" s="657"/>
      <c r="CZ62" s="657"/>
      <c r="DA62" s="657"/>
      <c r="DB62" s="657"/>
      <c r="DC62" s="657"/>
      <c r="DD62" s="657"/>
      <c r="DE62" s="657"/>
      <c r="DF62" s="657"/>
      <c r="DG62" s="657"/>
      <c r="DH62" s="657"/>
      <c r="DI62" s="657"/>
      <c r="DJ62" s="657"/>
      <c r="DK62" s="657"/>
      <c r="DL62" s="657"/>
      <c r="DM62" s="657"/>
      <c r="DN62" s="657"/>
      <c r="DO62" s="657"/>
      <c r="DP62" s="657"/>
      <c r="DQ62" s="657"/>
      <c r="DR62" s="657"/>
      <c r="DS62" s="657"/>
      <c r="DT62" s="657"/>
      <c r="DU62" s="657"/>
      <c r="DV62" s="657"/>
      <c r="DW62" s="657"/>
      <c r="DX62" s="657"/>
      <c r="DY62" s="657"/>
      <c r="DZ62" s="657"/>
      <c r="EA62" s="657"/>
      <c r="EB62" s="657"/>
      <c r="EC62" s="657"/>
      <c r="ED62" s="657"/>
      <c r="EE62" s="657"/>
      <c r="EF62" s="657"/>
      <c r="EG62" s="657"/>
      <c r="EH62" s="657"/>
      <c r="EI62" s="657"/>
      <c r="EJ62" s="657"/>
      <c r="EK62" s="657"/>
      <c r="EL62" s="657"/>
      <c r="EM62" s="657"/>
      <c r="EN62" s="657"/>
      <c r="EO62" s="657"/>
      <c r="EP62" s="657"/>
      <c r="EQ62" s="657"/>
    </row>
    <row r="63" spans="1:147" ht="7.15" customHeight="1" x14ac:dyDescent="0.25">
      <c r="A63" s="653"/>
      <c r="B63" s="654"/>
      <c r="C63" s="654"/>
      <c r="D63" s="654"/>
      <c r="E63" s="654"/>
      <c r="F63" s="654"/>
      <c r="G63" s="654"/>
      <c r="H63" s="654"/>
      <c r="I63" s="654"/>
      <c r="J63" s="654"/>
      <c r="K63" s="653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5"/>
      <c r="W63" s="656"/>
      <c r="X63" s="657"/>
      <c r="Y63" s="657"/>
      <c r="Z63" s="657"/>
      <c r="AA63" s="657"/>
      <c r="AB63" s="657"/>
      <c r="AC63" s="657"/>
      <c r="AD63" s="657"/>
      <c r="AE63" s="657"/>
      <c r="AF63" s="657"/>
      <c r="AG63" s="657"/>
      <c r="AH63" s="657"/>
      <c r="AI63" s="657"/>
      <c r="AJ63" s="657"/>
      <c r="AK63" s="657"/>
      <c r="AL63" s="657"/>
      <c r="AM63" s="657"/>
      <c r="AN63" s="657"/>
      <c r="AO63" s="657"/>
      <c r="AP63" s="657"/>
      <c r="AQ63" s="657"/>
      <c r="AR63" s="657"/>
      <c r="AS63" s="657"/>
      <c r="AT63" s="657"/>
      <c r="AU63" s="657"/>
      <c r="AV63" s="657"/>
      <c r="AW63" s="657"/>
      <c r="AX63" s="657"/>
      <c r="AY63" s="657"/>
      <c r="AZ63" s="657"/>
      <c r="BA63" s="657"/>
      <c r="BB63" s="657"/>
      <c r="BC63" s="657"/>
      <c r="BD63" s="657"/>
      <c r="BE63" s="657"/>
      <c r="BF63" s="657"/>
      <c r="BG63" s="657"/>
      <c r="BH63" s="657"/>
      <c r="BI63" s="657"/>
      <c r="BJ63" s="657"/>
      <c r="BK63" s="657"/>
      <c r="BL63" s="657"/>
      <c r="BM63" s="657"/>
      <c r="BN63" s="657"/>
      <c r="BO63" s="657"/>
      <c r="BP63" s="657"/>
      <c r="BQ63" s="657"/>
      <c r="BR63" s="657"/>
      <c r="BS63" s="657"/>
      <c r="BT63" s="657"/>
      <c r="BU63" s="657"/>
      <c r="BV63" s="657"/>
      <c r="BW63" s="657"/>
      <c r="BX63" s="657"/>
      <c r="BY63" s="657"/>
      <c r="BZ63" s="657"/>
      <c r="CA63" s="657"/>
      <c r="CB63" s="657"/>
      <c r="CC63" s="657"/>
      <c r="CD63" s="657"/>
      <c r="CE63" s="657"/>
      <c r="CF63" s="657"/>
      <c r="CG63" s="657"/>
      <c r="CH63" s="657"/>
      <c r="CI63" s="657"/>
      <c r="CJ63" s="657"/>
      <c r="CK63" s="657"/>
      <c r="CL63" s="657"/>
      <c r="CM63" s="657"/>
      <c r="CN63" s="657"/>
      <c r="CO63" s="657"/>
      <c r="CP63" s="657"/>
      <c r="CQ63" s="657"/>
      <c r="CR63" s="657"/>
      <c r="CS63" s="657"/>
      <c r="CT63" s="657"/>
      <c r="CU63" s="657"/>
      <c r="CV63" s="657"/>
      <c r="CW63" s="657"/>
      <c r="CX63" s="657"/>
      <c r="CY63" s="657"/>
      <c r="CZ63" s="657"/>
      <c r="DA63" s="657"/>
      <c r="DB63" s="657"/>
      <c r="DC63" s="657"/>
      <c r="DD63" s="657"/>
      <c r="DE63" s="657"/>
      <c r="DF63" s="657"/>
      <c r="DG63" s="657"/>
      <c r="DH63" s="657"/>
      <c r="DI63" s="657"/>
      <c r="DJ63" s="657"/>
      <c r="DK63" s="657"/>
      <c r="DL63" s="657"/>
      <c r="DM63" s="657"/>
      <c r="DN63" s="657"/>
      <c r="DO63" s="657"/>
      <c r="DP63" s="657"/>
      <c r="DQ63" s="657"/>
      <c r="DR63" s="657"/>
      <c r="DS63" s="657"/>
      <c r="DT63" s="657"/>
      <c r="DU63" s="657"/>
      <c r="DV63" s="657"/>
      <c r="DW63" s="657"/>
      <c r="DX63" s="657"/>
      <c r="DY63" s="657"/>
      <c r="DZ63" s="657"/>
      <c r="EA63" s="657"/>
      <c r="EB63" s="657"/>
      <c r="EC63" s="657"/>
      <c r="ED63" s="657"/>
      <c r="EE63" s="657"/>
      <c r="EF63" s="657"/>
      <c r="EG63" s="657"/>
      <c r="EH63" s="657"/>
      <c r="EI63" s="657"/>
      <c r="EJ63" s="657"/>
      <c r="EK63" s="657"/>
      <c r="EL63" s="657"/>
      <c r="EM63" s="657"/>
      <c r="EN63" s="657"/>
      <c r="EO63" s="657"/>
      <c r="EP63" s="657"/>
      <c r="EQ63" s="657"/>
    </row>
    <row r="64" spans="1:147" ht="4.1500000000000004" customHeight="1" x14ac:dyDescent="0.25">
      <c r="A64" s="653"/>
      <c r="B64" s="654"/>
      <c r="C64" s="654"/>
      <c r="D64" s="654"/>
      <c r="E64" s="654"/>
      <c r="F64" s="654"/>
      <c r="G64" s="654"/>
      <c r="H64" s="654"/>
      <c r="I64" s="654"/>
      <c r="J64" s="654"/>
      <c r="K64" s="653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5"/>
      <c r="W64" s="656"/>
      <c r="X64" s="657"/>
      <c r="Y64" s="657"/>
      <c r="Z64" s="657"/>
      <c r="AA64" s="657"/>
      <c r="AB64" s="657"/>
      <c r="AC64" s="657"/>
      <c r="AD64" s="657"/>
      <c r="AE64" s="657"/>
      <c r="AF64" s="657"/>
      <c r="AG64" s="657"/>
      <c r="AH64" s="657"/>
      <c r="AI64" s="657"/>
      <c r="AJ64" s="657"/>
      <c r="AK64" s="657"/>
      <c r="AL64" s="657"/>
      <c r="AM64" s="657"/>
      <c r="AN64" s="657"/>
      <c r="AO64" s="657"/>
      <c r="AP64" s="657"/>
      <c r="AQ64" s="657"/>
      <c r="AR64" s="657"/>
      <c r="AS64" s="657"/>
      <c r="AT64" s="657"/>
      <c r="AU64" s="657"/>
      <c r="AV64" s="657"/>
      <c r="AW64" s="657"/>
      <c r="AX64" s="657"/>
      <c r="AY64" s="657"/>
      <c r="AZ64" s="657"/>
      <c r="BA64" s="657"/>
      <c r="BB64" s="657"/>
      <c r="BC64" s="657"/>
      <c r="BD64" s="657"/>
      <c r="BE64" s="657"/>
      <c r="BF64" s="657"/>
      <c r="BG64" s="657"/>
      <c r="BH64" s="657"/>
      <c r="BI64" s="657"/>
      <c r="BJ64" s="657"/>
      <c r="BK64" s="657"/>
      <c r="BL64" s="657"/>
      <c r="BM64" s="657"/>
      <c r="BN64" s="657"/>
      <c r="BO64" s="657"/>
      <c r="BP64" s="657"/>
      <c r="BQ64" s="657"/>
      <c r="BR64" s="657"/>
      <c r="BS64" s="657"/>
      <c r="BT64" s="657"/>
      <c r="BU64" s="657"/>
      <c r="BV64" s="657"/>
      <c r="BW64" s="657"/>
      <c r="BX64" s="657"/>
      <c r="BY64" s="657"/>
      <c r="BZ64" s="657"/>
      <c r="CA64" s="657"/>
      <c r="CB64" s="657"/>
      <c r="CC64" s="657"/>
      <c r="CD64" s="657"/>
      <c r="CE64" s="657"/>
      <c r="CF64" s="657"/>
      <c r="CG64" s="657"/>
      <c r="CH64" s="657"/>
      <c r="CI64" s="657"/>
      <c r="CJ64" s="657"/>
      <c r="CK64" s="657"/>
      <c r="CL64" s="657"/>
      <c r="CM64" s="657"/>
      <c r="CN64" s="657"/>
      <c r="CO64" s="657"/>
      <c r="CP64" s="657"/>
      <c r="CQ64" s="657"/>
      <c r="CR64" s="657"/>
      <c r="CS64" s="657"/>
      <c r="CT64" s="657"/>
      <c r="CU64" s="657"/>
      <c r="CV64" s="657"/>
      <c r="CW64" s="657"/>
      <c r="CX64" s="657"/>
      <c r="CY64" s="657"/>
      <c r="CZ64" s="657"/>
      <c r="DA64" s="657"/>
      <c r="DB64" s="657"/>
      <c r="DC64" s="657"/>
      <c r="DD64" s="657"/>
      <c r="DE64" s="657"/>
      <c r="DF64" s="657"/>
      <c r="DG64" s="657"/>
      <c r="DH64" s="657"/>
      <c r="DI64" s="657"/>
      <c r="DJ64" s="657"/>
      <c r="DK64" s="657"/>
      <c r="DL64" s="657"/>
      <c r="DM64" s="657"/>
      <c r="DN64" s="657"/>
      <c r="DO64" s="657"/>
      <c r="DP64" s="657"/>
      <c r="DQ64" s="657"/>
      <c r="DR64" s="657"/>
      <c r="DS64" s="657"/>
      <c r="DT64" s="657"/>
      <c r="DU64" s="657"/>
      <c r="DV64" s="657"/>
      <c r="DW64" s="657"/>
      <c r="DX64" s="657"/>
      <c r="DY64" s="657"/>
      <c r="DZ64" s="657"/>
      <c r="EA64" s="657"/>
      <c r="EB64" s="657"/>
      <c r="EC64" s="657"/>
      <c r="ED64" s="657"/>
      <c r="EE64" s="657"/>
      <c r="EF64" s="657"/>
      <c r="EG64" s="657"/>
      <c r="EH64" s="657"/>
      <c r="EI64" s="657"/>
      <c r="EJ64" s="657"/>
      <c r="EK64" s="657"/>
      <c r="EL64" s="657"/>
      <c r="EM64" s="657"/>
      <c r="EN64" s="657"/>
      <c r="EO64" s="657"/>
      <c r="EP64" s="657"/>
      <c r="EQ64" s="657"/>
    </row>
    <row r="65" spans="1:147" ht="1.9" customHeight="1" x14ac:dyDescent="0.25">
      <c r="A65" s="653"/>
      <c r="B65" s="654"/>
      <c r="C65" s="654"/>
      <c r="D65" s="654"/>
      <c r="E65" s="654"/>
      <c r="F65" s="654"/>
      <c r="G65" s="654"/>
      <c r="H65" s="654"/>
      <c r="I65" s="654"/>
      <c r="J65" s="654"/>
      <c r="K65" s="653"/>
      <c r="L65" s="654"/>
      <c r="M65" s="654"/>
      <c r="N65" s="654"/>
      <c r="O65" s="654"/>
      <c r="P65" s="654"/>
      <c r="Q65" s="654"/>
      <c r="R65" s="654"/>
      <c r="S65" s="654"/>
      <c r="T65" s="654"/>
      <c r="U65" s="654"/>
      <c r="V65" s="655"/>
      <c r="W65" s="656"/>
      <c r="X65" s="657"/>
      <c r="Y65" s="657"/>
      <c r="Z65" s="657"/>
      <c r="AA65" s="657"/>
      <c r="AB65" s="657"/>
      <c r="AC65" s="657"/>
      <c r="AD65" s="657"/>
      <c r="AE65" s="657"/>
      <c r="AF65" s="657"/>
      <c r="AG65" s="657"/>
      <c r="AH65" s="657"/>
      <c r="AI65" s="657"/>
      <c r="AJ65" s="657"/>
      <c r="AK65" s="657"/>
      <c r="AL65" s="657"/>
      <c r="AM65" s="657"/>
      <c r="AN65" s="657"/>
      <c r="AO65" s="657"/>
      <c r="AP65" s="657"/>
      <c r="AQ65" s="657"/>
      <c r="AR65" s="657"/>
      <c r="AS65" s="657"/>
      <c r="AT65" s="657"/>
      <c r="AU65" s="657"/>
      <c r="AV65" s="657"/>
      <c r="AW65" s="657"/>
      <c r="AX65" s="657"/>
      <c r="AY65" s="657"/>
      <c r="AZ65" s="657"/>
      <c r="BA65" s="657"/>
      <c r="BB65" s="657"/>
      <c r="BC65" s="657"/>
      <c r="BD65" s="657"/>
      <c r="BE65" s="657"/>
      <c r="BF65" s="657"/>
      <c r="BG65" s="657"/>
      <c r="BH65" s="657"/>
      <c r="BI65" s="657"/>
      <c r="BJ65" s="657"/>
      <c r="BK65" s="657"/>
      <c r="BL65" s="657"/>
      <c r="BM65" s="657"/>
      <c r="BN65" s="657"/>
      <c r="BO65" s="657"/>
      <c r="BP65" s="657"/>
      <c r="BQ65" s="657"/>
      <c r="BR65" s="657"/>
      <c r="BS65" s="657"/>
      <c r="BT65" s="657"/>
      <c r="BU65" s="657"/>
      <c r="BV65" s="657"/>
      <c r="BW65" s="657"/>
      <c r="BX65" s="657"/>
      <c r="BY65" s="657"/>
      <c r="BZ65" s="657"/>
      <c r="CA65" s="657"/>
      <c r="CB65" s="657"/>
      <c r="CC65" s="657"/>
      <c r="CD65" s="657"/>
      <c r="CE65" s="657"/>
      <c r="CF65" s="657"/>
      <c r="CG65" s="657"/>
      <c r="CH65" s="657"/>
      <c r="CI65" s="657"/>
      <c r="CJ65" s="657"/>
      <c r="CK65" s="657"/>
      <c r="CL65" s="657"/>
      <c r="CM65" s="657"/>
      <c r="CN65" s="657"/>
      <c r="CO65" s="657"/>
      <c r="CP65" s="657"/>
      <c r="CQ65" s="657"/>
      <c r="CR65" s="657"/>
      <c r="CS65" s="657"/>
      <c r="CT65" s="657"/>
      <c r="CU65" s="657"/>
      <c r="CV65" s="657"/>
      <c r="CW65" s="657"/>
      <c r="CX65" s="657"/>
      <c r="CY65" s="657"/>
      <c r="CZ65" s="657"/>
      <c r="DA65" s="657"/>
      <c r="DB65" s="657"/>
      <c r="DC65" s="657"/>
      <c r="DD65" s="657"/>
      <c r="DE65" s="657"/>
      <c r="DF65" s="657"/>
      <c r="DG65" s="657"/>
      <c r="DH65" s="657"/>
      <c r="DI65" s="657"/>
      <c r="DJ65" s="657"/>
      <c r="DK65" s="657"/>
      <c r="DL65" s="657"/>
      <c r="DM65" s="657"/>
      <c r="DN65" s="657"/>
      <c r="DO65" s="657"/>
      <c r="DP65" s="657"/>
      <c r="DQ65" s="657"/>
      <c r="DR65" s="657"/>
      <c r="DS65" s="657"/>
      <c r="DT65" s="657"/>
      <c r="DU65" s="657"/>
      <c r="DV65" s="657"/>
      <c r="DW65" s="657"/>
      <c r="DX65" s="657"/>
      <c r="DY65" s="657"/>
      <c r="DZ65" s="657"/>
      <c r="EA65" s="657"/>
      <c r="EB65" s="657"/>
      <c r="EC65" s="657"/>
      <c r="ED65" s="657"/>
      <c r="EE65" s="657"/>
      <c r="EF65" s="657"/>
      <c r="EG65" s="657"/>
      <c r="EH65" s="657"/>
      <c r="EI65" s="657"/>
      <c r="EJ65" s="657"/>
      <c r="EK65" s="657"/>
      <c r="EL65" s="657"/>
      <c r="EM65" s="657"/>
      <c r="EN65" s="657"/>
      <c r="EO65" s="657"/>
      <c r="EP65" s="657"/>
      <c r="EQ65" s="657"/>
    </row>
    <row r="66" spans="1:147" ht="10.15" customHeight="1" x14ac:dyDescent="0.25">
      <c r="A66" s="658" t="s">
        <v>311</v>
      </c>
      <c r="B66" s="659"/>
      <c r="C66" s="659"/>
      <c r="D66" s="659"/>
      <c r="E66" s="659"/>
      <c r="F66" s="659"/>
      <c r="G66" s="659"/>
      <c r="H66" s="659"/>
      <c r="I66" s="659"/>
      <c r="J66" s="659"/>
      <c r="K66" s="662" t="s">
        <v>187</v>
      </c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4"/>
      <c r="W66" s="656"/>
      <c r="X66" s="657"/>
      <c r="Y66" s="657"/>
      <c r="Z66" s="657"/>
      <c r="AA66" s="657"/>
      <c r="AB66" s="657"/>
      <c r="AC66" s="657"/>
      <c r="AD66" s="657"/>
      <c r="AE66" s="657"/>
      <c r="AF66" s="657"/>
      <c r="AG66" s="657"/>
      <c r="AH66" s="657"/>
      <c r="AI66" s="657"/>
      <c r="AJ66" s="657"/>
      <c r="AK66" s="657"/>
      <c r="AL66" s="657"/>
      <c r="AM66" s="657"/>
      <c r="AN66" s="657"/>
      <c r="AO66" s="657"/>
      <c r="AP66" s="657"/>
      <c r="AQ66" s="657"/>
      <c r="AR66" s="657"/>
      <c r="AS66" s="657"/>
      <c r="AT66" s="657"/>
      <c r="AU66" s="657"/>
      <c r="AV66" s="657"/>
      <c r="AW66" s="657"/>
      <c r="AX66" s="657"/>
      <c r="AY66" s="657"/>
      <c r="AZ66" s="657"/>
      <c r="BA66" s="657"/>
      <c r="BB66" s="657"/>
      <c r="BC66" s="657"/>
      <c r="BD66" s="657"/>
      <c r="BE66" s="657"/>
      <c r="BF66" s="657"/>
      <c r="BG66" s="657"/>
      <c r="BH66" s="657"/>
      <c r="BI66" s="657"/>
      <c r="BJ66" s="657"/>
      <c r="BK66" s="657"/>
      <c r="BL66" s="657"/>
      <c r="BM66" s="657"/>
      <c r="BN66" s="657"/>
      <c r="BO66" s="657"/>
      <c r="BP66" s="657"/>
      <c r="BQ66" s="657"/>
      <c r="BR66" s="657"/>
      <c r="BS66" s="657"/>
      <c r="BT66" s="657"/>
      <c r="BU66" s="657"/>
      <c r="BV66" s="657"/>
      <c r="BW66" s="657"/>
      <c r="BX66" s="657"/>
      <c r="BY66" s="657"/>
      <c r="BZ66" s="657"/>
      <c r="CA66" s="657"/>
      <c r="CB66" s="657"/>
      <c r="CC66" s="657"/>
      <c r="CD66" s="657"/>
      <c r="CE66" s="657"/>
      <c r="CF66" s="657"/>
      <c r="CG66" s="657"/>
      <c r="CH66" s="657"/>
      <c r="CI66" s="657"/>
      <c r="CJ66" s="657"/>
      <c r="CK66" s="657"/>
      <c r="CL66" s="657"/>
      <c r="CM66" s="657"/>
      <c r="CN66" s="657"/>
      <c r="CO66" s="657"/>
      <c r="CP66" s="657"/>
      <c r="CQ66" s="657"/>
      <c r="CR66" s="657"/>
      <c r="CS66" s="657"/>
      <c r="CT66" s="657"/>
      <c r="CU66" s="657"/>
      <c r="CV66" s="657"/>
      <c r="CW66" s="657"/>
      <c r="CX66" s="657"/>
      <c r="CY66" s="657"/>
      <c r="CZ66" s="657"/>
      <c r="DA66" s="657"/>
      <c r="DB66" s="657"/>
      <c r="DC66" s="657"/>
      <c r="DD66" s="657"/>
      <c r="DE66" s="657"/>
      <c r="DF66" s="657"/>
      <c r="DG66" s="657"/>
      <c r="DH66" s="657"/>
      <c r="DI66" s="657"/>
      <c r="DJ66" s="657"/>
      <c r="DK66" s="657"/>
      <c r="DL66" s="657"/>
      <c r="DM66" s="657"/>
      <c r="DN66" s="657"/>
      <c r="DO66" s="657"/>
      <c r="DP66" s="657"/>
      <c r="DQ66" s="657"/>
      <c r="DR66" s="657"/>
      <c r="DS66" s="657"/>
      <c r="DT66" s="657"/>
      <c r="DU66" s="657"/>
      <c r="DV66" s="657"/>
      <c r="DW66" s="657"/>
      <c r="DX66" s="657"/>
      <c r="DY66" s="657"/>
      <c r="DZ66" s="657"/>
      <c r="EA66" s="657"/>
      <c r="EB66" s="657"/>
      <c r="EC66" s="657"/>
      <c r="ED66" s="657"/>
      <c r="EE66" s="657"/>
      <c r="EF66" s="657"/>
      <c r="EG66" s="657"/>
      <c r="EH66" s="657"/>
      <c r="EI66" s="657"/>
      <c r="EJ66" s="657"/>
      <c r="EK66" s="657"/>
      <c r="EL66" s="657"/>
      <c r="EM66" s="657"/>
      <c r="EN66" s="657"/>
      <c r="EO66" s="657"/>
      <c r="EP66" s="657"/>
      <c r="EQ66" s="657"/>
    </row>
    <row r="67" spans="1:147" ht="15" hidden="1" customHeight="1" thickBot="1" x14ac:dyDescent="0.3">
      <c r="A67" s="658"/>
      <c r="B67" s="659"/>
      <c r="C67" s="659"/>
      <c r="D67" s="659"/>
      <c r="E67" s="659"/>
      <c r="F67" s="659"/>
      <c r="G67" s="659"/>
      <c r="H67" s="659"/>
      <c r="I67" s="659"/>
      <c r="J67" s="659"/>
      <c r="K67" s="662"/>
      <c r="L67" s="663"/>
      <c r="M67" s="663"/>
      <c r="N67" s="663"/>
      <c r="O67" s="663"/>
      <c r="P67" s="663"/>
      <c r="Q67" s="663"/>
      <c r="R67" s="663"/>
      <c r="S67" s="663"/>
      <c r="T67" s="663"/>
      <c r="U67" s="663"/>
      <c r="V67" s="664"/>
      <c r="W67" s="656"/>
      <c r="X67" s="657"/>
      <c r="Y67" s="657"/>
      <c r="Z67" s="657"/>
      <c r="AA67" s="657"/>
      <c r="AB67" s="657"/>
      <c r="AC67" s="657"/>
      <c r="AD67" s="657"/>
      <c r="AE67" s="657"/>
      <c r="AF67" s="657"/>
      <c r="AG67" s="657"/>
      <c r="AH67" s="657"/>
      <c r="AI67" s="657"/>
      <c r="AJ67" s="657"/>
      <c r="AK67" s="657"/>
      <c r="AL67" s="657"/>
      <c r="AM67" s="657"/>
      <c r="AN67" s="657"/>
      <c r="AO67" s="657"/>
      <c r="AP67" s="657"/>
      <c r="AQ67" s="657"/>
      <c r="AR67" s="657"/>
      <c r="AS67" s="657"/>
      <c r="AT67" s="657"/>
      <c r="AU67" s="657"/>
      <c r="AV67" s="657"/>
      <c r="AW67" s="657"/>
      <c r="AX67" s="657"/>
      <c r="AY67" s="657"/>
      <c r="AZ67" s="657"/>
      <c r="BA67" s="657"/>
      <c r="BB67" s="657"/>
      <c r="BC67" s="657"/>
      <c r="BD67" s="657"/>
      <c r="BE67" s="657"/>
      <c r="BF67" s="657"/>
      <c r="BG67" s="657"/>
      <c r="BH67" s="657"/>
      <c r="BI67" s="657"/>
      <c r="BJ67" s="657"/>
      <c r="BK67" s="657"/>
      <c r="BL67" s="657"/>
      <c r="BM67" s="657"/>
      <c r="BN67" s="657"/>
      <c r="BO67" s="657"/>
      <c r="BP67" s="657"/>
      <c r="BQ67" s="657"/>
      <c r="BR67" s="657"/>
      <c r="BS67" s="657"/>
      <c r="BT67" s="657"/>
      <c r="BU67" s="657"/>
      <c r="BV67" s="657"/>
      <c r="BW67" s="657"/>
      <c r="BX67" s="657"/>
      <c r="BY67" s="657"/>
      <c r="BZ67" s="657"/>
      <c r="CA67" s="657"/>
      <c r="CB67" s="657"/>
      <c r="CC67" s="657"/>
      <c r="CD67" s="657"/>
      <c r="CE67" s="657"/>
      <c r="CF67" s="657"/>
      <c r="CG67" s="657"/>
      <c r="CH67" s="657"/>
      <c r="CI67" s="657"/>
      <c r="CJ67" s="657"/>
      <c r="CK67" s="657"/>
      <c r="CL67" s="657"/>
      <c r="CM67" s="657"/>
      <c r="CN67" s="657"/>
      <c r="CO67" s="657"/>
      <c r="CP67" s="657"/>
      <c r="CQ67" s="657"/>
      <c r="CR67" s="657"/>
      <c r="CS67" s="657"/>
      <c r="CT67" s="657"/>
      <c r="CU67" s="657"/>
      <c r="CV67" s="657"/>
      <c r="CW67" s="657"/>
      <c r="CX67" s="657"/>
      <c r="CY67" s="657"/>
      <c r="CZ67" s="657"/>
      <c r="DA67" s="657"/>
      <c r="DB67" s="657"/>
      <c r="DC67" s="657"/>
      <c r="DD67" s="657"/>
      <c r="DE67" s="657"/>
      <c r="DF67" s="657"/>
      <c r="DG67" s="657"/>
      <c r="DH67" s="657"/>
      <c r="DI67" s="657"/>
      <c r="DJ67" s="657"/>
      <c r="DK67" s="657"/>
      <c r="DL67" s="657"/>
      <c r="DM67" s="657"/>
      <c r="DN67" s="657"/>
      <c r="DO67" s="657"/>
      <c r="DP67" s="657"/>
      <c r="DQ67" s="657"/>
      <c r="DR67" s="657"/>
      <c r="DS67" s="657"/>
      <c r="DT67" s="657"/>
      <c r="DU67" s="657"/>
      <c r="DV67" s="657"/>
      <c r="DW67" s="657"/>
      <c r="DX67" s="657"/>
      <c r="DY67" s="657"/>
      <c r="DZ67" s="657"/>
      <c r="EA67" s="657"/>
      <c r="EB67" s="657"/>
      <c r="EC67" s="657"/>
      <c r="ED67" s="657"/>
      <c r="EE67" s="657"/>
      <c r="EF67" s="657"/>
      <c r="EG67" s="657"/>
      <c r="EH67" s="657"/>
      <c r="EI67" s="657"/>
      <c r="EJ67" s="657"/>
      <c r="EK67" s="657"/>
      <c r="EL67" s="657"/>
      <c r="EM67" s="657"/>
      <c r="EN67" s="657"/>
      <c r="EO67" s="657"/>
      <c r="EP67" s="657"/>
      <c r="EQ67" s="657"/>
    </row>
    <row r="68" spans="1:147" ht="7.15" customHeight="1" thickBot="1" x14ac:dyDescent="0.3">
      <c r="A68" s="660"/>
      <c r="B68" s="661"/>
      <c r="C68" s="661"/>
      <c r="D68" s="661"/>
      <c r="E68" s="661"/>
      <c r="F68" s="661"/>
      <c r="G68" s="661"/>
      <c r="H68" s="661"/>
      <c r="I68" s="661"/>
      <c r="J68" s="661"/>
      <c r="K68" s="665"/>
      <c r="L68" s="666"/>
      <c r="M68" s="666"/>
      <c r="N68" s="666"/>
      <c r="O68" s="666"/>
      <c r="P68" s="666"/>
      <c r="Q68" s="666"/>
      <c r="R68" s="666"/>
      <c r="S68" s="666"/>
      <c r="T68" s="666"/>
      <c r="U68" s="666"/>
      <c r="V68" s="667"/>
      <c r="W68" s="656"/>
      <c r="X68" s="657"/>
      <c r="Y68" s="657"/>
      <c r="Z68" s="657"/>
      <c r="AA68" s="657"/>
      <c r="AB68" s="657"/>
      <c r="AC68" s="657"/>
      <c r="AD68" s="657"/>
      <c r="AE68" s="657"/>
      <c r="AF68" s="657"/>
      <c r="AG68" s="657"/>
      <c r="AH68" s="657"/>
      <c r="AI68" s="657"/>
      <c r="AJ68" s="657"/>
      <c r="AK68" s="657"/>
      <c r="AL68" s="657"/>
      <c r="AM68" s="657"/>
      <c r="AN68" s="657"/>
      <c r="AO68" s="657"/>
      <c r="AP68" s="657"/>
      <c r="AQ68" s="657"/>
      <c r="AR68" s="657"/>
      <c r="AS68" s="657"/>
      <c r="AT68" s="657"/>
      <c r="AU68" s="657"/>
      <c r="AV68" s="657"/>
      <c r="AW68" s="657"/>
      <c r="AX68" s="657"/>
      <c r="AY68" s="657"/>
      <c r="AZ68" s="657"/>
      <c r="BA68" s="657"/>
      <c r="BB68" s="657"/>
      <c r="BC68" s="657"/>
      <c r="BD68" s="657"/>
      <c r="BE68" s="657"/>
      <c r="BF68" s="657"/>
      <c r="BG68" s="657"/>
      <c r="BH68" s="657"/>
      <c r="BI68" s="657"/>
      <c r="BJ68" s="657"/>
      <c r="BK68" s="657"/>
      <c r="BL68" s="657"/>
      <c r="BM68" s="657"/>
      <c r="BN68" s="657"/>
      <c r="BO68" s="657"/>
      <c r="BP68" s="657"/>
      <c r="BQ68" s="657"/>
      <c r="BR68" s="657"/>
      <c r="BS68" s="657"/>
      <c r="BT68" s="657"/>
      <c r="BU68" s="657"/>
      <c r="BV68" s="657"/>
      <c r="BW68" s="657"/>
      <c r="BX68" s="657"/>
      <c r="BY68" s="657"/>
      <c r="BZ68" s="657"/>
      <c r="CA68" s="657"/>
      <c r="CB68" s="657"/>
      <c r="CC68" s="657"/>
      <c r="CD68" s="657"/>
      <c r="CE68" s="657"/>
      <c r="CF68" s="657"/>
      <c r="CG68" s="657"/>
      <c r="CH68" s="657"/>
      <c r="CI68" s="657"/>
      <c r="CJ68" s="657"/>
      <c r="CK68" s="657"/>
      <c r="CL68" s="657"/>
      <c r="CM68" s="657"/>
      <c r="CN68" s="657"/>
      <c r="CO68" s="657"/>
      <c r="CP68" s="657"/>
      <c r="CQ68" s="657"/>
      <c r="CR68" s="657"/>
      <c r="CS68" s="657"/>
      <c r="CT68" s="657"/>
      <c r="CU68" s="657"/>
      <c r="CV68" s="657"/>
      <c r="CW68" s="657"/>
      <c r="CX68" s="657"/>
      <c r="CY68" s="657"/>
      <c r="CZ68" s="657"/>
      <c r="DA68" s="657"/>
      <c r="DB68" s="657"/>
      <c r="DC68" s="657"/>
      <c r="DD68" s="657"/>
      <c r="DE68" s="657"/>
      <c r="DF68" s="657"/>
      <c r="DG68" s="657"/>
      <c r="DH68" s="657"/>
      <c r="DI68" s="657"/>
      <c r="DJ68" s="657"/>
      <c r="DK68" s="657"/>
      <c r="DL68" s="657"/>
      <c r="DM68" s="657"/>
      <c r="DN68" s="657"/>
      <c r="DO68" s="657"/>
      <c r="DP68" s="657"/>
      <c r="DQ68" s="657"/>
      <c r="DR68" s="657"/>
      <c r="DS68" s="657"/>
      <c r="DT68" s="657"/>
      <c r="DU68" s="657"/>
      <c r="DV68" s="657"/>
      <c r="DW68" s="657"/>
      <c r="DX68" s="657"/>
      <c r="DY68" s="657"/>
      <c r="DZ68" s="657"/>
      <c r="EA68" s="657"/>
      <c r="EB68" s="657"/>
      <c r="EC68" s="657"/>
      <c r="ED68" s="657"/>
      <c r="EE68" s="657"/>
      <c r="EF68" s="657"/>
      <c r="EG68" s="657"/>
      <c r="EH68" s="657"/>
      <c r="EI68" s="657"/>
      <c r="EJ68" s="657"/>
      <c r="EK68" s="657"/>
      <c r="EL68" s="657"/>
      <c r="EM68" s="657"/>
      <c r="EN68" s="657"/>
      <c r="EO68" s="657"/>
      <c r="EP68" s="657"/>
      <c r="EQ68" s="657"/>
    </row>
    <row r="69" spans="1:147" ht="7.15" customHeight="1" x14ac:dyDescent="0.25"/>
  </sheetData>
  <mergeCells count="102"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21" workbookViewId="0">
      <selection activeCell="A32" sqref="A32:P32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5"/>
      <c r="B1" s="686" t="s">
        <v>188</v>
      </c>
      <c r="C1" s="687"/>
      <c r="D1" s="687"/>
      <c r="E1" s="687"/>
      <c r="F1" s="687"/>
      <c r="G1" s="687"/>
      <c r="H1" s="687"/>
      <c r="I1" s="687"/>
      <c r="J1" s="687"/>
      <c r="K1" s="687"/>
      <c r="L1" s="688"/>
      <c r="M1" s="689"/>
      <c r="N1" s="690"/>
      <c r="O1" s="691"/>
      <c r="P1" s="692"/>
    </row>
    <row r="2" spans="1:18" ht="16.899999999999999" customHeight="1" x14ac:dyDescent="0.25">
      <c r="A2" s="693" t="s">
        <v>189</v>
      </c>
      <c r="B2" s="695" t="s">
        <v>190</v>
      </c>
      <c r="C2" s="696"/>
      <c r="D2" s="696"/>
      <c r="E2" s="696"/>
      <c r="F2" s="696"/>
      <c r="G2" s="696"/>
      <c r="H2" s="696"/>
      <c r="I2" s="696"/>
      <c r="J2" s="696"/>
      <c r="K2" s="696"/>
      <c r="L2" s="697"/>
      <c r="M2" s="329"/>
      <c r="N2" s="746" t="s">
        <v>189</v>
      </c>
      <c r="O2" s="746"/>
      <c r="P2" s="330"/>
    </row>
    <row r="3" spans="1:18" ht="14.45" customHeight="1" x14ac:dyDescent="0.25">
      <c r="A3" s="693"/>
      <c r="B3" s="695" t="s">
        <v>191</v>
      </c>
      <c r="C3" s="696"/>
      <c r="D3" s="696"/>
      <c r="E3" s="696"/>
      <c r="F3" s="696"/>
      <c r="G3" s="696"/>
      <c r="H3" s="696"/>
      <c r="I3" s="696"/>
      <c r="J3" s="696"/>
      <c r="K3" s="696"/>
      <c r="L3" s="697"/>
      <c r="M3" s="329"/>
      <c r="N3" s="746"/>
      <c r="O3" s="746"/>
      <c r="P3" s="330"/>
    </row>
    <row r="4" spans="1:18" ht="15.75" thickBot="1" x14ac:dyDescent="0.3">
      <c r="A4" s="694"/>
      <c r="B4" s="698" t="s">
        <v>192</v>
      </c>
      <c r="C4" s="699"/>
      <c r="D4" s="699"/>
      <c r="E4" s="699"/>
      <c r="F4" s="699"/>
      <c r="G4" s="699"/>
      <c r="H4" s="699"/>
      <c r="I4" s="699"/>
      <c r="J4" s="699"/>
      <c r="K4" s="699"/>
      <c r="L4" s="700"/>
      <c r="M4" s="331"/>
      <c r="N4" s="747"/>
      <c r="O4" s="747"/>
      <c r="P4" s="332"/>
    </row>
    <row r="5" spans="1:18" x14ac:dyDescent="0.25">
      <c r="A5" s="701"/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</row>
    <row r="6" spans="1:18" ht="16.149999999999999" customHeight="1" x14ac:dyDescent="0.25">
      <c r="A6" s="333" t="s">
        <v>193</v>
      </c>
      <c r="B6" s="702">
        <v>43809</v>
      </c>
      <c r="C6" s="703"/>
      <c r="D6" s="703"/>
      <c r="E6" s="703"/>
      <c r="F6" s="703"/>
      <c r="G6" s="703"/>
      <c r="H6" s="704" t="s">
        <v>194</v>
      </c>
      <c r="I6" s="704"/>
      <c r="J6" s="704"/>
      <c r="K6" s="704"/>
      <c r="L6" s="704" t="s">
        <v>363</v>
      </c>
      <c r="M6" s="704"/>
      <c r="N6" s="704"/>
      <c r="O6" s="704"/>
      <c r="P6" s="705"/>
    </row>
    <row r="7" spans="1:18" x14ac:dyDescent="0.25">
      <c r="A7" s="334"/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6"/>
      <c r="Q7" s="316"/>
      <c r="R7" s="316"/>
    </row>
    <row r="8" spans="1:18" x14ac:dyDescent="0.25">
      <c r="A8" s="335"/>
      <c r="B8" s="707"/>
      <c r="C8" s="707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7"/>
    </row>
    <row r="9" spans="1:18" x14ac:dyDescent="0.25">
      <c r="A9" s="708" t="s">
        <v>195</v>
      </c>
      <c r="B9" s="709"/>
      <c r="C9" s="709"/>
      <c r="D9" s="709"/>
      <c r="E9" s="709"/>
      <c r="F9" s="709"/>
      <c r="G9" s="709"/>
      <c r="H9" s="709"/>
      <c r="I9" s="707"/>
      <c r="J9" s="707"/>
      <c r="K9" s="707"/>
      <c r="L9" s="707"/>
      <c r="M9" s="707"/>
      <c r="N9" s="707"/>
      <c r="O9" s="707"/>
      <c r="P9" s="707"/>
    </row>
    <row r="10" spans="1:18" ht="8.4499999999999993" customHeight="1" x14ac:dyDescent="0.25">
      <c r="A10" s="707"/>
      <c r="B10" s="707"/>
      <c r="C10" s="707"/>
      <c r="D10" s="707"/>
      <c r="E10" s="707"/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</row>
    <row r="11" spans="1:18" ht="18.75" x14ac:dyDescent="0.35">
      <c r="A11" s="336" t="s">
        <v>276</v>
      </c>
      <c r="B11" s="710">
        <v>400</v>
      </c>
      <c r="C11" s="711"/>
      <c r="D11" s="712"/>
      <c r="E11" s="612">
        <v>500</v>
      </c>
      <c r="F11" s="703"/>
      <c r="G11" s="613"/>
      <c r="H11" s="612">
        <v>630</v>
      </c>
      <c r="I11" s="703"/>
      <c r="J11" s="613"/>
      <c r="K11" s="612">
        <v>800</v>
      </c>
      <c r="L11" s="703"/>
      <c r="M11" s="613"/>
      <c r="N11" s="612">
        <v>1000</v>
      </c>
      <c r="O11" s="613"/>
      <c r="P11" s="337"/>
    </row>
    <row r="12" spans="1:18" x14ac:dyDescent="0.25">
      <c r="A12" s="338" t="s">
        <v>196</v>
      </c>
      <c r="B12" s="612">
        <v>20</v>
      </c>
      <c r="C12" s="703"/>
      <c r="D12" s="613"/>
      <c r="E12" s="612">
        <v>50</v>
      </c>
      <c r="F12" s="703"/>
      <c r="G12" s="613"/>
      <c r="H12" s="612">
        <v>100</v>
      </c>
      <c r="I12" s="703"/>
      <c r="J12" s="613"/>
      <c r="K12" s="612">
        <v>150</v>
      </c>
      <c r="L12" s="703"/>
      <c r="M12" s="613"/>
      <c r="N12" s="612">
        <v>200</v>
      </c>
      <c r="O12" s="613"/>
      <c r="P12" s="337"/>
    </row>
    <row r="13" spans="1:18" x14ac:dyDescent="0.25">
      <c r="A13" s="706"/>
      <c r="B13" s="706"/>
      <c r="C13" s="706"/>
      <c r="D13" s="706"/>
      <c r="E13" s="706"/>
      <c r="F13" s="706"/>
      <c r="G13" s="706"/>
      <c r="H13" s="706"/>
      <c r="I13" s="706"/>
      <c r="J13" s="706"/>
      <c r="K13" s="706"/>
      <c r="L13" s="706"/>
      <c r="M13" s="706"/>
      <c r="N13" s="706"/>
      <c r="O13" s="706"/>
      <c r="P13" s="337"/>
    </row>
    <row r="14" spans="1:18" ht="18.75" x14ac:dyDescent="0.35">
      <c r="A14" s="336" t="s">
        <v>277</v>
      </c>
      <c r="B14" s="338">
        <v>5</v>
      </c>
      <c r="C14" s="338" t="s">
        <v>197</v>
      </c>
      <c r="D14" s="338">
        <v>8</v>
      </c>
      <c r="E14" s="338">
        <v>10</v>
      </c>
      <c r="F14" s="338" t="s">
        <v>198</v>
      </c>
      <c r="G14" s="338">
        <v>16</v>
      </c>
      <c r="H14" s="338">
        <v>20</v>
      </c>
      <c r="I14" s="338">
        <v>25</v>
      </c>
      <c r="J14" s="338" t="s">
        <v>199</v>
      </c>
      <c r="K14" s="338">
        <v>40</v>
      </c>
      <c r="L14" s="338">
        <v>50</v>
      </c>
      <c r="M14" s="338">
        <v>63</v>
      </c>
      <c r="N14" s="338">
        <v>80</v>
      </c>
      <c r="O14" s="714" t="s">
        <v>278</v>
      </c>
      <c r="P14" s="714"/>
    </row>
    <row r="15" spans="1:18" ht="18" x14ac:dyDescent="0.25">
      <c r="A15" s="339" t="s">
        <v>196</v>
      </c>
      <c r="B15" s="338" t="s">
        <v>200</v>
      </c>
      <c r="C15" s="338" t="s">
        <v>201</v>
      </c>
      <c r="D15" s="338" t="s">
        <v>202</v>
      </c>
      <c r="E15" s="338" t="s">
        <v>203</v>
      </c>
      <c r="F15" s="338" t="s">
        <v>204</v>
      </c>
      <c r="G15" s="338">
        <v>2</v>
      </c>
      <c r="H15" s="338">
        <v>3</v>
      </c>
      <c r="I15" s="338">
        <v>5</v>
      </c>
      <c r="J15" s="338">
        <v>8</v>
      </c>
      <c r="K15" s="338">
        <v>12</v>
      </c>
      <c r="L15" s="338">
        <v>20</v>
      </c>
      <c r="M15" s="338">
        <v>30</v>
      </c>
      <c r="N15" s="338">
        <v>50</v>
      </c>
      <c r="O15" s="607" t="s">
        <v>279</v>
      </c>
      <c r="P15" s="607"/>
    </row>
    <row r="16" spans="1:18" x14ac:dyDescent="0.25">
      <c r="A16" s="706"/>
      <c r="B16" s="706"/>
      <c r="C16" s="706"/>
      <c r="D16" s="706"/>
      <c r="E16" s="706"/>
      <c r="F16" s="706"/>
      <c r="G16" s="706"/>
      <c r="H16" s="706"/>
      <c r="I16" s="706"/>
      <c r="J16" s="706"/>
      <c r="K16" s="706"/>
      <c r="L16" s="706"/>
      <c r="M16" s="706"/>
      <c r="N16" s="706"/>
      <c r="O16" s="706"/>
      <c r="P16" s="706"/>
    </row>
    <row r="17" spans="1:16" x14ac:dyDescent="0.25">
      <c r="A17" s="707"/>
      <c r="B17" s="707"/>
      <c r="C17" s="707"/>
      <c r="D17" s="707"/>
      <c r="E17" s="707"/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</row>
    <row r="18" spans="1:16" x14ac:dyDescent="0.25">
      <c r="A18" s="709" t="s">
        <v>280</v>
      </c>
      <c r="B18" s="709"/>
      <c r="C18" s="709"/>
      <c r="D18" s="709"/>
      <c r="E18" s="709"/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</row>
    <row r="19" spans="1:16" ht="10.9" customHeight="1" thickBot="1" x14ac:dyDescent="0.3">
      <c r="A19" s="713"/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</row>
    <row r="20" spans="1:16" x14ac:dyDescent="0.25">
      <c r="A20" s="715" t="s">
        <v>274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7"/>
    </row>
    <row r="21" spans="1:16" x14ac:dyDescent="0.25">
      <c r="A21" s="718" t="s">
        <v>205</v>
      </c>
      <c r="B21" s="719"/>
      <c r="C21" s="719"/>
      <c r="D21" s="719"/>
      <c r="E21" s="719"/>
      <c r="F21" s="719"/>
      <c r="G21" s="719"/>
      <c r="H21" s="719"/>
      <c r="I21" s="719"/>
      <c r="J21" s="719"/>
      <c r="K21" s="719"/>
      <c r="L21" s="719"/>
      <c r="M21" s="719"/>
      <c r="N21" s="719"/>
      <c r="O21" s="719"/>
      <c r="P21" s="720"/>
    </row>
    <row r="22" spans="1:16" x14ac:dyDescent="0.25">
      <c r="A22" s="721"/>
      <c r="B22" s="722"/>
      <c r="C22" s="722"/>
      <c r="D22" s="722"/>
      <c r="E22" s="722"/>
      <c r="F22" s="722"/>
      <c r="G22" s="722"/>
      <c r="H22" s="722"/>
      <c r="I22" s="722"/>
      <c r="J22" s="722"/>
      <c r="K22" s="722"/>
      <c r="L22" s="722"/>
      <c r="M22" s="722"/>
      <c r="N22" s="722"/>
      <c r="O22" s="722"/>
      <c r="P22" s="723"/>
    </row>
    <row r="23" spans="1:16" x14ac:dyDescent="0.25">
      <c r="A23" s="721"/>
      <c r="B23" s="722"/>
      <c r="C23" s="724"/>
      <c r="D23" s="339"/>
      <c r="E23" s="607" t="s">
        <v>206</v>
      </c>
      <c r="F23" s="607"/>
      <c r="G23" s="725"/>
      <c r="H23" s="722"/>
      <c r="I23" s="722"/>
      <c r="J23" s="722"/>
      <c r="K23" s="724"/>
      <c r="L23" s="340"/>
      <c r="M23" s="612" t="s">
        <v>207</v>
      </c>
      <c r="N23" s="613"/>
      <c r="O23" s="725"/>
      <c r="P23" s="723"/>
    </row>
    <row r="24" spans="1:16" x14ac:dyDescent="0.25">
      <c r="A24" s="726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7"/>
      <c r="P24" s="728"/>
    </row>
    <row r="25" spans="1:16" x14ac:dyDescent="0.25">
      <c r="A25" s="341" t="s">
        <v>275</v>
      </c>
      <c r="B25" s="706"/>
      <c r="C25" s="706"/>
      <c r="D25" s="706"/>
      <c r="E25" s="706"/>
      <c r="F25" s="706"/>
      <c r="G25" s="706"/>
      <c r="H25" s="706"/>
      <c r="I25" s="706"/>
      <c r="J25" s="706"/>
      <c r="K25" s="706"/>
      <c r="L25" s="706"/>
      <c r="M25" s="706"/>
      <c r="N25" s="706"/>
      <c r="O25" s="706"/>
      <c r="P25" s="729"/>
    </row>
    <row r="26" spans="1:16" x14ac:dyDescent="0.25">
      <c r="A26" s="721"/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3"/>
    </row>
    <row r="27" spans="1:16" ht="16.5" x14ac:dyDescent="0.3">
      <c r="A27" s="342" t="s">
        <v>208</v>
      </c>
      <c r="B27" s="727" t="s">
        <v>364</v>
      </c>
      <c r="C27" s="727"/>
      <c r="D27" s="727"/>
      <c r="E27" s="727"/>
      <c r="F27" s="727"/>
      <c r="G27" s="727"/>
      <c r="H27" s="727" t="s">
        <v>281</v>
      </c>
      <c r="I27" s="727"/>
      <c r="J27" s="727"/>
      <c r="K27" s="727"/>
      <c r="L27" s="727"/>
      <c r="M27" s="727">
        <v>33</v>
      </c>
      <c r="N27" s="727"/>
      <c r="O27" s="343">
        <v>38.1</v>
      </c>
      <c r="P27" s="343" t="s">
        <v>265</v>
      </c>
    </row>
    <row r="28" spans="1:16" ht="4.1500000000000004" customHeight="1" x14ac:dyDescent="0.25">
      <c r="A28" s="730"/>
      <c r="B28" s="706"/>
      <c r="C28" s="706"/>
      <c r="D28" s="706"/>
      <c r="E28" s="706"/>
      <c r="F28" s="706"/>
      <c r="G28" s="706"/>
      <c r="H28" s="706"/>
      <c r="I28" s="706"/>
      <c r="J28" s="706"/>
      <c r="K28" s="706"/>
      <c r="L28" s="706"/>
      <c r="M28" s="706"/>
      <c r="N28" s="706"/>
      <c r="O28" s="706"/>
      <c r="P28" s="729"/>
    </row>
    <row r="29" spans="1:16" x14ac:dyDescent="0.25">
      <c r="A29" s="731" t="s">
        <v>209</v>
      </c>
      <c r="B29" s="732"/>
      <c r="C29" s="732"/>
      <c r="D29" s="732"/>
      <c r="E29" s="732"/>
      <c r="F29" s="732"/>
      <c r="G29" s="732"/>
      <c r="H29" s="733" t="s">
        <v>210</v>
      </c>
      <c r="I29" s="733"/>
      <c r="J29" s="733"/>
      <c r="K29" s="733"/>
      <c r="L29" s="733"/>
      <c r="M29" s="722">
        <v>268.2</v>
      </c>
      <c r="N29" s="722"/>
      <c r="O29" s="344">
        <v>226.3</v>
      </c>
      <c r="P29" s="344" t="s">
        <v>266</v>
      </c>
    </row>
    <row r="30" spans="1:16" ht="2.4500000000000002" customHeight="1" x14ac:dyDescent="0.25">
      <c r="A30" s="345"/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727"/>
      <c r="P30" s="728"/>
    </row>
    <row r="31" spans="1:16" ht="16.5" x14ac:dyDescent="0.3">
      <c r="A31" s="735" t="s">
        <v>211</v>
      </c>
      <c r="B31" s="736"/>
      <c r="C31" s="736"/>
      <c r="D31" s="736"/>
      <c r="E31" s="736"/>
      <c r="F31" s="736"/>
      <c r="G31" s="736"/>
      <c r="H31" s="706"/>
      <c r="I31" s="706"/>
      <c r="J31" s="706"/>
      <c r="K31" s="347" t="s">
        <v>282</v>
      </c>
      <c r="L31" s="347"/>
      <c r="M31" s="722">
        <v>252.8</v>
      </c>
      <c r="N31" s="722"/>
      <c r="O31" s="344">
        <v>214.5</v>
      </c>
      <c r="P31" s="344" t="s">
        <v>267</v>
      </c>
    </row>
    <row r="32" spans="1:16" ht="3.6" customHeight="1" x14ac:dyDescent="0.25">
      <c r="A32" s="726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7"/>
      <c r="P32" s="728"/>
    </row>
    <row r="33" spans="1:20" x14ac:dyDescent="0.25">
      <c r="A33" s="737" t="s">
        <v>212</v>
      </c>
      <c r="B33" s="738"/>
      <c r="C33" s="738"/>
      <c r="D33" s="738"/>
      <c r="E33" s="738"/>
      <c r="F33" s="738"/>
      <c r="G33" s="738"/>
      <c r="H33" s="738"/>
      <c r="I33" s="738"/>
      <c r="J33" s="738"/>
      <c r="K33" s="738"/>
      <c r="L33" s="738"/>
      <c r="M33" s="738"/>
      <c r="N33" s="738"/>
      <c r="O33" s="738"/>
      <c r="P33" s="739"/>
    </row>
    <row r="34" spans="1:20" x14ac:dyDescent="0.25">
      <c r="A34" s="721"/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3"/>
    </row>
    <row r="35" spans="1:20" ht="16.5" x14ac:dyDescent="0.3">
      <c r="A35" s="735" t="s">
        <v>283</v>
      </c>
      <c r="B35" s="736"/>
      <c r="C35" s="736"/>
      <c r="D35" s="736"/>
      <c r="E35" s="736"/>
      <c r="F35" s="736"/>
      <c r="G35" s="736"/>
      <c r="H35" s="736"/>
      <c r="I35" s="736"/>
      <c r="J35" s="736"/>
      <c r="K35" s="736"/>
      <c r="L35" s="736"/>
      <c r="M35" s="736"/>
      <c r="N35" s="736"/>
      <c r="O35" s="736"/>
      <c r="P35" s="754"/>
    </row>
    <row r="36" spans="1:20" ht="16.5" x14ac:dyDescent="0.3">
      <c r="A36" s="735" t="s">
        <v>284</v>
      </c>
      <c r="B36" s="736"/>
      <c r="C36" s="736"/>
      <c r="D36" s="736"/>
      <c r="E36" s="736"/>
      <c r="F36" s="736"/>
      <c r="G36" s="736"/>
      <c r="H36" s="736"/>
      <c r="I36" s="736"/>
      <c r="J36" s="736"/>
      <c r="K36" s="736"/>
      <c r="L36" s="736"/>
      <c r="M36" s="736"/>
      <c r="N36" s="736"/>
      <c r="O36" s="736"/>
      <c r="P36" s="754"/>
    </row>
    <row r="37" spans="1:20" x14ac:dyDescent="0.25">
      <c r="A37" s="721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2"/>
      <c r="P37" s="723"/>
      <c r="S37" s="323">
        <f>(M29-M31)/(M31-M27)*100</f>
        <v>7.006369426751581</v>
      </c>
      <c r="T37" s="323">
        <f>(O29-O31)/(O31-O27)*100</f>
        <v>6.6893424036281237</v>
      </c>
    </row>
    <row r="38" spans="1:20" x14ac:dyDescent="0.25">
      <c r="A38" s="721"/>
      <c r="B38" s="722"/>
      <c r="C38" s="722"/>
      <c r="D38" s="722"/>
      <c r="E38" s="722"/>
      <c r="F38" s="722"/>
      <c r="G38" s="722"/>
      <c r="H38" s="722"/>
      <c r="I38" s="722"/>
      <c r="J38" s="722"/>
      <c r="K38" s="722"/>
      <c r="L38" s="722"/>
      <c r="M38" s="722"/>
      <c r="N38" s="722"/>
      <c r="O38" s="722"/>
      <c r="P38" s="723"/>
    </row>
    <row r="39" spans="1:20" x14ac:dyDescent="0.25">
      <c r="A39" s="721"/>
      <c r="B39" s="722"/>
      <c r="C39" s="722"/>
      <c r="D39" s="722"/>
      <c r="E39" s="722"/>
      <c r="F39" s="722"/>
      <c r="G39" s="722"/>
      <c r="H39" s="722"/>
      <c r="I39" s="722"/>
      <c r="J39" s="722"/>
      <c r="K39" s="722"/>
      <c r="L39" s="722"/>
      <c r="M39" s="722"/>
      <c r="N39" s="722"/>
      <c r="O39" s="722"/>
      <c r="P39" s="723"/>
    </row>
    <row r="40" spans="1:20" ht="30.6" customHeight="1" x14ac:dyDescent="0.25">
      <c r="A40" s="721"/>
      <c r="B40" s="722"/>
      <c r="C40" s="722"/>
      <c r="D40" s="722"/>
      <c r="E40" s="722"/>
      <c r="F40" s="722"/>
      <c r="G40" s="722"/>
      <c r="H40" s="722"/>
      <c r="I40" s="722"/>
      <c r="J40" s="722"/>
      <c r="K40" s="722"/>
      <c r="L40" s="722"/>
      <c r="M40" s="722"/>
      <c r="N40" s="722"/>
      <c r="O40" s="722"/>
      <c r="P40" s="723"/>
    </row>
    <row r="41" spans="1:20" x14ac:dyDescent="0.25">
      <c r="A41" s="755" t="s">
        <v>285</v>
      </c>
      <c r="B41" s="756"/>
      <c r="C41" s="756"/>
      <c r="D41" s="756"/>
      <c r="E41" s="756"/>
      <c r="F41" s="734">
        <f>AVERAGE(S37:T37)</f>
        <v>6.8478559151898519</v>
      </c>
      <c r="G41" s="734"/>
      <c r="H41" s="734"/>
      <c r="I41" s="719" t="s">
        <v>213</v>
      </c>
      <c r="J41" s="719"/>
      <c r="K41" s="722"/>
      <c r="L41" s="722"/>
      <c r="M41" s="722"/>
      <c r="N41" s="722"/>
      <c r="O41" s="722"/>
      <c r="P41" s="723"/>
    </row>
    <row r="42" spans="1:20" ht="11.45" customHeight="1" x14ac:dyDescent="0.25">
      <c r="A42" s="721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2"/>
      <c r="P42" s="723"/>
    </row>
    <row r="43" spans="1:20" ht="15.75" thickBot="1" x14ac:dyDescent="0.3">
      <c r="A43" s="748"/>
      <c r="B43" s="749"/>
      <c r="C43" s="749"/>
      <c r="D43" s="749"/>
      <c r="E43" s="749"/>
      <c r="F43" s="749"/>
      <c r="G43" s="749"/>
      <c r="H43" s="749"/>
      <c r="I43" s="749"/>
      <c r="J43" s="749"/>
      <c r="K43" s="749"/>
      <c r="L43" s="749"/>
      <c r="M43" s="749"/>
      <c r="N43" s="749"/>
      <c r="O43" s="749"/>
      <c r="P43" s="750"/>
    </row>
    <row r="44" spans="1:20" ht="8.4499999999999993" customHeight="1" x14ac:dyDescent="0.25">
      <c r="A44" s="722"/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</row>
    <row r="45" spans="1:20" ht="2.4500000000000002" customHeight="1" thickBot="1" x14ac:dyDescent="0.3">
      <c r="A45" s="722"/>
      <c r="B45" s="722"/>
      <c r="C45" s="722"/>
      <c r="D45" s="722"/>
      <c r="E45" s="722"/>
      <c r="F45" s="722"/>
      <c r="G45" s="722"/>
      <c r="H45" s="722"/>
      <c r="I45" s="722"/>
      <c r="J45" s="722"/>
      <c r="K45" s="722"/>
      <c r="L45" s="722"/>
      <c r="M45" s="722"/>
      <c r="N45" s="722"/>
      <c r="O45" s="722"/>
      <c r="P45" s="722"/>
    </row>
    <row r="46" spans="1:20" x14ac:dyDescent="0.25">
      <c r="A46" s="751" t="s">
        <v>214</v>
      </c>
      <c r="B46" s="752"/>
      <c r="C46" s="752"/>
      <c r="D46" s="752"/>
      <c r="E46" s="752"/>
      <c r="F46" s="752"/>
      <c r="G46" s="752"/>
      <c r="H46" s="753"/>
      <c r="I46" s="751" t="s">
        <v>132</v>
      </c>
      <c r="J46" s="752"/>
      <c r="K46" s="752"/>
      <c r="L46" s="752"/>
      <c r="M46" s="752"/>
      <c r="N46" s="752"/>
      <c r="O46" s="752"/>
      <c r="P46" s="753"/>
    </row>
    <row r="47" spans="1:20" x14ac:dyDescent="0.25">
      <c r="A47" s="740"/>
      <c r="B47" s="741"/>
      <c r="C47" s="741"/>
      <c r="D47" s="741"/>
      <c r="E47" s="741"/>
      <c r="F47" s="741"/>
      <c r="G47" s="741"/>
      <c r="H47" s="742"/>
      <c r="I47" s="740"/>
      <c r="J47" s="741"/>
      <c r="K47" s="741"/>
      <c r="L47" s="741"/>
      <c r="M47" s="741"/>
      <c r="N47" s="741"/>
      <c r="O47" s="741"/>
      <c r="P47" s="742"/>
    </row>
    <row r="48" spans="1:20" x14ac:dyDescent="0.25">
      <c r="A48" s="740"/>
      <c r="B48" s="741"/>
      <c r="C48" s="741"/>
      <c r="D48" s="741"/>
      <c r="E48" s="741"/>
      <c r="F48" s="741"/>
      <c r="G48" s="741"/>
      <c r="H48" s="742"/>
      <c r="I48" s="740"/>
      <c r="J48" s="741"/>
      <c r="K48" s="741"/>
      <c r="L48" s="741"/>
      <c r="M48" s="741"/>
      <c r="N48" s="741"/>
      <c r="O48" s="741"/>
      <c r="P48" s="742"/>
    </row>
    <row r="49" spans="1:16" x14ac:dyDescent="0.25">
      <c r="A49" s="740"/>
      <c r="B49" s="741"/>
      <c r="C49" s="741"/>
      <c r="D49" s="741"/>
      <c r="E49" s="741"/>
      <c r="F49" s="741"/>
      <c r="G49" s="741"/>
      <c r="H49" s="742"/>
      <c r="I49" s="740"/>
      <c r="J49" s="741"/>
      <c r="K49" s="741"/>
      <c r="L49" s="741"/>
      <c r="M49" s="741"/>
      <c r="N49" s="741"/>
      <c r="O49" s="741"/>
      <c r="P49" s="742"/>
    </row>
    <row r="50" spans="1:16" ht="15.75" thickBot="1" x14ac:dyDescent="0.3">
      <c r="A50" s="743" t="s">
        <v>272</v>
      </c>
      <c r="B50" s="744"/>
      <c r="C50" s="744"/>
      <c r="D50" s="744"/>
      <c r="E50" s="744"/>
      <c r="F50" s="744"/>
      <c r="G50" s="744"/>
      <c r="H50" s="745"/>
      <c r="I50" s="743"/>
      <c r="J50" s="744"/>
      <c r="K50" s="744"/>
      <c r="L50" s="744"/>
      <c r="M50" s="744"/>
      <c r="N50" s="744"/>
      <c r="O50" s="744"/>
      <c r="P50" s="745"/>
    </row>
    <row r="51" spans="1:16" x14ac:dyDescent="0.25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</row>
  </sheetData>
  <mergeCells count="79"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  <mergeCell ref="F41:H41"/>
    <mergeCell ref="I41:J41"/>
    <mergeCell ref="K41:P41"/>
    <mergeCell ref="A31:G31"/>
    <mergeCell ref="H31:J31"/>
    <mergeCell ref="M31:N31"/>
    <mergeCell ref="A32:P32"/>
    <mergeCell ref="A33:P33"/>
    <mergeCell ref="A28:P28"/>
    <mergeCell ref="A29:G29"/>
    <mergeCell ref="H29:L29"/>
    <mergeCell ref="M29:N29"/>
    <mergeCell ref="O30:P30"/>
    <mergeCell ref="A24:P24"/>
    <mergeCell ref="B25:C25"/>
    <mergeCell ref="D25:P25"/>
    <mergeCell ref="A26:P26"/>
    <mergeCell ref="B27:G27"/>
    <mergeCell ref="H27:L27"/>
    <mergeCell ref="M27:N27"/>
    <mergeCell ref="A20:P20"/>
    <mergeCell ref="A21:P21"/>
    <mergeCell ref="A22:P22"/>
    <mergeCell ref="A23:C23"/>
    <mergeCell ref="E23:F23"/>
    <mergeCell ref="G23:K23"/>
    <mergeCell ref="M23:N23"/>
    <mergeCell ref="O23:P23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B11:D11"/>
    <mergeCell ref="E11:G11"/>
    <mergeCell ref="H11:J11"/>
    <mergeCell ref="K11:M11"/>
    <mergeCell ref="N11:O11"/>
    <mergeCell ref="B8:K8"/>
    <mergeCell ref="L8:P8"/>
    <mergeCell ref="A9:H9"/>
    <mergeCell ref="I9:P9"/>
    <mergeCell ref="A10:P10"/>
    <mergeCell ref="A5:P5"/>
    <mergeCell ref="B6:G6"/>
    <mergeCell ref="H6:K6"/>
    <mergeCell ref="L6:P6"/>
    <mergeCell ref="B7:K7"/>
    <mergeCell ref="L7:P7"/>
    <mergeCell ref="B1:L1"/>
    <mergeCell ref="M1:N1"/>
    <mergeCell ref="O1:P1"/>
    <mergeCell ref="A2:A4"/>
    <mergeCell ref="B2:L2"/>
    <mergeCell ref="B3:L3"/>
    <mergeCell ref="B4:L4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topLeftCell="A2" workbookViewId="0">
      <selection activeCell="N32" sqref="N32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5"/>
      <c r="B1" s="686" t="s">
        <v>215</v>
      </c>
      <c r="C1" s="687"/>
      <c r="D1" s="687"/>
      <c r="E1" s="687"/>
      <c r="F1" s="687"/>
      <c r="G1" s="687"/>
      <c r="H1" s="687"/>
      <c r="I1" s="687"/>
      <c r="J1" s="687"/>
      <c r="K1" s="687"/>
      <c r="L1" s="689" t="s">
        <v>216</v>
      </c>
      <c r="M1" s="690"/>
      <c r="N1" s="691" t="s">
        <v>217</v>
      </c>
      <c r="O1" s="692"/>
    </row>
    <row r="2" spans="1:15" ht="15" customHeight="1" x14ac:dyDescent="0.25">
      <c r="A2" s="693" t="s">
        <v>189</v>
      </c>
      <c r="B2" s="695" t="s">
        <v>264</v>
      </c>
      <c r="C2" s="696"/>
      <c r="D2" s="696"/>
      <c r="E2" s="696"/>
      <c r="F2" s="696"/>
      <c r="G2" s="696"/>
      <c r="H2" s="696"/>
      <c r="I2" s="696"/>
      <c r="J2" s="696"/>
      <c r="K2" s="696"/>
      <c r="L2" s="656" t="s">
        <v>218</v>
      </c>
      <c r="M2" s="757"/>
      <c r="N2" s="758" t="s">
        <v>219</v>
      </c>
      <c r="O2" s="758"/>
    </row>
    <row r="3" spans="1:15" ht="25.15" customHeight="1" x14ac:dyDescent="0.25">
      <c r="A3" s="693"/>
      <c r="B3" s="695"/>
      <c r="C3" s="696"/>
      <c r="D3" s="696"/>
      <c r="E3" s="696"/>
      <c r="F3" s="696"/>
      <c r="G3" s="696"/>
      <c r="H3" s="696"/>
      <c r="I3" s="696"/>
      <c r="J3" s="696"/>
      <c r="K3" s="696"/>
      <c r="L3" s="656" t="s">
        <v>220</v>
      </c>
      <c r="M3" s="757"/>
      <c r="N3" s="758" t="s">
        <v>221</v>
      </c>
      <c r="O3" s="758"/>
    </row>
    <row r="4" spans="1:15" ht="16.899999999999999" customHeight="1" thickBot="1" x14ac:dyDescent="0.3">
      <c r="A4" s="694"/>
      <c r="B4" s="698" t="s">
        <v>222</v>
      </c>
      <c r="C4" s="699"/>
      <c r="D4" s="699"/>
      <c r="E4" s="699"/>
      <c r="F4" s="699"/>
      <c r="G4" s="699"/>
      <c r="H4" s="699"/>
      <c r="I4" s="699"/>
      <c r="J4" s="699"/>
      <c r="K4" s="699"/>
      <c r="L4" s="760" t="s">
        <v>223</v>
      </c>
      <c r="M4" s="761"/>
      <c r="N4" s="762" t="s">
        <v>224</v>
      </c>
      <c r="O4" s="763"/>
    </row>
    <row r="5" spans="1:15" ht="4.9000000000000004" customHeight="1" x14ac:dyDescent="0.25">
      <c r="A5" s="764"/>
      <c r="B5" s="764"/>
      <c r="C5" s="764"/>
      <c r="D5" s="764"/>
      <c r="E5" s="764"/>
      <c r="F5" s="764"/>
      <c r="G5" s="764"/>
      <c r="H5" s="764"/>
      <c r="I5" s="764"/>
      <c r="J5" s="764"/>
      <c r="K5" s="764"/>
      <c r="L5" s="764"/>
      <c r="M5" s="764"/>
      <c r="N5" s="764"/>
      <c r="O5" s="764"/>
    </row>
    <row r="6" spans="1:15" x14ac:dyDescent="0.25">
      <c r="A6" s="333" t="s">
        <v>193</v>
      </c>
      <c r="B6" s="702">
        <v>43813</v>
      </c>
      <c r="C6" s="702"/>
      <c r="D6" s="702"/>
      <c r="E6" s="702"/>
      <c r="F6" s="703" t="s">
        <v>194</v>
      </c>
      <c r="G6" s="703"/>
      <c r="H6" s="703"/>
      <c r="I6" s="703"/>
      <c r="J6" s="703"/>
      <c r="K6" s="765" t="s">
        <v>365</v>
      </c>
      <c r="L6" s="765"/>
      <c r="M6" s="765"/>
      <c r="N6" s="765"/>
      <c r="O6" s="766"/>
    </row>
    <row r="7" spans="1:15" ht="8.4499999999999993" customHeight="1" x14ac:dyDescent="0.25">
      <c r="A7" s="706"/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</row>
    <row r="8" spans="1:15" ht="4.9000000000000004" hidden="1" customHeight="1" x14ac:dyDescent="0.25">
      <c r="A8" s="707"/>
      <c r="B8" s="707"/>
      <c r="C8" s="707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</row>
    <row r="9" spans="1:15" x14ac:dyDescent="0.25">
      <c r="A9" s="708" t="s">
        <v>195</v>
      </c>
      <c r="B9" s="709"/>
      <c r="C9" s="709"/>
      <c r="D9" s="709"/>
      <c r="E9" s="709"/>
      <c r="F9" s="709"/>
      <c r="G9" s="709"/>
      <c r="H9" s="709"/>
      <c r="I9" s="759"/>
      <c r="J9" s="759"/>
      <c r="K9" s="759"/>
      <c r="L9" s="707"/>
      <c r="M9" s="707"/>
      <c r="N9" s="707"/>
      <c r="O9" s="707"/>
    </row>
    <row r="10" spans="1:15" ht="2.4500000000000002" customHeight="1" x14ac:dyDescent="0.25">
      <c r="A10" s="722"/>
      <c r="B10" s="722"/>
      <c r="C10" s="722"/>
      <c r="D10" s="722"/>
      <c r="E10" s="722"/>
      <c r="F10" s="722"/>
      <c r="G10" s="722"/>
      <c r="H10" s="722"/>
      <c r="I10" s="722"/>
      <c r="J10" s="722"/>
      <c r="K10" s="722"/>
      <c r="L10" s="722"/>
      <c r="M10" s="722"/>
      <c r="N10" s="722"/>
      <c r="O10" s="722"/>
    </row>
    <row r="11" spans="1:15" ht="2.4500000000000002" customHeight="1" x14ac:dyDescent="0.25">
      <c r="A11" s="722"/>
      <c r="B11" s="722"/>
      <c r="C11" s="722"/>
      <c r="D11" s="722"/>
      <c r="E11" s="722"/>
      <c r="F11" s="722"/>
      <c r="G11" s="722"/>
      <c r="H11" s="722"/>
      <c r="I11" s="722"/>
      <c r="J11" s="722"/>
      <c r="K11" s="722"/>
      <c r="L11" s="722"/>
      <c r="M11" s="722"/>
      <c r="N11" s="722"/>
      <c r="O11" s="337"/>
    </row>
    <row r="12" spans="1:15" ht="17.25" x14ac:dyDescent="0.3">
      <c r="A12" s="431" t="s">
        <v>288</v>
      </c>
      <c r="B12" s="432">
        <v>5</v>
      </c>
      <c r="C12" s="432" t="s">
        <v>197</v>
      </c>
      <c r="D12" s="432">
        <v>8</v>
      </c>
      <c r="E12" s="432">
        <v>10</v>
      </c>
      <c r="F12" s="432" t="s">
        <v>198</v>
      </c>
      <c r="G12" s="432">
        <v>16</v>
      </c>
      <c r="H12" s="432">
        <v>20</v>
      </c>
      <c r="I12" s="432">
        <v>25</v>
      </c>
      <c r="J12" s="432" t="s">
        <v>199</v>
      </c>
      <c r="K12" s="432">
        <v>40</v>
      </c>
      <c r="L12" s="432">
        <v>63</v>
      </c>
      <c r="M12" s="432">
        <v>80</v>
      </c>
      <c r="N12" s="767" t="s">
        <v>289</v>
      </c>
      <c r="O12" s="767"/>
    </row>
    <row r="13" spans="1:15" ht="17.25" x14ac:dyDescent="0.25">
      <c r="A13" s="433" t="s">
        <v>196</v>
      </c>
      <c r="B13" s="432" t="s">
        <v>200</v>
      </c>
      <c r="C13" s="432" t="s">
        <v>201</v>
      </c>
      <c r="D13" s="432" t="s">
        <v>202</v>
      </c>
      <c r="E13" s="432" t="s">
        <v>203</v>
      </c>
      <c r="F13" s="432" t="s">
        <v>204</v>
      </c>
      <c r="G13" s="432">
        <v>2</v>
      </c>
      <c r="H13" s="432">
        <v>3</v>
      </c>
      <c r="I13" s="432">
        <v>5</v>
      </c>
      <c r="J13" s="432">
        <v>8</v>
      </c>
      <c r="K13" s="432">
        <v>12</v>
      </c>
      <c r="L13" s="432">
        <v>30</v>
      </c>
      <c r="M13" s="432">
        <v>50</v>
      </c>
      <c r="N13" s="768" t="s">
        <v>290</v>
      </c>
      <c r="O13" s="768"/>
    </row>
    <row r="14" spans="1:15" ht="13.15" customHeight="1" x14ac:dyDescent="0.25">
      <c r="A14" s="769"/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6"/>
      <c r="N14" s="706"/>
      <c r="O14" s="770"/>
    </row>
    <row r="15" spans="1:15" ht="14.45" customHeight="1" x14ac:dyDescent="0.25">
      <c r="A15" s="771" t="s">
        <v>225</v>
      </c>
      <c r="B15" s="773" t="s">
        <v>226</v>
      </c>
      <c r="C15" s="773"/>
      <c r="D15" s="773"/>
      <c r="E15" s="775" t="s">
        <v>176</v>
      </c>
      <c r="F15" s="776"/>
      <c r="G15" s="776"/>
      <c r="H15" s="777" t="s">
        <v>227</v>
      </c>
      <c r="I15" s="777"/>
      <c r="J15" s="777"/>
      <c r="K15" s="777"/>
      <c r="L15" s="778" t="s">
        <v>228</v>
      </c>
      <c r="M15" s="779"/>
      <c r="N15" s="784" t="s">
        <v>229</v>
      </c>
      <c r="O15" s="784"/>
    </row>
    <row r="16" spans="1:15" ht="11.45" customHeight="1" x14ac:dyDescent="0.25">
      <c r="A16" s="772"/>
      <c r="B16" s="774"/>
      <c r="C16" s="774"/>
      <c r="D16" s="774"/>
      <c r="E16" s="775"/>
      <c r="F16" s="776"/>
      <c r="G16" s="776"/>
      <c r="H16" s="777"/>
      <c r="I16" s="777"/>
      <c r="J16" s="777"/>
      <c r="K16" s="777"/>
      <c r="L16" s="780"/>
      <c r="M16" s="781"/>
      <c r="N16" s="784"/>
      <c r="O16" s="784"/>
    </row>
    <row r="17" spans="1:19" x14ac:dyDescent="0.25">
      <c r="A17" s="785" t="s">
        <v>291</v>
      </c>
      <c r="B17" s="794" t="s">
        <v>230</v>
      </c>
      <c r="C17" s="713">
        <v>300</v>
      </c>
      <c r="D17" s="795" t="s">
        <v>231</v>
      </c>
      <c r="E17" s="775" t="s">
        <v>58</v>
      </c>
      <c r="F17" s="776" t="s">
        <v>232</v>
      </c>
      <c r="G17" s="776"/>
      <c r="H17" s="776" t="s">
        <v>233</v>
      </c>
      <c r="I17" s="776"/>
      <c r="J17" s="776" t="s">
        <v>234</v>
      </c>
      <c r="K17" s="776"/>
      <c r="L17" s="780"/>
      <c r="M17" s="781"/>
      <c r="N17" s="786" t="s">
        <v>235</v>
      </c>
      <c r="O17" s="786" t="s">
        <v>236</v>
      </c>
    </row>
    <row r="18" spans="1:19" ht="7.9" customHeight="1" x14ac:dyDescent="0.25">
      <c r="A18" s="785"/>
      <c r="B18" s="794"/>
      <c r="C18" s="713"/>
      <c r="D18" s="795"/>
      <c r="E18" s="775"/>
      <c r="F18" s="776"/>
      <c r="G18" s="776"/>
      <c r="H18" s="776"/>
      <c r="I18" s="776"/>
      <c r="J18" s="776"/>
      <c r="K18" s="776"/>
      <c r="L18" s="782"/>
      <c r="M18" s="783"/>
      <c r="N18" s="786"/>
      <c r="O18" s="786"/>
    </row>
    <row r="19" spans="1:19" ht="14.45" customHeight="1" x14ac:dyDescent="0.25">
      <c r="A19" s="787" t="s">
        <v>292</v>
      </c>
      <c r="B19" s="788"/>
      <c r="C19" s="788"/>
      <c r="D19" s="791" t="s">
        <v>237</v>
      </c>
      <c r="E19" s="434">
        <v>100</v>
      </c>
      <c r="F19" s="768"/>
      <c r="G19" s="768"/>
      <c r="H19" s="607"/>
      <c r="I19" s="607"/>
      <c r="J19" s="793"/>
      <c r="K19" s="793"/>
      <c r="L19" s="607"/>
      <c r="M19" s="607"/>
      <c r="N19" s="339"/>
      <c r="O19" s="339"/>
      <c r="Q19" s="319"/>
      <c r="R19" s="319"/>
      <c r="S19" s="319"/>
    </row>
    <row r="20" spans="1:19" x14ac:dyDescent="0.25">
      <c r="A20" s="789"/>
      <c r="B20" s="790"/>
      <c r="C20" s="790"/>
      <c r="D20" s="792"/>
      <c r="E20" s="434">
        <v>80</v>
      </c>
      <c r="F20" s="768"/>
      <c r="G20" s="768"/>
      <c r="H20" s="607"/>
      <c r="I20" s="607"/>
      <c r="J20" s="793"/>
      <c r="K20" s="793"/>
      <c r="L20" s="607"/>
      <c r="M20" s="607"/>
      <c r="N20" s="339"/>
      <c r="O20" s="339"/>
      <c r="Q20" s="319"/>
      <c r="R20" s="319"/>
      <c r="S20" s="319"/>
    </row>
    <row r="21" spans="1:19" ht="14.45" customHeight="1" x14ac:dyDescent="0.3">
      <c r="A21" s="794" t="s">
        <v>293</v>
      </c>
      <c r="B21" s="796"/>
      <c r="C21" s="796"/>
      <c r="D21" s="797"/>
      <c r="E21" s="434">
        <v>63</v>
      </c>
      <c r="F21" s="768"/>
      <c r="G21" s="768"/>
      <c r="H21" s="607"/>
      <c r="I21" s="607"/>
      <c r="J21" s="793"/>
      <c r="K21" s="793"/>
      <c r="L21" s="607"/>
      <c r="M21" s="607"/>
      <c r="N21" s="339"/>
      <c r="O21" s="339"/>
    </row>
    <row r="22" spans="1:19" ht="15" customHeight="1" x14ac:dyDescent="0.25">
      <c r="A22" s="435" t="s">
        <v>238</v>
      </c>
      <c r="B22" s="798"/>
      <c r="C22" s="798"/>
      <c r="D22" s="436" t="s">
        <v>239</v>
      </c>
      <c r="E22" s="434">
        <v>50</v>
      </c>
      <c r="F22" s="768"/>
      <c r="G22" s="768"/>
      <c r="H22" s="607"/>
      <c r="I22" s="607"/>
      <c r="J22" s="793"/>
      <c r="K22" s="793"/>
      <c r="L22" s="607"/>
      <c r="M22" s="607"/>
      <c r="N22" s="339"/>
      <c r="O22" s="339"/>
    </row>
    <row r="23" spans="1:19" ht="14.45" customHeight="1" x14ac:dyDescent="0.3">
      <c r="A23" s="799" t="s">
        <v>294</v>
      </c>
      <c r="B23" s="796"/>
      <c r="C23" s="796"/>
      <c r="D23" s="800"/>
      <c r="E23" s="433">
        <v>40</v>
      </c>
      <c r="F23" s="768"/>
      <c r="G23" s="768"/>
      <c r="H23" s="607"/>
      <c r="I23" s="607"/>
      <c r="J23" s="793"/>
      <c r="K23" s="793"/>
      <c r="L23" s="612">
        <f>J23</f>
        <v>0</v>
      </c>
      <c r="M23" s="613"/>
      <c r="N23" s="338">
        <f>L23/C17*100</f>
        <v>0</v>
      </c>
      <c r="O23" s="338">
        <f>100-N23</f>
        <v>100</v>
      </c>
    </row>
    <row r="24" spans="1:19" ht="15" customHeight="1" x14ac:dyDescent="0.25">
      <c r="A24" s="437" t="s">
        <v>240</v>
      </c>
      <c r="B24" s="801"/>
      <c r="C24" s="801"/>
      <c r="D24" s="438" t="s">
        <v>239</v>
      </c>
      <c r="E24" s="433">
        <v>31.5</v>
      </c>
      <c r="F24" s="768"/>
      <c r="G24" s="768"/>
      <c r="H24" s="607"/>
      <c r="I24" s="607"/>
      <c r="J24" s="793"/>
      <c r="K24" s="793"/>
      <c r="L24" s="607">
        <f>L23+J24</f>
        <v>0</v>
      </c>
      <c r="M24" s="607"/>
      <c r="N24" s="338">
        <f>L24/C17*100</f>
        <v>0</v>
      </c>
      <c r="O24" s="439">
        <f>100-N24</f>
        <v>100</v>
      </c>
    </row>
    <row r="25" spans="1:19" x14ac:dyDescent="0.25">
      <c r="A25" s="774" t="s">
        <v>295</v>
      </c>
      <c r="B25" s="804" t="s">
        <v>241</v>
      </c>
      <c r="C25" s="738"/>
      <c r="D25" s="805"/>
      <c r="E25" s="433">
        <v>25</v>
      </c>
      <c r="F25" s="768"/>
      <c r="G25" s="768"/>
      <c r="H25" s="607"/>
      <c r="I25" s="607"/>
      <c r="J25" s="793"/>
      <c r="K25" s="793"/>
      <c r="L25" s="607"/>
      <c r="M25" s="607"/>
      <c r="N25" s="338"/>
      <c r="O25" s="439"/>
    </row>
    <row r="26" spans="1:19" ht="17.25" x14ac:dyDescent="0.3">
      <c r="A26" s="802"/>
      <c r="B26" s="440" t="s">
        <v>296</v>
      </c>
      <c r="C26" s="441"/>
      <c r="D26" s="442" t="s">
        <v>242</v>
      </c>
      <c r="E26" s="433">
        <v>20</v>
      </c>
      <c r="F26" s="768"/>
      <c r="G26" s="768"/>
      <c r="H26" s="607"/>
      <c r="I26" s="607"/>
      <c r="J26" s="793">
        <v>0</v>
      </c>
      <c r="K26" s="793"/>
      <c r="L26" s="793">
        <f>J26+L24</f>
        <v>0</v>
      </c>
      <c r="M26" s="607"/>
      <c r="N26" s="338">
        <f>L26/C17*100</f>
        <v>0</v>
      </c>
      <c r="O26" s="439">
        <f>100-N26</f>
        <v>100</v>
      </c>
    </row>
    <row r="27" spans="1:19" x14ac:dyDescent="0.25">
      <c r="A27" s="802"/>
      <c r="B27" s="804" t="s">
        <v>243</v>
      </c>
      <c r="C27" s="738"/>
      <c r="D27" s="805"/>
      <c r="E27" s="433">
        <v>16</v>
      </c>
      <c r="F27" s="768"/>
      <c r="G27" s="768"/>
      <c r="H27" s="607"/>
      <c r="I27" s="607"/>
      <c r="J27" s="793"/>
      <c r="K27" s="793"/>
      <c r="L27" s="607"/>
      <c r="M27" s="607"/>
      <c r="N27" s="338"/>
      <c r="O27" s="439"/>
    </row>
    <row r="28" spans="1:19" x14ac:dyDescent="0.25">
      <c r="A28" s="803"/>
      <c r="B28" s="443" t="s">
        <v>244</v>
      </c>
      <c r="C28" s="443"/>
      <c r="D28" s="444" t="s">
        <v>245</v>
      </c>
      <c r="E28" s="433">
        <v>12.5</v>
      </c>
      <c r="F28" s="768"/>
      <c r="G28" s="768"/>
      <c r="H28" s="607"/>
      <c r="I28" s="607"/>
      <c r="J28" s="793"/>
      <c r="K28" s="793"/>
      <c r="L28" s="607"/>
      <c r="M28" s="607"/>
      <c r="N28" s="338"/>
      <c r="O28" s="439"/>
    </row>
    <row r="29" spans="1:19" x14ac:dyDescent="0.25">
      <c r="A29" s="774" t="s">
        <v>297</v>
      </c>
      <c r="B29" s="804" t="s">
        <v>241</v>
      </c>
      <c r="C29" s="738"/>
      <c r="D29" s="805"/>
      <c r="E29" s="433">
        <v>10</v>
      </c>
      <c r="F29" s="768"/>
      <c r="G29" s="768"/>
      <c r="H29" s="607"/>
      <c r="I29" s="607"/>
      <c r="J29" s="793">
        <v>0</v>
      </c>
      <c r="K29" s="793"/>
      <c r="L29" s="607">
        <f>J29+L26</f>
        <v>0</v>
      </c>
      <c r="M29" s="607"/>
      <c r="N29" s="338">
        <f>L29/C17*100</f>
        <v>0</v>
      </c>
      <c r="O29" s="439">
        <f>100-N29</f>
        <v>100</v>
      </c>
    </row>
    <row r="30" spans="1:19" x14ac:dyDescent="0.25">
      <c r="A30" s="802"/>
      <c r="B30" s="445" t="s">
        <v>246</v>
      </c>
      <c r="C30" s="443"/>
      <c r="D30" s="444" t="s">
        <v>242</v>
      </c>
      <c r="E30" s="433">
        <v>8</v>
      </c>
      <c r="F30" s="768"/>
      <c r="G30" s="768"/>
      <c r="H30" s="607"/>
      <c r="I30" s="607"/>
      <c r="J30" s="793"/>
      <c r="K30" s="793"/>
      <c r="L30" s="607"/>
      <c r="M30" s="607"/>
      <c r="N30" s="338"/>
      <c r="O30" s="439"/>
    </row>
    <row r="31" spans="1:19" x14ac:dyDescent="0.25">
      <c r="A31" s="802"/>
      <c r="B31" s="806" t="s">
        <v>243</v>
      </c>
      <c r="C31" s="713"/>
      <c r="D31" s="807"/>
      <c r="E31" s="433">
        <v>6.3</v>
      </c>
      <c r="F31" s="768"/>
      <c r="G31" s="768"/>
      <c r="H31" s="607"/>
      <c r="I31" s="607"/>
      <c r="J31" s="793"/>
      <c r="K31" s="793"/>
      <c r="L31" s="607"/>
      <c r="M31" s="607"/>
      <c r="N31" s="338"/>
      <c r="O31" s="439"/>
    </row>
    <row r="32" spans="1:19" x14ac:dyDescent="0.25">
      <c r="A32" s="803"/>
      <c r="B32" s="445" t="s">
        <v>247</v>
      </c>
      <c r="C32" s="443"/>
      <c r="D32" s="444" t="s">
        <v>242</v>
      </c>
      <c r="E32" s="433">
        <v>5</v>
      </c>
      <c r="F32" s="768"/>
      <c r="G32" s="768"/>
      <c r="H32" s="607"/>
      <c r="I32" s="607"/>
      <c r="J32" s="793">
        <v>4.0999999999999996</v>
      </c>
      <c r="K32" s="793"/>
      <c r="L32" s="607">
        <f>J32+L29</f>
        <v>4.0999999999999996</v>
      </c>
      <c r="M32" s="607"/>
      <c r="N32" s="448">
        <f>L32/C17*100</f>
        <v>1.3666666666666665</v>
      </c>
      <c r="O32" s="439">
        <f>100-N32</f>
        <v>98.63333333333334</v>
      </c>
    </row>
    <row r="33" spans="1:15" x14ac:dyDescent="0.25">
      <c r="A33" s="808" t="s">
        <v>248</v>
      </c>
      <c r="B33" s="809"/>
      <c r="C33" s="809"/>
      <c r="D33" s="810"/>
      <c r="E33" s="433">
        <v>4</v>
      </c>
      <c r="F33" s="768"/>
      <c r="G33" s="768"/>
      <c r="H33" s="607"/>
      <c r="I33" s="607"/>
      <c r="J33" s="793"/>
      <c r="K33" s="793"/>
      <c r="L33" s="607"/>
      <c r="M33" s="607"/>
      <c r="N33" s="338"/>
      <c r="O33" s="338"/>
    </row>
    <row r="34" spans="1:15" ht="13.15" customHeight="1" x14ac:dyDescent="0.3">
      <c r="A34" s="811" t="s">
        <v>298</v>
      </c>
      <c r="B34" s="812"/>
      <c r="C34" s="443"/>
      <c r="D34" s="444" t="s">
        <v>242</v>
      </c>
      <c r="E34" s="433">
        <v>3.15</v>
      </c>
      <c r="F34" s="768"/>
      <c r="G34" s="768"/>
      <c r="H34" s="607"/>
      <c r="I34" s="607"/>
      <c r="J34" s="793"/>
      <c r="K34" s="793"/>
      <c r="L34" s="607"/>
      <c r="M34" s="607"/>
      <c r="N34" s="338"/>
      <c r="O34" s="338"/>
    </row>
    <row r="35" spans="1:15" x14ac:dyDescent="0.25">
      <c r="A35" s="813" t="s">
        <v>249</v>
      </c>
      <c r="B35" s="814"/>
      <c r="C35" s="814"/>
      <c r="D35" s="815"/>
      <c r="E35" s="433">
        <v>2.5</v>
      </c>
      <c r="F35" s="768"/>
      <c r="G35" s="768"/>
      <c r="H35" s="607"/>
      <c r="I35" s="607"/>
      <c r="J35" s="793"/>
      <c r="K35" s="793"/>
      <c r="L35" s="607"/>
      <c r="M35" s="607"/>
      <c r="N35" s="338"/>
      <c r="O35" s="338"/>
    </row>
    <row r="36" spans="1:15" x14ac:dyDescent="0.25">
      <c r="A36" s="816"/>
      <c r="B36" s="817"/>
      <c r="C36" s="817"/>
      <c r="D36" s="818"/>
      <c r="E36" s="433">
        <v>2</v>
      </c>
      <c r="F36" s="768"/>
      <c r="G36" s="768"/>
      <c r="H36" s="607"/>
      <c r="I36" s="607"/>
      <c r="J36" s="793">
        <v>7.9</v>
      </c>
      <c r="K36" s="793"/>
      <c r="L36" s="607">
        <f>J36+L32</f>
        <v>12</v>
      </c>
      <c r="M36" s="607"/>
      <c r="N36" s="338">
        <f>L36/C17*100</f>
        <v>4</v>
      </c>
      <c r="O36" s="439">
        <f>100-N36</f>
        <v>96</v>
      </c>
    </row>
    <row r="37" spans="1:15" x14ac:dyDescent="0.25">
      <c r="A37" s="819" t="s">
        <v>250</v>
      </c>
      <c r="B37" s="820"/>
      <c r="C37" s="446"/>
      <c r="D37" s="447" t="s">
        <v>251</v>
      </c>
      <c r="E37" s="433">
        <v>1.6</v>
      </c>
      <c r="F37" s="768"/>
      <c r="G37" s="768"/>
      <c r="H37" s="607"/>
      <c r="I37" s="607"/>
      <c r="J37" s="793"/>
      <c r="K37" s="793"/>
      <c r="L37" s="607"/>
      <c r="M37" s="607"/>
      <c r="N37" s="338"/>
      <c r="O37" s="338"/>
    </row>
    <row r="38" spans="1:15" ht="13.15" customHeight="1" x14ac:dyDescent="0.3">
      <c r="A38" s="821" t="s">
        <v>299</v>
      </c>
      <c r="B38" s="822"/>
      <c r="C38" s="822"/>
      <c r="D38" s="823"/>
      <c r="E38" s="433">
        <v>1.25</v>
      </c>
      <c r="F38" s="768"/>
      <c r="G38" s="768"/>
      <c r="H38" s="607"/>
      <c r="I38" s="607"/>
      <c r="J38" s="793"/>
      <c r="K38" s="793"/>
      <c r="L38" s="607"/>
      <c r="M38" s="607"/>
      <c r="N38" s="338"/>
      <c r="O38" s="439"/>
    </row>
    <row r="39" spans="1:15" ht="13.15" customHeight="1" x14ac:dyDescent="0.25">
      <c r="A39" s="824" t="s">
        <v>300</v>
      </c>
      <c r="B39" s="825"/>
      <c r="C39" s="828"/>
      <c r="D39" s="829" t="s">
        <v>242</v>
      </c>
      <c r="E39" s="433">
        <v>1</v>
      </c>
      <c r="F39" s="768"/>
      <c r="G39" s="768"/>
      <c r="H39" s="607"/>
      <c r="I39" s="607"/>
      <c r="J39" s="793">
        <v>6.8</v>
      </c>
      <c r="K39" s="793"/>
      <c r="L39" s="607">
        <f>J39+L36</f>
        <v>18.8</v>
      </c>
      <c r="M39" s="607"/>
      <c r="N39" s="448">
        <f>L39/C17*100</f>
        <v>6.2666666666666666</v>
      </c>
      <c r="O39" s="439">
        <f>100-N39</f>
        <v>93.733333333333334</v>
      </c>
    </row>
    <row r="40" spans="1:15" ht="15" customHeight="1" x14ac:dyDescent="0.25">
      <c r="A40" s="826"/>
      <c r="B40" s="827"/>
      <c r="C40" s="741"/>
      <c r="D40" s="830"/>
      <c r="E40" s="449">
        <v>0.8</v>
      </c>
      <c r="F40" s="768">
        <v>800</v>
      </c>
      <c r="G40" s="768"/>
      <c r="H40" s="607"/>
      <c r="I40" s="607"/>
      <c r="J40" s="793"/>
      <c r="K40" s="793"/>
      <c r="L40" s="607"/>
      <c r="M40" s="607"/>
      <c r="N40" s="338"/>
      <c r="O40" s="439"/>
    </row>
    <row r="41" spans="1:15" ht="15.6" customHeight="1" x14ac:dyDescent="0.25">
      <c r="A41" s="813" t="s">
        <v>301</v>
      </c>
      <c r="B41" s="814"/>
      <c r="C41" s="814"/>
      <c r="D41" s="815"/>
      <c r="E41" s="450">
        <v>0.63</v>
      </c>
      <c r="F41" s="768">
        <v>630</v>
      </c>
      <c r="G41" s="768"/>
      <c r="H41" s="607"/>
      <c r="I41" s="607"/>
      <c r="J41" s="793"/>
      <c r="K41" s="793"/>
      <c r="L41" s="607"/>
      <c r="M41" s="607"/>
      <c r="N41" s="338"/>
      <c r="O41" s="439"/>
    </row>
    <row r="42" spans="1:15" x14ac:dyDescent="0.25">
      <c r="A42" s="816"/>
      <c r="B42" s="817"/>
      <c r="C42" s="817"/>
      <c r="D42" s="818"/>
      <c r="E42" s="450">
        <v>0.5</v>
      </c>
      <c r="F42" s="768">
        <v>500</v>
      </c>
      <c r="G42" s="768"/>
      <c r="H42" s="607"/>
      <c r="I42" s="607"/>
      <c r="J42" s="793"/>
      <c r="K42" s="793"/>
      <c r="L42" s="607"/>
      <c r="M42" s="607"/>
      <c r="N42" s="338"/>
      <c r="O42" s="439"/>
    </row>
    <row r="43" spans="1:15" ht="14.45" customHeight="1" x14ac:dyDescent="0.25">
      <c r="A43" s="833" t="s">
        <v>302</v>
      </c>
      <c r="B43" s="834"/>
      <c r="C43" s="837"/>
      <c r="D43" s="838" t="s">
        <v>252</v>
      </c>
      <c r="E43" s="450">
        <v>0.4</v>
      </c>
      <c r="F43" s="768">
        <v>400</v>
      </c>
      <c r="G43" s="768"/>
      <c r="H43" s="607"/>
      <c r="I43" s="607"/>
      <c r="J43" s="793">
        <v>29.2</v>
      </c>
      <c r="K43" s="793"/>
      <c r="L43" s="607">
        <f>J43+L39</f>
        <v>48</v>
      </c>
      <c r="M43" s="607"/>
      <c r="N43" s="448">
        <f>L43/C17*100</f>
        <v>16</v>
      </c>
      <c r="O43" s="439">
        <f>100-N43</f>
        <v>84</v>
      </c>
    </row>
    <row r="44" spans="1:15" x14ac:dyDescent="0.25">
      <c r="A44" s="835"/>
      <c r="B44" s="836"/>
      <c r="C44" s="837"/>
      <c r="D44" s="838"/>
      <c r="E44" s="450">
        <v>0.315</v>
      </c>
      <c r="F44" s="768">
        <v>315</v>
      </c>
      <c r="G44" s="768"/>
      <c r="H44" s="607"/>
      <c r="I44" s="607"/>
      <c r="J44" s="793"/>
      <c r="K44" s="793"/>
      <c r="L44" s="607"/>
      <c r="M44" s="607"/>
      <c r="N44" s="338"/>
      <c r="O44" s="439"/>
    </row>
    <row r="45" spans="1:15" ht="15" customHeight="1" x14ac:dyDescent="0.25">
      <c r="A45" s="831" t="s">
        <v>253</v>
      </c>
      <c r="B45" s="832"/>
      <c r="C45" s="451" t="s">
        <v>254</v>
      </c>
      <c r="D45" s="452"/>
      <c r="E45" s="450">
        <v>0.25</v>
      </c>
      <c r="F45" s="768">
        <v>250</v>
      </c>
      <c r="G45" s="768"/>
      <c r="H45" s="607"/>
      <c r="I45" s="607"/>
      <c r="J45" s="793"/>
      <c r="K45" s="793"/>
      <c r="L45" s="607"/>
      <c r="M45" s="607"/>
      <c r="N45" s="338"/>
      <c r="O45" s="439"/>
    </row>
    <row r="46" spans="1:15" ht="13.15" customHeight="1" x14ac:dyDescent="0.25">
      <c r="A46" s="833"/>
      <c r="B46" s="834"/>
      <c r="C46" s="826" t="s">
        <v>303</v>
      </c>
      <c r="D46" s="839"/>
      <c r="E46" s="450">
        <v>0.2</v>
      </c>
      <c r="F46" s="768">
        <v>200</v>
      </c>
      <c r="G46" s="768"/>
      <c r="H46" s="607"/>
      <c r="I46" s="607"/>
      <c r="J46" s="793">
        <v>77.7</v>
      </c>
      <c r="K46" s="793"/>
      <c r="L46" s="607">
        <f>J46+L43</f>
        <v>125.7</v>
      </c>
      <c r="M46" s="607"/>
      <c r="N46" s="338">
        <f>L46/C17*100</f>
        <v>41.9</v>
      </c>
      <c r="O46" s="439">
        <f>100-N46</f>
        <v>58.1</v>
      </c>
    </row>
    <row r="47" spans="1:15" x14ac:dyDescent="0.25">
      <c r="A47" s="833"/>
      <c r="B47" s="834"/>
      <c r="C47" s="808" t="s">
        <v>255</v>
      </c>
      <c r="D47" s="810"/>
      <c r="E47" s="450">
        <v>0.16</v>
      </c>
      <c r="F47" s="768">
        <v>160</v>
      </c>
      <c r="G47" s="768"/>
      <c r="H47" s="607"/>
      <c r="I47" s="607"/>
      <c r="J47" s="793"/>
      <c r="K47" s="793"/>
      <c r="L47" s="607"/>
      <c r="M47" s="607"/>
      <c r="N47" s="338"/>
      <c r="O47" s="439"/>
    </row>
    <row r="48" spans="1:15" ht="13.9" customHeight="1" x14ac:dyDescent="0.3">
      <c r="A48" s="835"/>
      <c r="B48" s="836"/>
      <c r="C48" s="841" t="s">
        <v>304</v>
      </c>
      <c r="D48" s="842"/>
      <c r="E48" s="450">
        <v>0.125</v>
      </c>
      <c r="F48" s="768">
        <v>125</v>
      </c>
      <c r="G48" s="768"/>
      <c r="H48" s="607"/>
      <c r="I48" s="607"/>
      <c r="J48" s="793"/>
      <c r="K48" s="793"/>
      <c r="L48" s="607"/>
      <c r="M48" s="607"/>
      <c r="N48" s="338"/>
      <c r="O48" s="439"/>
    </row>
    <row r="49" spans="1:15" ht="12.6" customHeight="1" x14ac:dyDescent="0.25">
      <c r="A49" s="843" t="s">
        <v>256</v>
      </c>
      <c r="B49" s="844"/>
      <c r="C49" s="844"/>
      <c r="D49" s="845"/>
      <c r="E49" s="449">
        <v>0.1</v>
      </c>
      <c r="F49" s="768">
        <v>100</v>
      </c>
      <c r="G49" s="768"/>
      <c r="H49" s="607"/>
      <c r="I49" s="607"/>
      <c r="J49" s="793">
        <v>85.7</v>
      </c>
      <c r="K49" s="793"/>
      <c r="L49" s="607">
        <f>J49+L46</f>
        <v>211.4</v>
      </c>
      <c r="M49" s="607"/>
      <c r="N49" s="448">
        <f>L49/C17*100</f>
        <v>70.466666666666669</v>
      </c>
      <c r="O49" s="439">
        <f>100-N49</f>
        <v>29.533333333333331</v>
      </c>
    </row>
    <row r="50" spans="1:15" ht="12.6" customHeight="1" x14ac:dyDescent="0.25">
      <c r="A50" s="811" t="s">
        <v>257</v>
      </c>
      <c r="B50" s="812"/>
      <c r="C50" s="343"/>
      <c r="D50" s="442" t="s">
        <v>258</v>
      </c>
      <c r="E50" s="453">
        <v>0.08</v>
      </c>
      <c r="F50" s="768">
        <v>80</v>
      </c>
      <c r="G50" s="768"/>
      <c r="H50" s="607"/>
      <c r="I50" s="607"/>
      <c r="J50" s="793">
        <v>14</v>
      </c>
      <c r="K50" s="793"/>
      <c r="L50" s="612">
        <f>J50+L49</f>
        <v>225.4</v>
      </c>
      <c r="M50" s="613"/>
      <c r="N50" s="448">
        <f>L50/C17*100</f>
        <v>75.133333333333326</v>
      </c>
      <c r="O50" s="439">
        <f>100-N50</f>
        <v>24.866666666666674</v>
      </c>
    </row>
    <row r="51" spans="1:15" ht="34.9" customHeight="1" x14ac:dyDescent="0.25">
      <c r="A51" s="840" t="s">
        <v>259</v>
      </c>
      <c r="B51" s="840"/>
      <c r="C51" s="840"/>
      <c r="D51" s="840"/>
      <c r="E51" s="607"/>
      <c r="F51" s="607"/>
      <c r="G51" s="607"/>
      <c r="H51" s="607"/>
      <c r="I51" s="607"/>
      <c r="J51" s="607"/>
      <c r="K51" s="607"/>
      <c r="L51" s="607"/>
      <c r="M51" s="607"/>
      <c r="N51" s="607"/>
      <c r="O51" s="607"/>
    </row>
    <row r="52" spans="1:15" ht="9.6" customHeight="1" x14ac:dyDescent="0.25">
      <c r="A52" s="706"/>
      <c r="B52" s="706"/>
      <c r="C52" s="706"/>
      <c r="D52" s="706"/>
      <c r="E52" s="706"/>
      <c r="F52" s="706"/>
      <c r="G52" s="706"/>
      <c r="H52" s="706"/>
      <c r="I52" s="706"/>
      <c r="J52" s="706"/>
      <c r="K52" s="706"/>
      <c r="L52" s="706"/>
      <c r="M52" s="706"/>
      <c r="N52" s="706"/>
      <c r="O52" s="706"/>
    </row>
    <row r="53" spans="1:15" ht="15" customHeight="1" x14ac:dyDescent="0.25">
      <c r="A53" s="847" t="s">
        <v>166</v>
      </c>
      <c r="B53" s="848"/>
      <c r="C53" s="848"/>
      <c r="D53" s="848"/>
      <c r="E53" s="848"/>
      <c r="F53" s="848"/>
      <c r="G53" s="804" t="s">
        <v>214</v>
      </c>
      <c r="H53" s="738"/>
      <c r="I53" s="738"/>
      <c r="J53" s="738"/>
      <c r="K53" s="738"/>
      <c r="L53" s="454"/>
      <c r="M53" s="454"/>
      <c r="N53" s="454"/>
      <c r="O53" s="455"/>
    </row>
    <row r="54" spans="1:15" ht="7.9" customHeight="1" x14ac:dyDescent="0.25">
      <c r="A54" s="849"/>
      <c r="B54" s="850"/>
      <c r="C54" s="850"/>
      <c r="D54" s="850"/>
      <c r="E54" s="850"/>
      <c r="F54" s="850"/>
      <c r="G54" s="458"/>
      <c r="H54" s="456"/>
      <c r="I54" s="713"/>
      <c r="J54" s="713"/>
      <c r="K54" s="713"/>
      <c r="L54" s="713"/>
      <c r="M54" s="713"/>
      <c r="N54" s="456"/>
      <c r="O54" s="457"/>
    </row>
    <row r="55" spans="1:15" ht="10.9" customHeight="1" x14ac:dyDescent="0.25">
      <c r="A55" s="849"/>
      <c r="B55" s="850"/>
      <c r="C55" s="850"/>
      <c r="D55" s="850"/>
      <c r="E55" s="850"/>
      <c r="F55" s="850"/>
      <c r="G55" s="806" t="s">
        <v>260</v>
      </c>
      <c r="H55" s="713"/>
      <c r="I55" s="713"/>
      <c r="J55" s="713"/>
      <c r="K55" s="713"/>
      <c r="L55" s="713"/>
      <c r="M55" s="713"/>
      <c r="N55" s="456"/>
      <c r="O55" s="457"/>
    </row>
    <row r="56" spans="1:15" ht="2.4500000000000002" customHeight="1" x14ac:dyDescent="0.25">
      <c r="A56" s="849"/>
      <c r="B56" s="850"/>
      <c r="C56" s="850"/>
      <c r="D56" s="850"/>
      <c r="E56" s="850"/>
      <c r="F56" s="850"/>
      <c r="G56" s="806"/>
      <c r="H56" s="713"/>
      <c r="I56" s="713"/>
      <c r="J56" s="713"/>
      <c r="K56" s="713"/>
      <c r="L56" s="713"/>
      <c r="M56" s="713"/>
      <c r="N56" s="713"/>
      <c r="O56" s="807"/>
    </row>
    <row r="57" spans="1:15" ht="24.6" customHeight="1" x14ac:dyDescent="0.25">
      <c r="A57" s="851"/>
      <c r="B57" s="852"/>
      <c r="C57" s="852"/>
      <c r="D57" s="852"/>
      <c r="E57" s="852"/>
      <c r="F57" s="852"/>
      <c r="G57" s="841" t="s">
        <v>261</v>
      </c>
      <c r="H57" s="846"/>
      <c r="I57" s="846"/>
      <c r="J57" s="846"/>
      <c r="K57" s="846"/>
      <c r="L57" s="846"/>
      <c r="M57" s="846"/>
      <c r="N57" s="846"/>
      <c r="O57" s="842"/>
    </row>
  </sheetData>
  <mergeCells count="211"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A7" sqref="A7:O8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5"/>
      <c r="B1" s="853" t="s">
        <v>262</v>
      </c>
      <c r="C1" s="854"/>
      <c r="D1" s="854"/>
      <c r="E1" s="854"/>
      <c r="F1" s="854"/>
      <c r="G1" s="854"/>
      <c r="H1" s="854"/>
      <c r="I1" s="854"/>
      <c r="J1" s="854"/>
      <c r="K1" s="854"/>
      <c r="L1" s="689" t="s">
        <v>216</v>
      </c>
      <c r="M1" s="690"/>
      <c r="N1" s="691" t="s">
        <v>217</v>
      </c>
      <c r="O1" s="692"/>
    </row>
    <row r="2" spans="1:15" x14ac:dyDescent="0.25">
      <c r="A2" s="693" t="s">
        <v>189</v>
      </c>
      <c r="B2" s="695" t="s">
        <v>305</v>
      </c>
      <c r="C2" s="696"/>
      <c r="D2" s="696"/>
      <c r="E2" s="696"/>
      <c r="F2" s="696"/>
      <c r="G2" s="696"/>
      <c r="H2" s="696"/>
      <c r="I2" s="696"/>
      <c r="J2" s="696"/>
      <c r="K2" s="696"/>
      <c r="L2" s="656" t="s">
        <v>218</v>
      </c>
      <c r="M2" s="757"/>
      <c r="N2" s="758" t="s">
        <v>219</v>
      </c>
      <c r="O2" s="758"/>
    </row>
    <row r="3" spans="1:15" x14ac:dyDescent="0.25">
      <c r="A3" s="693"/>
      <c r="B3" s="695"/>
      <c r="C3" s="696"/>
      <c r="D3" s="696"/>
      <c r="E3" s="696"/>
      <c r="F3" s="696"/>
      <c r="G3" s="696"/>
      <c r="H3" s="696"/>
      <c r="I3" s="696"/>
      <c r="J3" s="696"/>
      <c r="K3" s="696"/>
      <c r="L3" s="656" t="s">
        <v>220</v>
      </c>
      <c r="M3" s="757"/>
      <c r="N3" s="758" t="s">
        <v>221</v>
      </c>
      <c r="O3" s="758"/>
    </row>
    <row r="4" spans="1:15" ht="15.75" thickBot="1" x14ac:dyDescent="0.3">
      <c r="A4" s="694"/>
      <c r="B4" s="855" t="s">
        <v>263</v>
      </c>
      <c r="C4" s="856"/>
      <c r="D4" s="856"/>
      <c r="E4" s="856"/>
      <c r="F4" s="856"/>
      <c r="G4" s="856"/>
      <c r="H4" s="856"/>
      <c r="I4" s="856"/>
      <c r="J4" s="856"/>
      <c r="K4" s="856"/>
      <c r="L4" s="760" t="s">
        <v>223</v>
      </c>
      <c r="M4" s="761"/>
      <c r="N4" s="762" t="s">
        <v>224</v>
      </c>
      <c r="O4" s="763"/>
    </row>
    <row r="5" spans="1:15" x14ac:dyDescent="0.25">
      <c r="A5" s="764"/>
      <c r="B5" s="764"/>
      <c r="C5" s="764"/>
      <c r="D5" s="764"/>
      <c r="E5" s="764"/>
      <c r="F5" s="764"/>
      <c r="G5" s="764"/>
      <c r="H5" s="764"/>
      <c r="I5" s="764"/>
      <c r="J5" s="764"/>
      <c r="K5" s="764"/>
      <c r="L5" s="764"/>
      <c r="M5" s="764"/>
      <c r="N5" s="764"/>
      <c r="O5" s="764"/>
    </row>
    <row r="6" spans="1:15" x14ac:dyDescent="0.25">
      <c r="A6" s="333" t="s">
        <v>193</v>
      </c>
      <c r="B6" s="702">
        <f>'Granulo P1'!B6:E6</f>
        <v>43813</v>
      </c>
      <c r="C6" s="703"/>
      <c r="D6" s="703"/>
      <c r="E6" s="703"/>
      <c r="F6" s="703"/>
      <c r="G6" s="857" t="s">
        <v>194</v>
      </c>
      <c r="H6" s="857"/>
      <c r="I6" s="857"/>
      <c r="J6" s="857"/>
      <c r="K6" s="857"/>
      <c r="L6" s="703" t="str">
        <f>'Granulo P1'!K6</f>
        <v>Sable Gris - Puit 3 - 1 ère couche</v>
      </c>
      <c r="M6" s="703"/>
      <c r="N6" s="703"/>
      <c r="O6" s="613"/>
    </row>
    <row r="7" spans="1:15" ht="13.9" customHeight="1" x14ac:dyDescent="0.25">
      <c r="A7" s="706"/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</row>
    <row r="8" spans="1:15" ht="4.1500000000000004" hidden="1" customHeight="1" x14ac:dyDescent="0.25">
      <c r="A8" s="707"/>
      <c r="B8" s="707"/>
      <c r="C8" s="707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</row>
    <row r="9" spans="1:15" x14ac:dyDescent="0.25">
      <c r="A9" s="708" t="s">
        <v>195</v>
      </c>
      <c r="B9" s="709"/>
      <c r="C9" s="709"/>
      <c r="D9" s="709"/>
      <c r="E9" s="709"/>
      <c r="F9" s="709"/>
      <c r="G9" s="709"/>
      <c r="H9" s="709"/>
      <c r="I9" s="707"/>
      <c r="J9" s="707"/>
      <c r="K9" s="707"/>
      <c r="L9" s="707"/>
      <c r="M9" s="707"/>
      <c r="N9" s="707"/>
      <c r="O9" s="707"/>
    </row>
    <row r="10" spans="1:15" ht="7.15" customHeight="1" x14ac:dyDescent="0.25">
      <c r="A10" s="722"/>
      <c r="B10" s="722"/>
      <c r="C10" s="722"/>
      <c r="D10" s="722"/>
      <c r="E10" s="722"/>
      <c r="F10" s="722"/>
      <c r="G10" s="722"/>
      <c r="H10" s="722"/>
      <c r="I10" s="722"/>
      <c r="J10" s="722"/>
      <c r="K10" s="722"/>
      <c r="L10" s="722"/>
      <c r="M10" s="722"/>
      <c r="N10" s="722"/>
      <c r="O10" s="722"/>
    </row>
    <row r="11" spans="1:15" ht="3.6" hidden="1" customHeight="1" x14ac:dyDescent="0.25">
      <c r="A11" s="722"/>
      <c r="B11" s="722"/>
      <c r="C11" s="722"/>
      <c r="D11" s="722"/>
      <c r="E11" s="722"/>
      <c r="F11" s="722"/>
      <c r="G11" s="722"/>
      <c r="H11" s="722"/>
      <c r="I11" s="722"/>
      <c r="J11" s="722"/>
      <c r="K11" s="722"/>
      <c r="L11" s="722"/>
      <c r="M11" s="722"/>
      <c r="N11" s="722"/>
      <c r="O11" s="337"/>
    </row>
    <row r="12" spans="1:15" ht="17.25" x14ac:dyDescent="0.3">
      <c r="A12" s="431" t="s">
        <v>288</v>
      </c>
      <c r="B12" s="432">
        <v>5</v>
      </c>
      <c r="C12" s="432" t="s">
        <v>197</v>
      </c>
      <c r="D12" s="432">
        <v>8</v>
      </c>
      <c r="E12" s="432">
        <v>10</v>
      </c>
      <c r="F12" s="432" t="s">
        <v>198</v>
      </c>
      <c r="G12" s="432">
        <v>16</v>
      </c>
      <c r="H12" s="432">
        <v>20</v>
      </c>
      <c r="I12" s="432">
        <v>25</v>
      </c>
      <c r="J12" s="432" t="s">
        <v>199</v>
      </c>
      <c r="K12" s="432">
        <v>40</v>
      </c>
      <c r="L12" s="432">
        <v>63</v>
      </c>
      <c r="M12" s="432">
        <v>80</v>
      </c>
      <c r="N12" s="767" t="s">
        <v>289</v>
      </c>
      <c r="O12" s="767"/>
    </row>
    <row r="13" spans="1:15" ht="17.25" x14ac:dyDescent="0.25">
      <c r="A13" s="433" t="s">
        <v>196</v>
      </c>
      <c r="B13" s="432" t="s">
        <v>200</v>
      </c>
      <c r="C13" s="432" t="s">
        <v>201</v>
      </c>
      <c r="D13" s="432" t="s">
        <v>202</v>
      </c>
      <c r="E13" s="432" t="s">
        <v>203</v>
      </c>
      <c r="F13" s="432" t="s">
        <v>204</v>
      </c>
      <c r="G13" s="432">
        <v>2</v>
      </c>
      <c r="H13" s="432">
        <v>3</v>
      </c>
      <c r="I13" s="432">
        <v>5</v>
      </c>
      <c r="J13" s="432">
        <v>8</v>
      </c>
      <c r="K13" s="432">
        <v>12</v>
      </c>
      <c r="L13" s="432">
        <v>30</v>
      </c>
      <c r="M13" s="432">
        <v>50</v>
      </c>
      <c r="N13" s="768" t="s">
        <v>290</v>
      </c>
      <c r="O13" s="768"/>
    </row>
    <row r="14" spans="1:15" x14ac:dyDescent="0.25">
      <c r="A14" s="337"/>
      <c r="B14" s="337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</row>
    <row r="15" spans="1:15" x14ac:dyDescent="0.25">
      <c r="A15" s="337"/>
      <c r="B15" s="337"/>
      <c r="C15" s="337"/>
      <c r="D15" s="337"/>
      <c r="E15" s="337"/>
      <c r="F15" s="337"/>
      <c r="G15" s="337"/>
      <c r="H15" s="337"/>
      <c r="I15" s="337"/>
      <c r="J15" s="337"/>
      <c r="K15" s="337"/>
      <c r="L15" s="337"/>
      <c r="M15" s="337"/>
      <c r="N15" s="337"/>
      <c r="O15" s="337"/>
    </row>
    <row r="16" spans="1:15" x14ac:dyDescent="0.25">
      <c r="A16" s="337"/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</row>
    <row r="17" spans="1:23" x14ac:dyDescent="0.25">
      <c r="A17" s="337"/>
      <c r="B17" s="337"/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337"/>
    </row>
    <row r="18" spans="1:23" ht="15.75" thickBot="1" x14ac:dyDescent="0.3">
      <c r="A18" s="337"/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</row>
    <row r="19" spans="1:23" x14ac:dyDescent="0.25">
      <c r="A19" s="337"/>
      <c r="B19" s="337"/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T19" s="320">
        <v>40</v>
      </c>
      <c r="U19" s="461">
        <f>'Granulo P1'!O23</f>
        <v>100</v>
      </c>
    </row>
    <row r="20" spans="1:23" x14ac:dyDescent="0.25">
      <c r="A20" s="337"/>
      <c r="B20" s="337"/>
      <c r="C20" s="337"/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7"/>
      <c r="T20" s="321">
        <v>31.5</v>
      </c>
      <c r="U20" s="439">
        <f>'Granulo P1'!O24</f>
        <v>100</v>
      </c>
    </row>
    <row r="21" spans="1:23" x14ac:dyDescent="0.25">
      <c r="A21" s="337"/>
      <c r="B21" s="337"/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T21" s="321">
        <v>20</v>
      </c>
      <c r="U21" s="439">
        <f>'Granulo P1'!O26</f>
        <v>100</v>
      </c>
    </row>
    <row r="22" spans="1:23" x14ac:dyDescent="0.25">
      <c r="A22" s="337"/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T22" s="321">
        <v>10</v>
      </c>
      <c r="U22" s="439">
        <f>'Granulo P1'!O29</f>
        <v>100</v>
      </c>
    </row>
    <row r="23" spans="1:23" x14ac:dyDescent="0.25">
      <c r="A23" s="337"/>
      <c r="B23" s="337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T23" s="321">
        <v>5</v>
      </c>
      <c r="U23" s="439">
        <f>'Granulo P1'!O32</f>
        <v>98.63333333333334</v>
      </c>
    </row>
    <row r="24" spans="1:23" x14ac:dyDescent="0.25">
      <c r="A24" s="337"/>
      <c r="B24" s="337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7"/>
      <c r="T24" s="321">
        <v>2</v>
      </c>
      <c r="U24" s="439">
        <f>'Granulo P1'!O36</f>
        <v>96</v>
      </c>
    </row>
    <row r="25" spans="1:23" x14ac:dyDescent="0.25">
      <c r="A25" s="337"/>
      <c r="B25" s="337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  <c r="N25" s="337"/>
      <c r="O25" s="337"/>
      <c r="T25" s="321">
        <v>1</v>
      </c>
      <c r="U25" s="439">
        <f>'Granulo P1'!O39</f>
        <v>93.733333333333334</v>
      </c>
      <c r="W25" s="439">
        <v>99.9</v>
      </c>
    </row>
    <row r="26" spans="1:23" x14ac:dyDescent="0.25">
      <c r="A26" s="337"/>
      <c r="B26" s="337"/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T26" s="321">
        <v>0.4</v>
      </c>
      <c r="U26" s="439">
        <f>'Granulo P1'!O43</f>
        <v>84</v>
      </c>
      <c r="W26" s="439">
        <v>83.633333333333326</v>
      </c>
    </row>
    <row r="27" spans="1:23" x14ac:dyDescent="0.25">
      <c r="A27" s="337"/>
      <c r="B27" s="337"/>
      <c r="C27" s="337"/>
      <c r="D27" s="337"/>
      <c r="E27" s="337"/>
      <c r="F27" s="337"/>
      <c r="G27" s="337"/>
      <c r="H27" s="337"/>
      <c r="I27" s="337"/>
      <c r="J27" s="337"/>
      <c r="K27" s="337"/>
      <c r="L27" s="337"/>
      <c r="M27" s="337"/>
      <c r="N27" s="337"/>
      <c r="O27" s="337"/>
      <c r="T27" s="321">
        <v>0.2</v>
      </c>
      <c r="U27" s="439">
        <f>'Granulo P1'!O46</f>
        <v>58.1</v>
      </c>
      <c r="W27" s="439">
        <v>41.6</v>
      </c>
    </row>
    <row r="28" spans="1:23" x14ac:dyDescent="0.25">
      <c r="A28" s="337"/>
      <c r="B28" s="337"/>
      <c r="C28" s="337"/>
      <c r="D28" s="337"/>
      <c r="E28" s="337"/>
      <c r="F28" s="337"/>
      <c r="G28" s="337"/>
      <c r="H28" s="337"/>
      <c r="I28" s="337"/>
      <c r="J28" s="337"/>
      <c r="K28" s="337"/>
      <c r="L28" s="337"/>
      <c r="M28" s="337"/>
      <c r="N28" s="337"/>
      <c r="O28" s="337"/>
      <c r="T28" s="321">
        <v>0.1</v>
      </c>
      <c r="U28" s="439">
        <f>'Granulo P1'!O49</f>
        <v>29.533333333333331</v>
      </c>
      <c r="W28" s="439">
        <v>11.966666666666654</v>
      </c>
    </row>
    <row r="29" spans="1:23" ht="15.75" thickBot="1" x14ac:dyDescent="0.3">
      <c r="A29" s="337"/>
      <c r="B29" s="337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T29" s="322">
        <v>0.08</v>
      </c>
      <c r="U29" s="439">
        <f>'Granulo P1'!O50</f>
        <v>24.866666666666674</v>
      </c>
      <c r="W29" s="439">
        <v>8.0333333333333314</v>
      </c>
    </row>
    <row r="30" spans="1:23" x14ac:dyDescent="0.25">
      <c r="A30" s="337"/>
      <c r="B30" s="337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T30" s="178"/>
      <c r="U30" s="178"/>
    </row>
    <row r="31" spans="1:23" x14ac:dyDescent="0.25">
      <c r="A31" s="337"/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T31" s="178"/>
      <c r="U31" s="178"/>
    </row>
    <row r="32" spans="1:23" x14ac:dyDescent="0.25">
      <c r="A32" s="337"/>
      <c r="B32" s="337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7"/>
      <c r="T32" s="178"/>
      <c r="U32" s="178"/>
    </row>
    <row r="33" spans="1:21" x14ac:dyDescent="0.25">
      <c r="A33" s="337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T33" s="178"/>
      <c r="U33" s="178"/>
    </row>
    <row r="34" spans="1:21" x14ac:dyDescent="0.25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</row>
    <row r="35" spans="1:21" x14ac:dyDescent="0.25">
      <c r="A35" s="337"/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</row>
  </sheetData>
  <mergeCells count="23"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D1" zoomScale="112" zoomScaleNormal="112" workbookViewId="0">
      <selection activeCell="I4" sqref="I4:K4"/>
    </sheetView>
  </sheetViews>
  <sheetFormatPr baseColWidth="10" defaultRowHeight="15" x14ac:dyDescent="0.25"/>
  <cols>
    <col min="2" max="2" width="12.28515625" customWidth="1"/>
    <col min="3" max="3" width="12" customWidth="1"/>
    <col min="4" max="5" width="12.28515625" customWidth="1"/>
    <col min="7" max="7" width="12.28515625" customWidth="1"/>
    <col min="8" max="9" width="12.85546875" customWidth="1"/>
    <col min="10" max="10" width="12.28515625" customWidth="1"/>
    <col min="11" max="11" width="11.7109375" customWidth="1"/>
  </cols>
  <sheetData>
    <row r="1" spans="1:14" ht="18.75" x14ac:dyDescent="0.3">
      <c r="A1" s="860"/>
      <c r="B1" s="861"/>
      <c r="C1" s="862"/>
      <c r="D1" s="863"/>
      <c r="E1" s="863"/>
      <c r="F1" s="863"/>
      <c r="G1" s="863"/>
      <c r="H1" s="864"/>
      <c r="I1" s="871" t="s">
        <v>324</v>
      </c>
      <c r="J1" s="871"/>
      <c r="K1" s="473" t="s">
        <v>325</v>
      </c>
    </row>
    <row r="2" spans="1:14" ht="15.75" x14ac:dyDescent="0.25">
      <c r="A2" s="872" t="s">
        <v>189</v>
      </c>
      <c r="B2" s="873"/>
      <c r="C2" s="865"/>
      <c r="D2" s="866"/>
      <c r="E2" s="866"/>
      <c r="F2" s="866"/>
      <c r="G2" s="866"/>
      <c r="H2" s="867"/>
      <c r="I2" s="875" t="s">
        <v>326</v>
      </c>
      <c r="J2" s="875"/>
      <c r="K2" s="474">
        <v>43801</v>
      </c>
    </row>
    <row r="3" spans="1:14" ht="15.75" x14ac:dyDescent="0.25">
      <c r="A3" s="872"/>
      <c r="B3" s="873"/>
      <c r="C3" s="865"/>
      <c r="D3" s="866"/>
      <c r="E3" s="866"/>
      <c r="F3" s="866"/>
      <c r="G3" s="866"/>
      <c r="H3" s="867"/>
      <c r="I3" s="875" t="s">
        <v>327</v>
      </c>
      <c r="J3" s="875"/>
      <c r="K3" s="475" t="s">
        <v>328</v>
      </c>
    </row>
    <row r="4" spans="1:14" ht="15.75" thickBot="1" x14ac:dyDescent="0.3">
      <c r="A4" s="872"/>
      <c r="B4" s="873"/>
      <c r="C4" s="868"/>
      <c r="D4" s="869"/>
      <c r="E4" s="869"/>
      <c r="F4" s="869"/>
      <c r="G4" s="869"/>
      <c r="H4" s="870"/>
      <c r="I4" s="876"/>
      <c r="J4" s="876"/>
      <c r="K4" s="758"/>
    </row>
    <row r="5" spans="1:14" ht="15.75" thickBot="1" x14ac:dyDescent="0.3">
      <c r="A5" s="855"/>
      <c r="B5" s="874"/>
      <c r="C5" s="877" t="s">
        <v>350</v>
      </c>
      <c r="D5" s="878"/>
      <c r="E5" s="878"/>
      <c r="F5" s="878"/>
      <c r="G5" s="878"/>
      <c r="H5" s="879"/>
      <c r="I5" s="880" t="s">
        <v>329</v>
      </c>
      <c r="J5" s="880"/>
      <c r="K5" s="881"/>
    </row>
    <row r="6" spans="1:14" ht="15.75" thickBot="1" x14ac:dyDescent="0.3">
      <c r="A6" s="476"/>
      <c r="B6" s="477"/>
      <c r="C6" s="882" t="s">
        <v>330</v>
      </c>
      <c r="D6" s="883"/>
      <c r="E6" s="883"/>
      <c r="F6" s="883"/>
      <c r="G6" s="883"/>
      <c r="H6" s="884"/>
      <c r="I6" s="880"/>
      <c r="J6" s="880"/>
      <c r="K6" s="881"/>
    </row>
    <row r="7" spans="1:14" ht="15.75" thickBot="1" x14ac:dyDescent="0.3">
      <c r="A7" s="478" t="s">
        <v>331</v>
      </c>
      <c r="B7" s="479" t="s">
        <v>332</v>
      </c>
      <c r="C7" s="885" t="s">
        <v>333</v>
      </c>
      <c r="D7" s="886"/>
      <c r="E7" s="886"/>
      <c r="F7" s="886"/>
      <c r="G7" s="886"/>
      <c r="H7" s="887"/>
      <c r="I7" s="880"/>
      <c r="J7" s="880"/>
      <c r="K7" s="881"/>
    </row>
    <row r="8" spans="1:14" x14ac:dyDescent="0.25">
      <c r="A8" s="888" t="s">
        <v>334</v>
      </c>
      <c r="B8" s="889"/>
      <c r="C8" s="892" t="s">
        <v>335</v>
      </c>
      <c r="D8" s="893"/>
      <c r="E8" s="893"/>
      <c r="F8" s="893"/>
      <c r="G8" s="893"/>
      <c r="H8" s="894"/>
      <c r="I8" s="895" t="s">
        <v>336</v>
      </c>
      <c r="J8" s="896"/>
      <c r="K8" s="897"/>
    </row>
    <row r="9" spans="1:14" x14ac:dyDescent="0.25">
      <c r="A9" s="890"/>
      <c r="B9" s="891"/>
      <c r="C9" s="480">
        <v>16</v>
      </c>
      <c r="D9" s="481">
        <v>20</v>
      </c>
      <c r="E9" s="481">
        <v>24</v>
      </c>
      <c r="F9" s="481">
        <v>28</v>
      </c>
      <c r="G9" s="481">
        <v>32</v>
      </c>
      <c r="H9" s="482">
        <v>35</v>
      </c>
      <c r="I9" s="898"/>
      <c r="J9" s="899"/>
      <c r="K9" s="900"/>
    </row>
    <row r="10" spans="1:14" x14ac:dyDescent="0.25">
      <c r="A10" s="858" t="s">
        <v>337</v>
      </c>
      <c r="B10" s="859"/>
      <c r="C10" s="480">
        <v>44</v>
      </c>
      <c r="D10" s="481">
        <v>465</v>
      </c>
      <c r="E10" s="481">
        <v>528</v>
      </c>
      <c r="F10" s="481">
        <v>85</v>
      </c>
      <c r="G10" s="481">
        <v>420</v>
      </c>
      <c r="H10" s="483"/>
      <c r="I10" s="484">
        <v>477</v>
      </c>
      <c r="J10" s="481" t="s">
        <v>338</v>
      </c>
      <c r="K10" s="485">
        <v>402</v>
      </c>
    </row>
    <row r="11" spans="1:14" x14ac:dyDescent="0.25">
      <c r="A11" s="858" t="s">
        <v>339</v>
      </c>
      <c r="B11" s="859"/>
      <c r="C11" s="486">
        <v>23.58</v>
      </c>
      <c r="D11" s="487">
        <v>24.27</v>
      </c>
      <c r="E11" s="486">
        <v>24.34</v>
      </c>
      <c r="F11" s="487">
        <v>24.82</v>
      </c>
      <c r="G11" s="487">
        <v>20.74</v>
      </c>
      <c r="H11" s="488"/>
      <c r="I11" s="489">
        <v>16.22</v>
      </c>
      <c r="J11" s="487">
        <v>17.420000000000002</v>
      </c>
      <c r="K11" s="490">
        <v>17.559999999999999</v>
      </c>
    </row>
    <row r="12" spans="1:14" x14ac:dyDescent="0.25">
      <c r="A12" s="858" t="s">
        <v>340</v>
      </c>
      <c r="B12" s="859"/>
      <c r="C12" s="486">
        <v>20.16</v>
      </c>
      <c r="D12" s="487">
        <v>20.420000000000002</v>
      </c>
      <c r="E12" s="486">
        <v>20.73</v>
      </c>
      <c r="F12" s="487">
        <v>21.25</v>
      </c>
      <c r="G12" s="487">
        <v>18.11</v>
      </c>
      <c r="H12" s="488"/>
      <c r="I12" s="489">
        <v>15.48</v>
      </c>
      <c r="J12" s="487">
        <v>16.54</v>
      </c>
      <c r="K12" s="490">
        <v>16.739999999999998</v>
      </c>
    </row>
    <row r="13" spans="1:14" x14ac:dyDescent="0.25">
      <c r="A13" s="858" t="s">
        <v>341</v>
      </c>
      <c r="B13" s="859"/>
      <c r="C13" s="486">
        <v>8.49</v>
      </c>
      <c r="D13" s="487">
        <v>6.99</v>
      </c>
      <c r="E13" s="486">
        <v>7.89</v>
      </c>
      <c r="F13" s="487">
        <v>8.2200000000000006</v>
      </c>
      <c r="G13" s="487">
        <v>8.25</v>
      </c>
      <c r="H13" s="488"/>
      <c r="I13" s="489">
        <v>7.76</v>
      </c>
      <c r="J13" s="487">
        <v>7.92</v>
      </c>
      <c r="K13" s="490">
        <v>7.88</v>
      </c>
    </row>
    <row r="14" spans="1:14" x14ac:dyDescent="0.25">
      <c r="A14" s="858" t="s">
        <v>342</v>
      </c>
      <c r="B14" s="859"/>
      <c r="C14" s="486">
        <f t="shared" ref="C14:G15" si="0">C11-C12</f>
        <v>3.4199999999999982</v>
      </c>
      <c r="D14" s="487">
        <f t="shared" si="0"/>
        <v>3.8499999999999979</v>
      </c>
      <c r="E14" s="487">
        <f t="shared" si="0"/>
        <v>3.6099999999999994</v>
      </c>
      <c r="F14" s="487">
        <f>F11-F12</f>
        <v>3.5700000000000003</v>
      </c>
      <c r="G14" s="487">
        <f t="shared" si="0"/>
        <v>2.629999999999999</v>
      </c>
      <c r="H14" s="483"/>
      <c r="I14" s="489">
        <f t="shared" ref="I14:K15" si="1">I11-I12</f>
        <v>0.73999999999999844</v>
      </c>
      <c r="J14" s="487">
        <f t="shared" si="1"/>
        <v>0.88000000000000256</v>
      </c>
      <c r="K14" s="490">
        <f t="shared" si="1"/>
        <v>0.82000000000000028</v>
      </c>
    </row>
    <row r="15" spans="1:14" x14ac:dyDescent="0.25">
      <c r="A15" s="858" t="s">
        <v>343</v>
      </c>
      <c r="B15" s="859"/>
      <c r="C15" s="486">
        <f t="shared" si="0"/>
        <v>11.67</v>
      </c>
      <c r="D15" s="487">
        <f t="shared" si="0"/>
        <v>13.430000000000001</v>
      </c>
      <c r="E15" s="487">
        <f t="shared" si="0"/>
        <v>12.84</v>
      </c>
      <c r="F15" s="487">
        <f t="shared" si="0"/>
        <v>13.03</v>
      </c>
      <c r="G15" s="487">
        <f t="shared" si="0"/>
        <v>9.86</v>
      </c>
      <c r="H15" s="483"/>
      <c r="I15" s="489">
        <f t="shared" si="1"/>
        <v>7.7200000000000006</v>
      </c>
      <c r="J15" s="487">
        <f t="shared" si="1"/>
        <v>8.6199999999999992</v>
      </c>
      <c r="K15" s="490">
        <f t="shared" si="1"/>
        <v>8.86</v>
      </c>
    </row>
    <row r="16" spans="1:14" ht="15.75" thickBot="1" x14ac:dyDescent="0.3">
      <c r="A16" s="909" t="s">
        <v>344</v>
      </c>
      <c r="B16" s="910"/>
      <c r="C16" s="491">
        <f>(C14/C15)*100</f>
        <v>29.305912596401011</v>
      </c>
      <c r="D16" s="492">
        <f>(D14/D15)*100</f>
        <v>28.667163067758729</v>
      </c>
      <c r="E16" s="492">
        <f>(E14/E15)*100</f>
        <v>28.115264797507784</v>
      </c>
      <c r="F16" s="492">
        <f>(F14/F15)*100</f>
        <v>27.398311588641601</v>
      </c>
      <c r="G16" s="492">
        <f>(G14/G15)*100</f>
        <v>26.673427991886399</v>
      </c>
      <c r="H16" s="493"/>
      <c r="I16" s="494">
        <f>(I14/I15)*100</f>
        <v>9.5854922279792536</v>
      </c>
      <c r="J16" s="492">
        <f>(J14/J15)*100</f>
        <v>10.208816705336456</v>
      </c>
      <c r="K16" s="495">
        <f>(K14/K15)*100</f>
        <v>9.2550790067720126</v>
      </c>
      <c r="M16" s="496"/>
      <c r="N16" s="496"/>
    </row>
    <row r="17" spans="1:14" x14ac:dyDescent="0.25">
      <c r="A17" s="497"/>
      <c r="B17" s="498"/>
      <c r="C17" s="499"/>
      <c r="D17" s="499"/>
      <c r="E17" s="499"/>
      <c r="F17" s="499"/>
      <c r="G17" s="499"/>
      <c r="H17" s="499"/>
      <c r="I17" s="499"/>
      <c r="J17" s="499"/>
      <c r="K17" s="500"/>
      <c r="M17" s="496"/>
      <c r="N17" s="496"/>
    </row>
    <row r="18" spans="1:14" x14ac:dyDescent="0.25">
      <c r="A18" s="497"/>
      <c r="B18" s="499"/>
      <c r="C18" s="499"/>
      <c r="D18" s="499"/>
      <c r="E18" s="499"/>
      <c r="F18" s="499"/>
      <c r="G18" s="499"/>
      <c r="H18" s="499"/>
      <c r="I18" s="499"/>
      <c r="J18" s="499"/>
      <c r="K18" s="500"/>
      <c r="M18" s="496"/>
      <c r="N18" s="496"/>
    </row>
    <row r="19" spans="1:14" x14ac:dyDescent="0.25">
      <c r="A19" s="497"/>
      <c r="B19" s="499"/>
      <c r="C19" s="499"/>
      <c r="D19" s="499"/>
      <c r="E19" s="499"/>
      <c r="F19" s="499"/>
      <c r="G19" s="499"/>
      <c r="H19" s="499"/>
      <c r="I19" s="499"/>
      <c r="J19" s="499"/>
      <c r="K19" s="500"/>
      <c r="M19" s="496"/>
      <c r="N19" s="496"/>
    </row>
    <row r="20" spans="1:14" x14ac:dyDescent="0.25">
      <c r="A20" s="497"/>
      <c r="B20" s="499"/>
      <c r="C20" s="499"/>
      <c r="D20" s="499"/>
      <c r="E20" s="499"/>
      <c r="F20" s="499"/>
      <c r="G20" s="499"/>
      <c r="H20" s="499"/>
      <c r="I20" s="499"/>
      <c r="J20" s="499"/>
      <c r="K20" s="500"/>
      <c r="L20" s="501" t="s">
        <v>13</v>
      </c>
      <c r="M20" s="502">
        <v>27.84</v>
      </c>
      <c r="N20" s="496">
        <v>25</v>
      </c>
    </row>
    <row r="21" spans="1:14" x14ac:dyDescent="0.25">
      <c r="A21" s="497"/>
      <c r="B21" s="499"/>
      <c r="C21" s="499"/>
      <c r="D21" s="499"/>
      <c r="E21" s="499"/>
      <c r="F21" s="499"/>
      <c r="G21" s="499"/>
      <c r="H21" s="499"/>
      <c r="I21" s="499"/>
      <c r="J21" s="499"/>
      <c r="K21" s="500"/>
      <c r="L21" s="501" t="s">
        <v>345</v>
      </c>
      <c r="M21" s="496">
        <f>M20</f>
        <v>27.84</v>
      </c>
      <c r="N21" s="496">
        <v>14</v>
      </c>
    </row>
    <row r="22" spans="1:14" x14ac:dyDescent="0.25">
      <c r="A22" s="497"/>
      <c r="B22" s="499"/>
      <c r="C22" s="499"/>
      <c r="D22" s="499"/>
      <c r="E22" s="499"/>
      <c r="F22" s="499"/>
      <c r="G22" s="499"/>
      <c r="H22" s="499"/>
      <c r="I22" s="499"/>
      <c r="J22" s="499"/>
      <c r="K22" s="500"/>
      <c r="M22" s="496"/>
      <c r="N22" s="496"/>
    </row>
    <row r="23" spans="1:14" x14ac:dyDescent="0.25">
      <c r="A23" s="497"/>
      <c r="B23" s="499"/>
      <c r="C23" s="499"/>
      <c r="D23" s="499"/>
      <c r="E23" s="499"/>
      <c r="F23" s="499"/>
      <c r="G23" s="499"/>
      <c r="H23" s="499"/>
      <c r="I23" s="499"/>
      <c r="J23" s="499"/>
      <c r="K23" s="500"/>
      <c r="M23" s="496">
        <v>12</v>
      </c>
      <c r="N23" s="496">
        <v>25</v>
      </c>
    </row>
    <row r="24" spans="1:14" x14ac:dyDescent="0.25">
      <c r="A24" s="497"/>
      <c r="B24" s="499"/>
      <c r="C24" s="499"/>
      <c r="D24" s="499"/>
      <c r="E24" s="499"/>
      <c r="F24" s="499"/>
      <c r="G24" s="499"/>
      <c r="H24" s="499"/>
      <c r="I24" s="499"/>
      <c r="J24" s="503" t="s">
        <v>346</v>
      </c>
      <c r="K24" s="504">
        <v>27.84</v>
      </c>
      <c r="M24" s="502">
        <v>27.84</v>
      </c>
      <c r="N24" s="496">
        <v>25</v>
      </c>
    </row>
    <row r="25" spans="1:14" x14ac:dyDescent="0.25">
      <c r="A25" s="497"/>
      <c r="B25" s="499"/>
      <c r="C25" s="499"/>
      <c r="D25" s="499"/>
      <c r="E25" s="499"/>
      <c r="F25" s="499"/>
      <c r="G25" s="499"/>
      <c r="H25" s="499"/>
      <c r="I25" s="499"/>
      <c r="J25" s="503" t="s">
        <v>347</v>
      </c>
      <c r="K25" s="505">
        <f>AVERAGE(I16:K16)</f>
        <v>9.683129313362576</v>
      </c>
    </row>
    <row r="26" spans="1:14" x14ac:dyDescent="0.25">
      <c r="A26" s="497"/>
      <c r="B26" s="499"/>
      <c r="C26" s="499"/>
      <c r="D26" s="499"/>
      <c r="E26" s="499"/>
      <c r="F26" s="499"/>
      <c r="G26" s="499"/>
      <c r="H26" s="499"/>
      <c r="I26" s="499"/>
      <c r="J26" s="503" t="s">
        <v>348</v>
      </c>
      <c r="K26" s="506">
        <f>K24-K25</f>
        <v>18.156870686637426</v>
      </c>
    </row>
    <row r="27" spans="1:14" x14ac:dyDescent="0.25">
      <c r="A27" s="497"/>
      <c r="B27" s="499"/>
      <c r="C27" s="499"/>
      <c r="D27" s="499"/>
      <c r="E27" s="499"/>
      <c r="F27" s="499"/>
      <c r="G27" s="499"/>
      <c r="H27" s="499"/>
      <c r="I27" s="499"/>
      <c r="J27" s="499"/>
      <c r="K27" s="500"/>
    </row>
    <row r="28" spans="1:14" ht="91.15" customHeight="1" thickBot="1" x14ac:dyDescent="0.3">
      <c r="A28" s="507"/>
      <c r="B28" s="508"/>
      <c r="C28" s="508"/>
      <c r="D28" s="508"/>
      <c r="E28" s="508"/>
      <c r="F28" s="508"/>
      <c r="G28" s="508"/>
      <c r="H28" s="508"/>
      <c r="I28" s="508"/>
      <c r="J28" s="508"/>
      <c r="K28" s="509"/>
    </row>
    <row r="29" spans="1:14" x14ac:dyDescent="0.25">
      <c r="A29" s="911"/>
      <c r="B29" s="902"/>
      <c r="C29" s="903"/>
      <c r="D29" s="901"/>
      <c r="E29" s="902"/>
      <c r="F29" s="902"/>
      <c r="G29" s="903"/>
      <c r="H29" s="901"/>
      <c r="I29" s="902"/>
      <c r="J29" s="902"/>
      <c r="K29" s="907"/>
    </row>
    <row r="30" spans="1:14" x14ac:dyDescent="0.25">
      <c r="A30" s="911"/>
      <c r="B30" s="902"/>
      <c r="C30" s="903"/>
      <c r="D30" s="901"/>
      <c r="E30" s="902"/>
      <c r="F30" s="902"/>
      <c r="G30" s="903"/>
      <c r="H30" s="901"/>
      <c r="I30" s="902"/>
      <c r="J30" s="902"/>
      <c r="K30" s="907"/>
    </row>
    <row r="31" spans="1:14" ht="52.15" customHeight="1" thickBot="1" x14ac:dyDescent="0.3">
      <c r="A31" s="912"/>
      <c r="B31" s="905"/>
      <c r="C31" s="906"/>
      <c r="D31" s="904"/>
      <c r="E31" s="905"/>
      <c r="F31" s="905"/>
      <c r="G31" s="906"/>
      <c r="H31" s="904"/>
      <c r="I31" s="905"/>
      <c r="J31" s="905"/>
      <c r="K31" s="908"/>
    </row>
  </sheetData>
  <mergeCells count="24">
    <mergeCell ref="D29:G31"/>
    <mergeCell ref="H29:K31"/>
    <mergeCell ref="A12:B12"/>
    <mergeCell ref="A13:B13"/>
    <mergeCell ref="A14:B14"/>
    <mergeCell ref="A15:B15"/>
    <mergeCell ref="A16:B16"/>
    <mergeCell ref="A29:C31"/>
    <mergeCell ref="A11:B11"/>
    <mergeCell ref="A1:B1"/>
    <mergeCell ref="C1:H4"/>
    <mergeCell ref="I1:J1"/>
    <mergeCell ref="A2:B5"/>
    <mergeCell ref="I2:J2"/>
    <mergeCell ref="I3:J3"/>
    <mergeCell ref="I4:K4"/>
    <mergeCell ref="C5:H5"/>
    <mergeCell ref="I5:K7"/>
    <mergeCell ref="C6:H6"/>
    <mergeCell ref="C7:H7"/>
    <mergeCell ref="A8:B9"/>
    <mergeCell ref="C8:H8"/>
    <mergeCell ref="I8:K9"/>
    <mergeCell ref="A10:B10"/>
  </mergeCells>
  <printOptions horizontalCentered="1"/>
  <pageMargins left="0.51181102362204722" right="0.51181102362204722" top="0.39370078740157483" bottom="0" header="0.31496062992125984" footer="0.31496062992125984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31" zoomScale="99" zoomScaleNormal="99" workbookViewId="0">
      <selection activeCell="J17" sqref="J17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689"/>
      <c r="B1" s="690"/>
      <c r="C1" s="690"/>
      <c r="D1" s="690"/>
      <c r="E1" s="690"/>
      <c r="F1" s="690"/>
      <c r="G1" s="690"/>
      <c r="H1" s="690"/>
      <c r="I1" s="914"/>
    </row>
    <row r="2" spans="1:9" x14ac:dyDescent="0.25">
      <c r="A2" s="656"/>
      <c r="B2" s="757"/>
      <c r="C2" s="757"/>
      <c r="D2" s="757"/>
      <c r="E2" s="757"/>
      <c r="F2" s="757"/>
      <c r="G2" s="757"/>
      <c r="H2" s="757"/>
      <c r="I2" s="915"/>
    </row>
    <row r="3" spans="1:9" x14ac:dyDescent="0.25">
      <c r="A3" s="656"/>
      <c r="B3" s="757"/>
      <c r="C3" s="757"/>
      <c r="D3" s="757"/>
      <c r="E3" s="757"/>
      <c r="F3" s="757"/>
      <c r="G3" s="757"/>
      <c r="H3" s="757"/>
      <c r="I3" s="915"/>
    </row>
    <row r="4" spans="1:9" x14ac:dyDescent="0.25">
      <c r="A4" s="656"/>
      <c r="B4" s="757"/>
      <c r="C4" s="757"/>
      <c r="D4" s="757"/>
      <c r="E4" s="757"/>
      <c r="F4" s="757"/>
      <c r="G4" s="757"/>
      <c r="H4" s="757"/>
      <c r="I4" s="915"/>
    </row>
    <row r="5" spans="1:9" x14ac:dyDescent="0.25">
      <c r="A5" s="656"/>
      <c r="B5" s="757"/>
      <c r="C5" s="757"/>
      <c r="D5" s="757"/>
      <c r="E5" s="757"/>
      <c r="F5" s="757"/>
      <c r="G5" s="757"/>
      <c r="H5" s="757"/>
      <c r="I5" s="915"/>
    </row>
    <row r="6" spans="1:9" x14ac:dyDescent="0.25">
      <c r="A6" s="656"/>
      <c r="B6" s="757"/>
      <c r="C6" s="757"/>
      <c r="D6" s="757"/>
      <c r="E6" s="757"/>
      <c r="F6" s="757"/>
      <c r="G6" s="757"/>
      <c r="H6" s="757"/>
      <c r="I6" s="915"/>
    </row>
    <row r="7" spans="1:9" x14ac:dyDescent="0.25">
      <c r="A7" s="656"/>
      <c r="B7" s="757"/>
      <c r="C7" s="757"/>
      <c r="D7" s="757"/>
      <c r="E7" s="757"/>
      <c r="F7" s="757"/>
      <c r="G7" s="757"/>
      <c r="H7" s="757"/>
      <c r="I7" s="915"/>
    </row>
    <row r="8" spans="1:9" x14ac:dyDescent="0.25">
      <c r="A8" s="656"/>
      <c r="B8" s="757"/>
      <c r="C8" s="757"/>
      <c r="D8" s="757"/>
      <c r="E8" s="757"/>
      <c r="F8" s="757"/>
      <c r="G8" s="757"/>
      <c r="H8" s="757"/>
      <c r="I8" s="915"/>
    </row>
    <row r="9" spans="1:9" x14ac:dyDescent="0.25">
      <c r="A9" s="656"/>
      <c r="B9" s="757"/>
      <c r="C9" s="757"/>
      <c r="D9" s="757"/>
      <c r="E9" s="757"/>
      <c r="F9" s="757"/>
      <c r="G9" s="757"/>
      <c r="H9" s="757"/>
      <c r="I9" s="915"/>
    </row>
    <row r="10" spans="1:9" x14ac:dyDescent="0.25">
      <c r="A10" s="656"/>
      <c r="B10" s="757"/>
      <c r="C10" s="757"/>
      <c r="D10" s="757"/>
      <c r="E10" s="757"/>
      <c r="F10" s="757"/>
      <c r="G10" s="757"/>
      <c r="H10" s="757"/>
      <c r="I10" s="915"/>
    </row>
    <row r="11" spans="1:9" ht="27" x14ac:dyDescent="0.5">
      <c r="A11" s="916" t="s">
        <v>369</v>
      </c>
      <c r="B11" s="917"/>
      <c r="C11" s="917"/>
      <c r="D11" s="917"/>
      <c r="E11" s="917"/>
      <c r="F11" s="917"/>
      <c r="G11" s="917"/>
      <c r="H11" s="917"/>
      <c r="I11" s="918"/>
    </row>
    <row r="12" spans="1:9" x14ac:dyDescent="0.25">
      <c r="A12" s="919"/>
      <c r="B12" s="920"/>
      <c r="C12" s="920"/>
      <c r="D12" s="920"/>
      <c r="E12" s="920"/>
      <c r="F12" s="920"/>
      <c r="G12" s="920"/>
      <c r="H12" s="920"/>
      <c r="I12" s="921"/>
    </row>
    <row r="13" spans="1:9" x14ac:dyDescent="0.25">
      <c r="A13" s="872"/>
      <c r="B13" s="913"/>
      <c r="C13" s="913"/>
      <c r="D13" s="913"/>
      <c r="E13" s="913"/>
      <c r="F13" s="913"/>
      <c r="G13" s="883" t="s">
        <v>370</v>
      </c>
      <c r="H13" s="883"/>
      <c r="I13" s="884"/>
    </row>
    <row r="14" spans="1:9" x14ac:dyDescent="0.25">
      <c r="A14" s="872"/>
      <c r="B14" s="913"/>
      <c r="C14" s="913"/>
      <c r="D14" s="913"/>
      <c r="E14" s="913"/>
      <c r="F14" s="913"/>
      <c r="G14" s="913"/>
      <c r="H14" s="913"/>
      <c r="I14" s="873"/>
    </row>
    <row r="15" spans="1:9" x14ac:dyDescent="0.25">
      <c r="A15" s="872"/>
      <c r="B15" s="913"/>
      <c r="C15" s="913"/>
      <c r="D15" s="913"/>
      <c r="E15" s="883" t="s">
        <v>371</v>
      </c>
      <c r="F15" s="883"/>
      <c r="G15" s="883"/>
      <c r="H15" s="883"/>
      <c r="I15" s="884"/>
    </row>
    <row r="16" spans="1:9" x14ac:dyDescent="0.25">
      <c r="A16" s="890" t="s">
        <v>387</v>
      </c>
      <c r="B16" s="922"/>
      <c r="C16" s="922"/>
      <c r="D16" s="922"/>
      <c r="E16" s="922"/>
      <c r="F16" s="922"/>
      <c r="G16" s="922"/>
      <c r="H16" s="922"/>
      <c r="I16" s="891"/>
    </row>
    <row r="17" spans="1:9" ht="31.9" customHeight="1" x14ac:dyDescent="0.25">
      <c r="A17" s="923" t="s">
        <v>372</v>
      </c>
      <c r="B17" s="924"/>
      <c r="C17" s="924"/>
      <c r="D17" s="924"/>
      <c r="E17" s="924"/>
      <c r="F17" s="925"/>
      <c r="G17" s="520">
        <v>8</v>
      </c>
      <c r="H17" s="521">
        <v>4</v>
      </c>
      <c r="I17" s="522"/>
    </row>
    <row r="18" spans="1:9" x14ac:dyDescent="0.25">
      <c r="A18" s="926" t="s">
        <v>373</v>
      </c>
      <c r="B18" s="927"/>
      <c r="C18" s="927"/>
      <c r="D18" s="927"/>
      <c r="E18" s="927"/>
      <c r="F18" s="928"/>
      <c r="G18" s="929">
        <v>259.8</v>
      </c>
      <c r="H18" s="929">
        <v>289.7</v>
      </c>
      <c r="I18" s="931"/>
    </row>
    <row r="19" spans="1:9" x14ac:dyDescent="0.25">
      <c r="A19" s="926"/>
      <c r="B19" s="927"/>
      <c r="C19" s="927"/>
      <c r="D19" s="927"/>
      <c r="E19" s="927"/>
      <c r="F19" s="928"/>
      <c r="G19" s="930"/>
      <c r="H19" s="930"/>
      <c r="I19" s="932"/>
    </row>
    <row r="20" spans="1:9" x14ac:dyDescent="0.25">
      <c r="A20" s="926" t="s">
        <v>374</v>
      </c>
      <c r="B20" s="927"/>
      <c r="C20" s="927"/>
      <c r="D20" s="927"/>
      <c r="E20" s="927"/>
      <c r="F20" s="928"/>
      <c r="G20" s="929">
        <v>559.79999999999995</v>
      </c>
      <c r="H20" s="929">
        <v>589.6</v>
      </c>
      <c r="I20" s="931"/>
    </row>
    <row r="21" spans="1:9" x14ac:dyDescent="0.25">
      <c r="A21" s="926"/>
      <c r="B21" s="927"/>
      <c r="C21" s="927"/>
      <c r="D21" s="927"/>
      <c r="E21" s="927"/>
      <c r="F21" s="928"/>
      <c r="G21" s="930"/>
      <c r="H21" s="930"/>
      <c r="I21" s="932"/>
    </row>
    <row r="22" spans="1:9" x14ac:dyDescent="0.25">
      <c r="A22" s="926" t="s">
        <v>375</v>
      </c>
      <c r="B22" s="927"/>
      <c r="C22" s="927"/>
      <c r="D22" s="927"/>
      <c r="E22" s="927"/>
      <c r="F22" s="928"/>
      <c r="G22" s="929">
        <v>981.1</v>
      </c>
      <c r="H22" s="929">
        <v>1000.3</v>
      </c>
      <c r="I22" s="931"/>
    </row>
    <row r="23" spans="1:9" x14ac:dyDescent="0.25">
      <c r="A23" s="926"/>
      <c r="B23" s="927"/>
      <c r="C23" s="927"/>
      <c r="D23" s="927"/>
      <c r="E23" s="927"/>
      <c r="F23" s="928"/>
      <c r="G23" s="930"/>
      <c r="H23" s="930"/>
      <c r="I23" s="932"/>
    </row>
    <row r="24" spans="1:9" x14ac:dyDescent="0.25">
      <c r="A24" s="926" t="s">
        <v>376</v>
      </c>
      <c r="B24" s="927"/>
      <c r="C24" s="927"/>
      <c r="D24" s="927"/>
      <c r="E24" s="927"/>
      <c r="F24" s="928"/>
      <c r="G24" s="929">
        <v>797.3</v>
      </c>
      <c r="H24" s="929">
        <v>818.7</v>
      </c>
      <c r="I24" s="931"/>
    </row>
    <row r="25" spans="1:9" x14ac:dyDescent="0.25">
      <c r="A25" s="926"/>
      <c r="B25" s="927"/>
      <c r="C25" s="927"/>
      <c r="D25" s="927"/>
      <c r="E25" s="927"/>
      <c r="F25" s="928"/>
      <c r="G25" s="930"/>
      <c r="H25" s="930"/>
      <c r="I25" s="932"/>
    </row>
    <row r="26" spans="1:9" ht="31.9" customHeight="1" x14ac:dyDescent="0.25">
      <c r="A26" s="926"/>
      <c r="B26" s="927"/>
      <c r="C26" s="927"/>
      <c r="D26" s="927"/>
      <c r="E26" s="927"/>
      <c r="F26" s="928"/>
      <c r="G26" s="933"/>
      <c r="H26" s="934"/>
      <c r="I26" s="935"/>
    </row>
    <row r="27" spans="1:9" x14ac:dyDescent="0.25">
      <c r="A27" s="926"/>
      <c r="B27" s="927"/>
      <c r="C27" s="927"/>
      <c r="D27" s="927"/>
      <c r="E27" s="927"/>
      <c r="F27" s="928"/>
      <c r="G27" s="936"/>
      <c r="H27" s="937"/>
      <c r="I27" s="938"/>
    </row>
    <row r="28" spans="1:9" x14ac:dyDescent="0.25">
      <c r="A28" s="926" t="s">
        <v>377</v>
      </c>
      <c r="B28" s="927"/>
      <c r="C28" s="927"/>
      <c r="D28" s="927"/>
      <c r="E28" s="927"/>
      <c r="F28" s="928"/>
      <c r="G28" s="929">
        <f>G24-G18</f>
        <v>537.5</v>
      </c>
      <c r="H28" s="929">
        <f>H24-H18</f>
        <v>529</v>
      </c>
      <c r="I28" s="939"/>
    </row>
    <row r="29" spans="1:9" x14ac:dyDescent="0.25">
      <c r="A29" s="926"/>
      <c r="B29" s="927"/>
      <c r="C29" s="927"/>
      <c r="D29" s="927"/>
      <c r="E29" s="927"/>
      <c r="F29" s="928"/>
      <c r="G29" s="930"/>
      <c r="H29" s="930"/>
      <c r="I29" s="940"/>
    </row>
    <row r="30" spans="1:9" x14ac:dyDescent="0.25">
      <c r="A30" s="926" t="s">
        <v>378</v>
      </c>
      <c r="B30" s="927"/>
      <c r="C30" s="927"/>
      <c r="D30" s="927"/>
      <c r="E30" s="927"/>
      <c r="F30" s="928"/>
      <c r="G30" s="929">
        <f>G20-G18</f>
        <v>299.99999999999994</v>
      </c>
      <c r="H30" s="941">
        <f>H20-H18</f>
        <v>299.90000000000003</v>
      </c>
      <c r="I30" s="931"/>
    </row>
    <row r="31" spans="1:9" x14ac:dyDescent="0.25">
      <c r="A31" s="926"/>
      <c r="B31" s="927"/>
      <c r="C31" s="927"/>
      <c r="D31" s="927"/>
      <c r="E31" s="927"/>
      <c r="F31" s="928"/>
      <c r="G31" s="930"/>
      <c r="H31" s="942"/>
      <c r="I31" s="932"/>
    </row>
    <row r="32" spans="1:9" x14ac:dyDescent="0.25">
      <c r="A32" s="926" t="s">
        <v>379</v>
      </c>
      <c r="B32" s="927"/>
      <c r="C32" s="927"/>
      <c r="D32" s="927"/>
      <c r="E32" s="927"/>
      <c r="F32" s="928"/>
      <c r="G32" s="929">
        <f>G22-G20</f>
        <v>421.30000000000007</v>
      </c>
      <c r="H32" s="929">
        <f>H22-H20</f>
        <v>410.69999999999993</v>
      </c>
      <c r="I32" s="931"/>
    </row>
    <row r="33" spans="1:9" x14ac:dyDescent="0.25">
      <c r="A33" s="926"/>
      <c r="B33" s="927"/>
      <c r="C33" s="927"/>
      <c r="D33" s="927"/>
      <c r="E33" s="927"/>
      <c r="F33" s="928"/>
      <c r="G33" s="930"/>
      <c r="H33" s="930"/>
      <c r="I33" s="932"/>
    </row>
    <row r="34" spans="1:9" x14ac:dyDescent="0.25">
      <c r="A34" s="926" t="s">
        <v>380</v>
      </c>
      <c r="B34" s="927"/>
      <c r="C34" s="927"/>
      <c r="D34" s="927"/>
      <c r="E34" s="927"/>
      <c r="F34" s="928"/>
      <c r="G34" s="929">
        <f>G28-G32</f>
        <v>116.19999999999993</v>
      </c>
      <c r="H34" s="929">
        <f>H28-H32</f>
        <v>118.30000000000007</v>
      </c>
      <c r="I34" s="931"/>
    </row>
    <row r="35" spans="1:9" x14ac:dyDescent="0.25">
      <c r="A35" s="926"/>
      <c r="B35" s="927"/>
      <c r="C35" s="927"/>
      <c r="D35" s="927"/>
      <c r="E35" s="927"/>
      <c r="F35" s="928"/>
      <c r="G35" s="930"/>
      <c r="H35" s="930"/>
      <c r="I35" s="932"/>
    </row>
    <row r="36" spans="1:9" ht="38.450000000000003" customHeight="1" x14ac:dyDescent="0.25">
      <c r="A36" s="926" t="s">
        <v>381</v>
      </c>
      <c r="B36" s="927"/>
      <c r="C36" s="927"/>
      <c r="D36" s="927"/>
      <c r="E36" s="927"/>
      <c r="F36" s="928"/>
      <c r="G36" s="933"/>
      <c r="H36" s="934"/>
      <c r="I36" s="935"/>
    </row>
    <row r="37" spans="1:9" x14ac:dyDescent="0.25">
      <c r="A37" s="926"/>
      <c r="B37" s="927"/>
      <c r="C37" s="927"/>
      <c r="D37" s="927"/>
      <c r="E37" s="927"/>
      <c r="F37" s="928"/>
      <c r="G37" s="936"/>
      <c r="H37" s="937"/>
      <c r="I37" s="938"/>
    </row>
    <row r="38" spans="1:9" x14ac:dyDescent="0.25">
      <c r="A38" s="955" t="s">
        <v>382</v>
      </c>
      <c r="B38" s="956"/>
      <c r="C38" s="956"/>
      <c r="D38" s="956"/>
      <c r="E38" s="956"/>
      <c r="F38" s="957"/>
      <c r="G38" s="958">
        <f>G30/G34</f>
        <v>2.5817555938037877</v>
      </c>
      <c r="H38" s="958">
        <f>H30/H34</f>
        <v>2.5350803043110726</v>
      </c>
      <c r="I38" s="960"/>
    </row>
    <row r="39" spans="1:9" x14ac:dyDescent="0.25">
      <c r="A39" s="955"/>
      <c r="B39" s="956"/>
      <c r="C39" s="956"/>
      <c r="D39" s="956"/>
      <c r="E39" s="956"/>
      <c r="F39" s="957"/>
      <c r="G39" s="959"/>
      <c r="H39" s="959"/>
      <c r="I39" s="961"/>
    </row>
    <row r="40" spans="1:9" ht="40.9" customHeight="1" x14ac:dyDescent="0.25">
      <c r="A40" s="926"/>
      <c r="B40" s="927"/>
      <c r="C40" s="927"/>
      <c r="D40" s="927"/>
      <c r="E40" s="927"/>
      <c r="F40" s="928"/>
      <c r="G40" s="933"/>
      <c r="H40" s="934"/>
      <c r="I40" s="935"/>
    </row>
    <row r="41" spans="1:9" x14ac:dyDescent="0.25">
      <c r="A41" s="926"/>
      <c r="B41" s="927"/>
      <c r="C41" s="927"/>
      <c r="D41" s="927"/>
      <c r="E41" s="927"/>
      <c r="F41" s="928"/>
      <c r="G41" s="936"/>
      <c r="H41" s="937"/>
      <c r="I41" s="938"/>
    </row>
    <row r="42" spans="1:9" x14ac:dyDescent="0.25">
      <c r="A42" s="962" t="s">
        <v>383</v>
      </c>
      <c r="B42" s="963"/>
      <c r="C42" s="963"/>
      <c r="D42" s="963"/>
      <c r="E42" s="963"/>
      <c r="F42" s="964"/>
      <c r="G42" s="968">
        <f>AVERAGE(G38,H38,I38)</f>
        <v>2.5584179490574304</v>
      </c>
      <c r="H42" s="969"/>
      <c r="I42" s="970"/>
    </row>
    <row r="43" spans="1:9" x14ac:dyDescent="0.25">
      <c r="A43" s="965"/>
      <c r="B43" s="966"/>
      <c r="C43" s="966"/>
      <c r="D43" s="966"/>
      <c r="E43" s="966"/>
      <c r="F43" s="967"/>
      <c r="G43" s="971"/>
      <c r="H43" s="972"/>
      <c r="I43" s="973"/>
    </row>
    <row r="44" spans="1:9" x14ac:dyDescent="0.25">
      <c r="A44" s="974" t="s">
        <v>384</v>
      </c>
      <c r="B44" s="975"/>
      <c r="C44" s="975"/>
      <c r="D44" s="975"/>
      <c r="E44" s="975"/>
      <c r="F44" s="975"/>
      <c r="G44" s="975"/>
      <c r="H44" s="975"/>
      <c r="I44" s="976"/>
    </row>
    <row r="45" spans="1:9" ht="19.149999999999999" customHeight="1" thickBot="1" x14ac:dyDescent="0.3">
      <c r="A45" s="977"/>
      <c r="B45" s="978"/>
      <c r="C45" s="978"/>
      <c r="D45" s="978"/>
      <c r="E45" s="978"/>
      <c r="F45" s="978"/>
      <c r="G45" s="978"/>
      <c r="H45" s="978"/>
      <c r="I45" s="979"/>
    </row>
    <row r="46" spans="1:9" ht="14.45" customHeight="1" x14ac:dyDescent="0.25">
      <c r="A46" s="943" t="s">
        <v>385</v>
      </c>
      <c r="B46" s="944"/>
      <c r="C46" s="944"/>
      <c r="D46" s="945"/>
      <c r="E46" s="949" t="s">
        <v>386</v>
      </c>
      <c r="F46" s="950"/>
      <c r="G46" s="950"/>
      <c r="H46" s="950"/>
      <c r="I46" s="951"/>
    </row>
    <row r="47" spans="1:9" ht="36" customHeight="1" thickBot="1" x14ac:dyDescent="0.3">
      <c r="A47" s="946"/>
      <c r="B47" s="947"/>
      <c r="C47" s="947"/>
      <c r="D47" s="948"/>
      <c r="E47" s="952"/>
      <c r="F47" s="953"/>
      <c r="G47" s="953"/>
      <c r="H47" s="953"/>
      <c r="I47" s="954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31" zoomScale="142" zoomScaleNormal="142" workbookViewId="0">
      <selection activeCell="M45" sqref="M45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83"/>
      <c r="B1" s="986" t="s">
        <v>0</v>
      </c>
      <c r="C1" s="987"/>
      <c r="D1" s="987"/>
      <c r="E1" s="987"/>
      <c r="F1" s="987"/>
      <c r="G1" s="987"/>
      <c r="H1" s="987"/>
      <c r="I1" s="987"/>
      <c r="J1" s="988" t="s">
        <v>49</v>
      </c>
      <c r="K1" s="989"/>
    </row>
    <row r="2" spans="1:11" x14ac:dyDescent="0.25">
      <c r="A2" s="984"/>
      <c r="B2" s="990" t="s">
        <v>1</v>
      </c>
      <c r="C2" s="991"/>
      <c r="D2" s="991"/>
      <c r="E2" s="991"/>
      <c r="F2" s="991"/>
      <c r="G2" s="991"/>
      <c r="H2" s="991"/>
      <c r="I2" s="992"/>
      <c r="J2" s="996" t="s">
        <v>50</v>
      </c>
      <c r="K2" s="997"/>
    </row>
    <row r="3" spans="1:11" ht="11.45" customHeight="1" thickBot="1" x14ac:dyDescent="0.3">
      <c r="A3" s="985"/>
      <c r="B3" s="993"/>
      <c r="C3" s="994"/>
      <c r="D3" s="994"/>
      <c r="E3" s="994"/>
      <c r="F3" s="994"/>
      <c r="G3" s="994"/>
      <c r="H3" s="994"/>
      <c r="I3" s="995"/>
      <c r="J3" s="998" t="s">
        <v>2</v>
      </c>
      <c r="K3" s="999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1000" t="s">
        <v>3</v>
      </c>
      <c r="B5" s="1002" t="s">
        <v>4</v>
      </c>
      <c r="C5" s="1003"/>
      <c r="D5" s="1003"/>
      <c r="E5" s="1003"/>
      <c r="F5" s="1003"/>
      <c r="G5" s="1003"/>
      <c r="H5" s="1003"/>
      <c r="I5" s="1003"/>
      <c r="J5" s="1003"/>
      <c r="K5" s="1004"/>
    </row>
    <row r="6" spans="1:11" ht="11.45" customHeight="1" x14ac:dyDescent="0.25">
      <c r="A6" s="1001"/>
      <c r="B6" s="1005" t="s">
        <v>5</v>
      </c>
      <c r="C6" s="927"/>
      <c r="D6" s="927"/>
      <c r="E6" s="927"/>
      <c r="F6" s="927"/>
      <c r="G6" s="927"/>
      <c r="H6" s="927"/>
      <c r="I6" s="927"/>
      <c r="J6" s="927"/>
      <c r="K6" s="1006"/>
    </row>
    <row r="7" spans="1:11" ht="16.899999999999999" customHeight="1" thickBot="1" x14ac:dyDescent="0.3">
      <c r="A7" s="24"/>
      <c r="B7" s="1007" t="s">
        <v>6</v>
      </c>
      <c r="C7" s="1008"/>
      <c r="D7" s="1008"/>
      <c r="E7" s="1008"/>
      <c r="F7" s="1008"/>
      <c r="G7" s="1008"/>
      <c r="H7" s="1008"/>
      <c r="I7" s="1008"/>
      <c r="J7" s="1008"/>
      <c r="K7" s="1009"/>
    </row>
    <row r="8" spans="1:11" ht="2.4500000000000002" customHeight="1" thickTop="1" x14ac:dyDescent="0.25">
      <c r="A8" s="25"/>
      <c r="B8" s="53"/>
      <c r="C8" s="53"/>
      <c r="D8" s="53"/>
      <c r="E8" s="53"/>
      <c r="F8" s="53"/>
      <c r="G8" s="53"/>
      <c r="H8" s="53"/>
      <c r="I8" s="53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1010" t="s">
        <v>7</v>
      </c>
      <c r="B10" s="1011"/>
      <c r="C10" s="1011"/>
      <c r="D10" s="1011"/>
      <c r="E10" s="1011"/>
      <c r="F10" s="1011"/>
      <c r="G10" s="1011"/>
      <c r="H10" s="1011"/>
      <c r="I10" s="1011"/>
      <c r="J10" s="1011"/>
      <c r="K10" s="1012"/>
    </row>
    <row r="11" spans="1:11" x14ac:dyDescent="0.25">
      <c r="A11" s="980" t="s">
        <v>351</v>
      </c>
      <c r="B11" s="981"/>
      <c r="C11" s="981"/>
      <c r="D11" s="981"/>
      <c r="E11" s="981"/>
      <c r="F11" s="981"/>
      <c r="G11" s="981"/>
      <c r="H11" s="981"/>
      <c r="I11" s="981"/>
      <c r="J11" s="981"/>
      <c r="K11" s="982"/>
    </row>
    <row r="12" spans="1:11" ht="13.15" customHeight="1" x14ac:dyDescent="0.25">
      <c r="A12" s="980" t="s">
        <v>56</v>
      </c>
      <c r="B12" s="1013"/>
      <c r="C12" s="1013"/>
      <c r="D12" s="1014"/>
      <c r="E12" s="1015" t="s">
        <v>367</v>
      </c>
      <c r="F12" s="1016"/>
      <c r="G12" s="1016"/>
      <c r="H12" s="1016"/>
      <c r="I12" s="1016"/>
      <c r="J12" s="1016"/>
      <c r="K12" s="1017"/>
    </row>
    <row r="13" spans="1:11" ht="13.15" customHeight="1" x14ac:dyDescent="0.25">
      <c r="A13" s="980" t="s">
        <v>349</v>
      </c>
      <c r="B13" s="1013"/>
      <c r="C13" s="1013"/>
      <c r="D13" s="1014"/>
      <c r="E13" s="1015" t="s">
        <v>8</v>
      </c>
      <c r="F13" s="1016"/>
      <c r="G13" s="1016"/>
      <c r="H13" s="1016"/>
      <c r="I13" s="1016"/>
      <c r="J13" s="1016"/>
      <c r="K13" s="1017"/>
    </row>
    <row r="14" spans="1:11" ht="13.9" customHeight="1" x14ac:dyDescent="0.25">
      <c r="A14" s="980" t="s">
        <v>59</v>
      </c>
      <c r="B14" s="1013"/>
      <c r="C14" s="1013"/>
      <c r="D14" s="1013"/>
      <c r="E14" s="1018" t="s">
        <v>9</v>
      </c>
      <c r="F14" s="1013"/>
      <c r="G14" s="1013"/>
      <c r="H14" s="1013"/>
      <c r="I14" s="1013"/>
      <c r="J14" s="1013"/>
      <c r="K14" s="1019"/>
    </row>
    <row r="15" spans="1:11" ht="15.6" customHeight="1" thickBot="1" x14ac:dyDescent="0.3">
      <c r="A15" s="1020" t="s">
        <v>366</v>
      </c>
      <c r="B15" s="1021"/>
      <c r="C15" s="1021"/>
      <c r="D15" s="1021"/>
      <c r="E15" s="1022" t="s">
        <v>307</v>
      </c>
      <c r="F15" s="1021"/>
      <c r="G15" s="1021"/>
      <c r="H15" s="1021"/>
      <c r="I15" s="1021"/>
      <c r="J15" s="1021"/>
      <c r="K15" s="1023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1024" t="s">
        <v>10</v>
      </c>
      <c r="B17" s="26"/>
      <c r="C17" s="1026" t="s">
        <v>11</v>
      </c>
      <c r="D17" s="1011"/>
      <c r="E17" s="1027"/>
      <c r="F17" s="27"/>
      <c r="G17" s="26"/>
      <c r="H17" s="1028" t="s">
        <v>12</v>
      </c>
      <c r="I17" s="1029"/>
      <c r="J17" s="1030"/>
      <c r="K17" s="28" t="s">
        <v>13</v>
      </c>
    </row>
    <row r="18" spans="1:11" ht="13.9" customHeight="1" x14ac:dyDescent="0.25">
      <c r="A18" s="1025"/>
      <c r="B18" s="29"/>
      <c r="C18" s="1031" t="s">
        <v>14</v>
      </c>
      <c r="D18" s="1032"/>
      <c r="E18" s="1031" t="s">
        <v>15</v>
      </c>
      <c r="F18" s="1032"/>
      <c r="G18" s="29"/>
      <c r="H18" s="1033" t="s">
        <v>14</v>
      </c>
      <c r="I18" s="1034"/>
      <c r="J18" s="1033" t="s">
        <v>15</v>
      </c>
      <c r="K18" s="1035"/>
    </row>
    <row r="19" spans="1:11" ht="12" customHeight="1" x14ac:dyDescent="0.25">
      <c r="A19" s="30" t="s">
        <v>16</v>
      </c>
      <c r="B19" s="1"/>
      <c r="C19" s="1036" t="s">
        <v>51</v>
      </c>
      <c r="D19" s="1037"/>
      <c r="E19" s="1037"/>
      <c r="F19" s="1038"/>
      <c r="G19" s="1"/>
      <c r="H19" s="1039" t="s">
        <v>52</v>
      </c>
      <c r="I19" s="1040"/>
      <c r="J19" s="1040"/>
      <c r="K19" s="1041"/>
    </row>
    <row r="20" spans="1:11" ht="13.15" customHeight="1" x14ac:dyDescent="0.25">
      <c r="A20" s="30" t="s">
        <v>17</v>
      </c>
      <c r="B20" s="1"/>
      <c r="C20" s="1036" t="s">
        <v>18</v>
      </c>
      <c r="D20" s="1037"/>
      <c r="E20" s="1037"/>
      <c r="F20" s="1038"/>
      <c r="G20" s="1"/>
      <c r="H20" s="1039" t="s">
        <v>18</v>
      </c>
      <c r="I20" s="1040"/>
      <c r="J20" s="1040"/>
      <c r="K20" s="1041"/>
    </row>
    <row r="21" spans="1:11" x14ac:dyDescent="0.25">
      <c r="A21" s="30" t="s">
        <v>19</v>
      </c>
      <c r="B21" s="2"/>
      <c r="C21" s="1036" t="s">
        <v>20</v>
      </c>
      <c r="D21" s="1037"/>
      <c r="E21" s="1037"/>
      <c r="F21" s="1038"/>
      <c r="G21" s="2"/>
      <c r="H21" s="1039" t="s">
        <v>21</v>
      </c>
      <c r="I21" s="1040"/>
      <c r="J21" s="1040"/>
      <c r="K21" s="1041"/>
    </row>
    <row r="22" spans="1:11" ht="13.15" customHeight="1" x14ac:dyDescent="0.25">
      <c r="A22" s="30" t="s">
        <v>22</v>
      </c>
      <c r="B22" s="3"/>
      <c r="C22" s="1042">
        <v>3</v>
      </c>
      <c r="D22" s="1043"/>
      <c r="E22" s="1043"/>
      <c r="F22" s="1044"/>
      <c r="G22" s="4"/>
      <c r="H22" s="1045">
        <v>5</v>
      </c>
      <c r="I22" s="1046"/>
      <c r="J22" s="1046"/>
      <c r="K22" s="1047"/>
    </row>
    <row r="23" spans="1:11" ht="15.75" thickBot="1" x14ac:dyDescent="0.3">
      <c r="A23" s="31" t="s">
        <v>23</v>
      </c>
      <c r="B23" s="32"/>
      <c r="C23" s="1048">
        <v>25</v>
      </c>
      <c r="D23" s="1049"/>
      <c r="E23" s="1050">
        <v>56</v>
      </c>
      <c r="F23" s="1051"/>
      <c r="G23" s="5"/>
      <c r="H23" s="1052">
        <v>25</v>
      </c>
      <c r="I23" s="1053"/>
      <c r="J23" s="1052">
        <v>56</v>
      </c>
      <c r="K23" s="1054"/>
    </row>
    <row r="24" spans="1:11" ht="16.5" thickTop="1" thickBot="1" x14ac:dyDescent="0.3">
      <c r="A24" s="33" t="s">
        <v>24</v>
      </c>
      <c r="B24" s="1055">
        <v>1</v>
      </c>
      <c r="C24" s="1056"/>
      <c r="D24" s="472"/>
      <c r="E24" s="1057" t="s">
        <v>53</v>
      </c>
      <c r="F24" s="1058"/>
      <c r="G24" s="1058"/>
      <c r="H24" s="1059"/>
      <c r="I24" s="1060">
        <v>0</v>
      </c>
      <c r="J24" s="1061"/>
      <c r="K24" s="6"/>
    </row>
    <row r="25" spans="1:11" ht="12.6" customHeight="1" thickBot="1" x14ac:dyDescent="0.3">
      <c r="A25" s="1062" t="s">
        <v>25</v>
      </c>
      <c r="B25" s="1063"/>
      <c r="C25" s="1063"/>
      <c r="D25" s="1063"/>
      <c r="E25" s="1063"/>
      <c r="F25" s="1063"/>
      <c r="G25" s="1063"/>
      <c r="H25" s="1063"/>
      <c r="I25" s="1063"/>
      <c r="J25" s="1063"/>
      <c r="K25" s="1064"/>
    </row>
    <row r="26" spans="1:11" ht="13.9" customHeight="1" thickTop="1" x14ac:dyDescent="0.25">
      <c r="A26" s="34" t="s">
        <v>26</v>
      </c>
      <c r="B26" s="1065" t="s">
        <v>306</v>
      </c>
      <c r="C26" s="1066"/>
      <c r="D26" s="1065" t="s">
        <v>306</v>
      </c>
      <c r="E26" s="1066"/>
      <c r="F26" s="1065" t="s">
        <v>306</v>
      </c>
      <c r="G26" s="1066"/>
      <c r="H26" s="1065" t="s">
        <v>306</v>
      </c>
      <c r="I26" s="1066"/>
      <c r="J26" s="1065" t="s">
        <v>306</v>
      </c>
      <c r="K26" s="1067"/>
    </row>
    <row r="27" spans="1:11" ht="13.9" customHeight="1" x14ac:dyDescent="0.25">
      <c r="A27" s="35" t="s">
        <v>54</v>
      </c>
      <c r="B27" s="1068">
        <v>4</v>
      </c>
      <c r="C27" s="1069"/>
      <c r="D27" s="1068">
        <v>6</v>
      </c>
      <c r="E27" s="1069"/>
      <c r="F27" s="1068">
        <v>8</v>
      </c>
      <c r="G27" s="1069"/>
      <c r="H27" s="1068">
        <v>10</v>
      </c>
      <c r="I27" s="1069"/>
      <c r="J27" s="1068">
        <v>12</v>
      </c>
      <c r="K27" s="1070"/>
    </row>
    <row r="28" spans="1:11" ht="10.9" customHeight="1" x14ac:dyDescent="0.25">
      <c r="A28" s="35" t="s">
        <v>27</v>
      </c>
      <c r="B28" s="1068">
        <v>4034</v>
      </c>
      <c r="C28" s="1069"/>
      <c r="D28" s="1068">
        <v>4034</v>
      </c>
      <c r="E28" s="1069"/>
      <c r="F28" s="1068">
        <v>4034</v>
      </c>
      <c r="G28" s="1069"/>
      <c r="H28" s="1068">
        <v>4034</v>
      </c>
      <c r="I28" s="1069"/>
      <c r="J28" s="1068">
        <v>4034</v>
      </c>
      <c r="K28" s="1070"/>
    </row>
    <row r="29" spans="1:11" ht="13.9" customHeight="1" x14ac:dyDescent="0.25">
      <c r="A29" s="35" t="s">
        <v>28</v>
      </c>
      <c r="B29" s="1068">
        <v>5801</v>
      </c>
      <c r="C29" s="1069"/>
      <c r="D29" s="1068">
        <v>5876</v>
      </c>
      <c r="E29" s="1069"/>
      <c r="F29" s="1068">
        <v>5916</v>
      </c>
      <c r="G29" s="1069"/>
      <c r="H29" s="1068">
        <v>5910</v>
      </c>
      <c r="I29" s="1069"/>
      <c r="J29" s="1068">
        <v>5889</v>
      </c>
      <c r="K29" s="1070"/>
    </row>
    <row r="30" spans="1:11" ht="12" customHeight="1" x14ac:dyDescent="0.25">
      <c r="A30" s="36" t="s">
        <v>29</v>
      </c>
      <c r="B30" s="1068">
        <f>B29-B28</f>
        <v>1767</v>
      </c>
      <c r="C30" s="1069"/>
      <c r="D30" s="1068">
        <f>D29-D28</f>
        <v>1842</v>
      </c>
      <c r="E30" s="1069"/>
      <c r="F30" s="1068">
        <f>F29-F28</f>
        <v>1882</v>
      </c>
      <c r="G30" s="1069"/>
      <c r="H30" s="1068">
        <f>H29-H28</f>
        <v>1876</v>
      </c>
      <c r="I30" s="1069"/>
      <c r="J30" s="1068">
        <f>J29-J28</f>
        <v>1855</v>
      </c>
      <c r="K30" s="1070"/>
    </row>
    <row r="31" spans="1:11" ht="12.6" customHeight="1" x14ac:dyDescent="0.25">
      <c r="A31" s="37" t="s">
        <v>30</v>
      </c>
      <c r="B31" s="1074">
        <v>947</v>
      </c>
      <c r="C31" s="1075"/>
      <c r="D31" s="1074">
        <v>947</v>
      </c>
      <c r="E31" s="1075"/>
      <c r="F31" s="1068">
        <v>947</v>
      </c>
      <c r="G31" s="1069"/>
      <c r="H31" s="1068">
        <v>947</v>
      </c>
      <c r="I31" s="1069"/>
      <c r="J31" s="1068">
        <v>947</v>
      </c>
      <c r="K31" s="1070"/>
    </row>
    <row r="32" spans="1:11" ht="13.9" customHeight="1" x14ac:dyDescent="0.25">
      <c r="A32" s="38" t="s">
        <v>31</v>
      </c>
      <c r="B32" s="1076">
        <f>B30*1/B31</f>
        <v>1.8658922914466738</v>
      </c>
      <c r="C32" s="1077"/>
      <c r="D32" s="1076">
        <f>D30*1/D31</f>
        <v>1.9450897571277719</v>
      </c>
      <c r="E32" s="1077"/>
      <c r="F32" s="1078">
        <f>F30*1/F31</f>
        <v>1.9873284054910243</v>
      </c>
      <c r="G32" s="1079"/>
      <c r="H32" s="1078">
        <f>H30*1/H31</f>
        <v>1.9809926082365363</v>
      </c>
      <c r="I32" s="1079"/>
      <c r="J32" s="1078">
        <f>J30*1/J31</f>
        <v>1.958817317845829</v>
      </c>
      <c r="K32" s="1080"/>
    </row>
    <row r="33" spans="1:11" ht="12" customHeight="1" thickBot="1" x14ac:dyDescent="0.3">
      <c r="A33" s="39" t="s">
        <v>32</v>
      </c>
      <c r="B33" s="604">
        <f>(B32)*100/(100+B41)</f>
        <v>1.7920165578952847</v>
      </c>
      <c r="C33" s="620"/>
      <c r="D33" s="604">
        <f>(D32)*100/(100+D41)</f>
        <v>1.8337243342757841</v>
      </c>
      <c r="E33" s="620"/>
      <c r="F33" s="604">
        <f>(F32)*100/(100+F41)</f>
        <v>1.8349449916291107</v>
      </c>
      <c r="G33" s="620"/>
      <c r="H33" s="604">
        <f>(H32)*100/(100+H41)</f>
        <v>1.7985060538385576</v>
      </c>
      <c r="I33" s="620"/>
      <c r="J33" s="604">
        <f>(J32)*100/(100+J41)</f>
        <v>1.7499450035819022</v>
      </c>
      <c r="K33" s="1081"/>
    </row>
    <row r="34" spans="1:11" ht="11.45" customHeight="1" thickTop="1" thickBot="1" x14ac:dyDescent="0.3">
      <c r="A34" s="1071" t="s">
        <v>33</v>
      </c>
      <c r="B34" s="1072"/>
      <c r="C34" s="1072"/>
      <c r="D34" s="1072"/>
      <c r="E34" s="1072"/>
      <c r="F34" s="1072"/>
      <c r="G34" s="1072"/>
      <c r="H34" s="1072"/>
      <c r="I34" s="1072"/>
      <c r="J34" s="1072"/>
      <c r="K34" s="1073"/>
    </row>
    <row r="35" spans="1:11" ht="15.75" thickTop="1" x14ac:dyDescent="0.25">
      <c r="A35" s="40" t="s">
        <v>34</v>
      </c>
      <c r="B35" s="41" t="s">
        <v>316</v>
      </c>
      <c r="C35" s="42" t="s">
        <v>317</v>
      </c>
      <c r="D35" s="41" t="s">
        <v>316</v>
      </c>
      <c r="E35" s="42" t="s">
        <v>317</v>
      </c>
      <c r="F35" s="41" t="s">
        <v>318</v>
      </c>
      <c r="G35" s="42" t="s">
        <v>319</v>
      </c>
      <c r="H35" s="41" t="s">
        <v>320</v>
      </c>
      <c r="I35" s="42" t="s">
        <v>321</v>
      </c>
      <c r="J35" s="41" t="s">
        <v>322</v>
      </c>
      <c r="K35" s="517" t="s">
        <v>268</v>
      </c>
    </row>
    <row r="36" spans="1:11" ht="16.149999999999999" customHeight="1" x14ac:dyDescent="0.25">
      <c r="A36" s="43" t="s">
        <v>35</v>
      </c>
      <c r="B36" s="44">
        <v>15.7</v>
      </c>
      <c r="C36" s="45">
        <v>34.700000000000003</v>
      </c>
      <c r="D36" s="44">
        <v>15.7</v>
      </c>
      <c r="E36" s="45">
        <v>34.700000000000003</v>
      </c>
      <c r="F36" s="44">
        <v>35.5</v>
      </c>
      <c r="G36" s="45">
        <v>34.700000000000003</v>
      </c>
      <c r="H36" s="44">
        <v>23.2</v>
      </c>
      <c r="I36" s="45">
        <v>15.3</v>
      </c>
      <c r="J36" s="44">
        <v>33.4</v>
      </c>
      <c r="K36" s="518">
        <v>24.2</v>
      </c>
    </row>
    <row r="37" spans="1:11" ht="16.899999999999999" customHeight="1" x14ac:dyDescent="0.25">
      <c r="A37" s="43" t="s">
        <v>36</v>
      </c>
      <c r="B37" s="44">
        <v>174.4</v>
      </c>
      <c r="C37" s="45">
        <v>258.60000000000002</v>
      </c>
      <c r="D37" s="44">
        <v>174.4</v>
      </c>
      <c r="E37" s="45">
        <v>258.60000000000002</v>
      </c>
      <c r="F37" s="44">
        <v>213.4</v>
      </c>
      <c r="G37" s="45">
        <v>232.2</v>
      </c>
      <c r="H37" s="44">
        <v>167.8</v>
      </c>
      <c r="I37" s="45">
        <v>143.19999999999999</v>
      </c>
      <c r="J37" s="44">
        <v>264.8</v>
      </c>
      <c r="K37" s="518">
        <v>270.10000000000002</v>
      </c>
    </row>
    <row r="38" spans="1:11" ht="16.149999999999999" customHeight="1" x14ac:dyDescent="0.25">
      <c r="A38" s="43" t="s">
        <v>37</v>
      </c>
      <c r="B38" s="44">
        <v>168</v>
      </c>
      <c r="C38" s="45">
        <v>249.9</v>
      </c>
      <c r="D38" s="44">
        <v>165.3</v>
      </c>
      <c r="E38" s="45">
        <v>245.8</v>
      </c>
      <c r="F38" s="44">
        <v>199.9</v>
      </c>
      <c r="G38" s="45">
        <v>216.9</v>
      </c>
      <c r="H38" s="44">
        <v>154.5</v>
      </c>
      <c r="I38" s="45">
        <v>131.4</v>
      </c>
      <c r="J38" s="44">
        <v>240.2</v>
      </c>
      <c r="K38" s="518">
        <v>243.8</v>
      </c>
    </row>
    <row r="39" spans="1:11" x14ac:dyDescent="0.25">
      <c r="A39" s="46" t="s">
        <v>38</v>
      </c>
      <c r="B39" s="44">
        <f>B38-B36</f>
        <v>152.30000000000001</v>
      </c>
      <c r="C39" s="45">
        <f>C38-C36</f>
        <v>215.2</v>
      </c>
      <c r="D39" s="44">
        <f>D38-D36</f>
        <v>149.60000000000002</v>
      </c>
      <c r="E39" s="45">
        <f>E38-E36</f>
        <v>211.10000000000002</v>
      </c>
      <c r="F39" s="44">
        <f t="shared" ref="F39:G39" si="0">F38-F36</f>
        <v>164.4</v>
      </c>
      <c r="G39" s="45">
        <f t="shared" si="0"/>
        <v>182.2</v>
      </c>
      <c r="H39" s="44">
        <f t="shared" ref="H39:I39" si="1">H38-H36</f>
        <v>131.30000000000001</v>
      </c>
      <c r="I39" s="45">
        <f t="shared" si="1"/>
        <v>116.10000000000001</v>
      </c>
      <c r="J39" s="44">
        <f t="shared" ref="J39:K39" si="2">J38-J36</f>
        <v>206.79999999999998</v>
      </c>
      <c r="K39" s="518">
        <f t="shared" si="2"/>
        <v>219.60000000000002</v>
      </c>
    </row>
    <row r="40" spans="1:11" x14ac:dyDescent="0.25">
      <c r="A40" s="46" t="s">
        <v>39</v>
      </c>
      <c r="B40" s="47">
        <f>((B37)-(B38))*100/B39</f>
        <v>4.2022324359816183</v>
      </c>
      <c r="C40" s="48">
        <f>((C37)-(C38))*100/C39</f>
        <v>4.0427509293680375</v>
      </c>
      <c r="D40" s="47">
        <f>((D37)-(D38))*100/D39</f>
        <v>6.082887700534755</v>
      </c>
      <c r="E40" s="48">
        <f>((E37)-(E38))*100/E39</f>
        <v>6.0634770251065895</v>
      </c>
      <c r="F40" s="47">
        <f t="shared" ref="F40:G40" si="3">((F37)-(F38))*100/F39</f>
        <v>8.2116788321167888</v>
      </c>
      <c r="G40" s="48">
        <f t="shared" si="3"/>
        <v>8.397365532381988</v>
      </c>
      <c r="H40" s="47">
        <f t="shared" ref="H40:I40" si="4">((H37)-(H38))*100/H39</f>
        <v>10.129474485910137</v>
      </c>
      <c r="I40" s="48">
        <f t="shared" si="4"/>
        <v>10.163652024117123</v>
      </c>
      <c r="J40" s="47">
        <f t="shared" ref="J40:K40" si="5">((J37)-(J38))*100/J39</f>
        <v>11.895551257253397</v>
      </c>
      <c r="K40" s="519">
        <f t="shared" si="5"/>
        <v>11.976320582877962</v>
      </c>
    </row>
    <row r="41" spans="1:11" ht="13.9" customHeight="1" thickBot="1" x14ac:dyDescent="0.3">
      <c r="A41" s="49" t="s">
        <v>40</v>
      </c>
      <c r="B41" s="606">
        <f>AVERAGE(B40:C40)</f>
        <v>4.1224916826748279</v>
      </c>
      <c r="C41" s="606"/>
      <c r="D41" s="606">
        <f>AVERAGE(D40:E40)</f>
        <v>6.0731823628206723</v>
      </c>
      <c r="E41" s="606"/>
      <c r="F41" s="606">
        <f>AVERAGE(F40:G40)</f>
        <v>8.3045221822493893</v>
      </c>
      <c r="G41" s="606"/>
      <c r="H41" s="606">
        <f>AVERAGE(H40:I40)</f>
        <v>10.14656325501363</v>
      </c>
      <c r="I41" s="606"/>
      <c r="J41" s="606">
        <f>AVERAGE(J40:K40)</f>
        <v>11.935935920065679</v>
      </c>
      <c r="K41" s="1094"/>
    </row>
    <row r="42" spans="1:11" ht="4.1500000000000004" customHeight="1" x14ac:dyDescent="0.25">
      <c r="A42" s="50"/>
      <c r="B42" s="51"/>
      <c r="C42" s="51"/>
      <c r="D42" s="51"/>
      <c r="E42" s="51"/>
      <c r="F42" s="51"/>
      <c r="G42" s="51"/>
      <c r="H42" s="51"/>
      <c r="I42" s="51"/>
      <c r="J42" s="51"/>
      <c r="K42" s="51"/>
    </row>
    <row r="43" spans="1:11" ht="11.45" customHeight="1" x14ac:dyDescent="0.25">
      <c r="A43" s="52" t="s">
        <v>55</v>
      </c>
      <c r="B43" s="1082">
        <f>O52</f>
        <v>1.8420000000000001</v>
      </c>
      <c r="C43" s="1083"/>
      <c r="D43" s="51"/>
      <c r="E43" s="51"/>
      <c r="F43" s="1084" t="s">
        <v>41</v>
      </c>
      <c r="G43" s="1085"/>
      <c r="H43" s="1086"/>
      <c r="I43" s="1090">
        <f>B43</f>
        <v>1.8420000000000001</v>
      </c>
      <c r="J43" s="1091"/>
      <c r="K43" s="51" t="s">
        <v>42</v>
      </c>
    </row>
    <row r="44" spans="1:11" ht="13.9" customHeight="1" x14ac:dyDescent="0.25">
      <c r="A44" s="52" t="s">
        <v>43</v>
      </c>
      <c r="B44" s="1082">
        <f>N52</f>
        <v>7.3</v>
      </c>
      <c r="C44" s="1083"/>
      <c r="D44" s="51"/>
      <c r="E44" s="51"/>
      <c r="F44" s="1087"/>
      <c r="G44" s="1088"/>
      <c r="H44" s="1089"/>
      <c r="I44" s="1092">
        <f>B44</f>
        <v>7.3</v>
      </c>
      <c r="J44" s="1093"/>
      <c r="K44" s="51" t="s">
        <v>44</v>
      </c>
    </row>
    <row r="45" spans="1:11" ht="24" customHeight="1" x14ac:dyDescent="0.2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1" ht="7.9" customHeight="1" x14ac:dyDescent="0.2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x14ac:dyDescent="0.2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1" ht="11.45" customHeight="1" x14ac:dyDescent="0.2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5" x14ac:dyDescent="0.2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5" ht="6" customHeight="1" x14ac:dyDescent="0.2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5" x14ac:dyDescent="0.2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7.3</v>
      </c>
      <c r="O52" s="9">
        <v>1.8420000000000001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f>N52</f>
        <v>7.3</v>
      </c>
      <c r="O53" s="9">
        <v>1.78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f>O52</f>
        <v>1.8420000000000001</v>
      </c>
      <c r="O55" s="9">
        <f>N52</f>
        <v>7.3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f>N55</f>
        <v>1.8420000000000001</v>
      </c>
      <c r="O56" s="9">
        <v>4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B41:C41"/>
    <mergeCell ref="D41:E41"/>
    <mergeCell ref="F41:G41"/>
    <mergeCell ref="H41:I41"/>
    <mergeCell ref="J41:K41"/>
    <mergeCell ref="B43:C43"/>
    <mergeCell ref="F43:H44"/>
    <mergeCell ref="I43:J43"/>
    <mergeCell ref="B44:C44"/>
    <mergeCell ref="I44:J44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C22:F22"/>
    <mergeCell ref="H22:K22"/>
    <mergeCell ref="C23:D23"/>
    <mergeCell ref="E23:F23"/>
    <mergeCell ref="H23:I23"/>
    <mergeCell ref="J23:K23"/>
    <mergeCell ref="C19:F19"/>
    <mergeCell ref="H19:K19"/>
    <mergeCell ref="C20:F20"/>
    <mergeCell ref="H20:K20"/>
    <mergeCell ref="C21:F21"/>
    <mergeCell ref="H21:K21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A12:D12"/>
    <mergeCell ref="E12:K12"/>
    <mergeCell ref="A13:D13"/>
    <mergeCell ref="E13:K13"/>
    <mergeCell ref="A14:D14"/>
    <mergeCell ref="E14:K14"/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53"/>
  <sheetViews>
    <sheetView topLeftCell="A38" zoomScale="160" zoomScaleNormal="160" workbookViewId="0">
      <selection activeCell="S9" sqref="S9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4"/>
      <c r="B1" s="55"/>
      <c r="C1" s="55"/>
      <c r="D1" s="55"/>
      <c r="E1" s="56"/>
      <c r="F1" s="57"/>
      <c r="G1" s="1204" t="s">
        <v>60</v>
      </c>
      <c r="H1" s="1205"/>
      <c r="I1" s="1205"/>
      <c r="J1" s="1205"/>
      <c r="K1" s="1205"/>
      <c r="L1" s="1206"/>
      <c r="M1" s="58"/>
      <c r="N1" s="1210" t="s">
        <v>61</v>
      </c>
      <c r="O1" s="1211"/>
      <c r="P1" s="1211"/>
      <c r="Q1" s="1212"/>
      <c r="R1" s="57"/>
    </row>
    <row r="2" spans="1:18" ht="20.45" customHeight="1" thickBot="1" x14ac:dyDescent="0.3">
      <c r="A2" s="59"/>
      <c r="B2" s="60"/>
      <c r="C2" s="60"/>
      <c r="D2" s="60"/>
      <c r="E2" s="61"/>
      <c r="F2" s="62"/>
      <c r="G2" s="1207"/>
      <c r="H2" s="1208"/>
      <c r="I2" s="1208"/>
      <c r="J2" s="1208"/>
      <c r="K2" s="1208"/>
      <c r="L2" s="1209"/>
      <c r="M2" s="63"/>
      <c r="N2" s="1213" t="s">
        <v>312</v>
      </c>
      <c r="O2" s="1214"/>
      <c r="P2" s="1214"/>
      <c r="Q2" s="1215"/>
      <c r="R2" s="62"/>
    </row>
    <row r="3" spans="1:18" ht="12" customHeight="1" thickBot="1" x14ac:dyDescent="0.3">
      <c r="A3" s="59"/>
      <c r="B3" s="60"/>
      <c r="C3" s="60"/>
      <c r="D3" s="64"/>
      <c r="E3" s="65"/>
      <c r="F3" s="66"/>
      <c r="G3" s="1216" t="s">
        <v>62</v>
      </c>
      <c r="H3" s="1217"/>
      <c r="I3" s="1217"/>
      <c r="J3" s="1217"/>
      <c r="K3" s="1217"/>
      <c r="L3" s="1218"/>
      <c r="M3" s="60"/>
      <c r="N3" s="67"/>
      <c r="O3" s="67"/>
      <c r="P3" s="67"/>
      <c r="Q3" s="68"/>
      <c r="R3" s="62"/>
    </row>
    <row r="4" spans="1:18" ht="15.75" thickBot="1" x14ac:dyDescent="0.3">
      <c r="A4" s="1196" t="s">
        <v>63</v>
      </c>
      <c r="B4" s="1191"/>
      <c r="C4" s="1192"/>
      <c r="D4" s="1219" t="s">
        <v>359</v>
      </c>
      <c r="E4" s="1220"/>
      <c r="F4" s="1220"/>
      <c r="G4" s="1220"/>
      <c r="H4" s="1220"/>
      <c r="I4" s="1221"/>
      <c r="J4" s="1191" t="s">
        <v>64</v>
      </c>
      <c r="K4" s="1191"/>
      <c r="L4" s="1191"/>
      <c r="M4" s="1192"/>
      <c r="N4" s="1222"/>
      <c r="O4" s="1220"/>
      <c r="P4" s="1220"/>
      <c r="Q4" s="1221"/>
      <c r="R4" s="69"/>
    </row>
    <row r="5" spans="1:18" ht="15.75" thickBot="1" x14ac:dyDescent="0.3">
      <c r="A5" s="1196" t="s">
        <v>65</v>
      </c>
      <c r="B5" s="1191"/>
      <c r="C5" s="1192"/>
      <c r="D5" s="1197"/>
      <c r="E5" s="1198"/>
      <c r="F5" s="1198"/>
      <c r="G5" s="1198"/>
      <c r="H5" s="1198"/>
      <c r="I5" s="1199"/>
      <c r="J5" s="1191" t="s">
        <v>66</v>
      </c>
      <c r="K5" s="1191"/>
      <c r="L5" s="1191"/>
      <c r="M5" s="1192"/>
      <c r="N5" s="1200" t="s">
        <v>361</v>
      </c>
      <c r="O5" s="1201"/>
      <c r="P5" s="1201"/>
      <c r="Q5" s="1202"/>
      <c r="R5" s="69"/>
    </row>
    <row r="6" spans="1:18" ht="12.6" customHeight="1" thickBot="1" x14ac:dyDescent="0.3">
      <c r="A6" s="1196" t="s">
        <v>67</v>
      </c>
      <c r="B6" s="1191"/>
      <c r="C6" s="1192"/>
      <c r="D6" s="1203"/>
      <c r="E6" s="1198"/>
      <c r="F6" s="1198"/>
      <c r="G6" s="1198"/>
      <c r="H6" s="1198"/>
      <c r="I6" s="1199"/>
      <c r="J6" s="1191" t="s">
        <v>68</v>
      </c>
      <c r="K6" s="1191"/>
      <c r="L6" s="1191"/>
      <c r="M6" s="1192"/>
      <c r="N6" s="1203"/>
      <c r="O6" s="1198"/>
      <c r="P6" s="1198"/>
      <c r="Q6" s="1199"/>
      <c r="R6" s="69"/>
    </row>
    <row r="7" spans="1:18" ht="12.6" customHeight="1" thickBot="1" x14ac:dyDescent="0.3">
      <c r="A7" s="1196" t="s">
        <v>69</v>
      </c>
      <c r="B7" s="1191"/>
      <c r="C7" s="1191"/>
      <c r="D7" s="1222" t="s">
        <v>360</v>
      </c>
      <c r="E7" s="1223"/>
      <c r="F7" s="1223"/>
      <c r="G7" s="1223"/>
      <c r="H7" s="1223"/>
      <c r="I7" s="1224"/>
      <c r="J7" s="1191" t="s">
        <v>70</v>
      </c>
      <c r="K7" s="1191"/>
      <c r="L7" s="1191"/>
      <c r="M7" s="1192"/>
      <c r="N7" s="1225"/>
      <c r="O7" s="1198"/>
      <c r="P7" s="1198"/>
      <c r="Q7" s="1199"/>
      <c r="R7" s="69"/>
    </row>
    <row r="8" spans="1:18" ht="13.15" customHeight="1" thickBot="1" x14ac:dyDescent="0.3">
      <c r="A8" s="70"/>
      <c r="B8" s="71"/>
      <c r="C8" s="71"/>
      <c r="D8" s="71"/>
      <c r="E8" s="71"/>
      <c r="F8" s="72"/>
      <c r="G8" s="72"/>
      <c r="H8" s="72"/>
      <c r="I8" s="72"/>
      <c r="J8" s="1191" t="s">
        <v>71</v>
      </c>
      <c r="K8" s="1191"/>
      <c r="L8" s="1191"/>
      <c r="M8" s="1192"/>
      <c r="N8" s="1193" t="s">
        <v>362</v>
      </c>
      <c r="O8" s="1194"/>
      <c r="P8" s="1194"/>
      <c r="Q8" s="1195"/>
      <c r="R8" s="69"/>
    </row>
    <row r="9" spans="1:18" ht="15.75" thickBot="1" x14ac:dyDescent="0.3">
      <c r="A9" s="1171" t="s">
        <v>72</v>
      </c>
      <c r="B9" s="1174" t="s">
        <v>73</v>
      </c>
      <c r="C9" s="1175"/>
      <c r="D9" s="1176"/>
      <c r="E9" s="73"/>
      <c r="F9" s="74"/>
      <c r="G9" s="75"/>
      <c r="H9" s="1177" t="s">
        <v>74</v>
      </c>
      <c r="I9" s="1166" t="s">
        <v>75</v>
      </c>
      <c r="J9" s="1167"/>
      <c r="K9" s="73" t="s">
        <v>76</v>
      </c>
      <c r="L9" s="75"/>
      <c r="M9" s="1179" t="s">
        <v>77</v>
      </c>
      <c r="N9" s="1180"/>
      <c r="O9" s="1166" t="s">
        <v>78</v>
      </c>
      <c r="P9" s="1167"/>
      <c r="Q9" s="76" t="s">
        <v>76</v>
      </c>
      <c r="R9" s="69"/>
    </row>
    <row r="10" spans="1:18" ht="19.149999999999999" customHeight="1" thickBot="1" x14ac:dyDescent="0.3">
      <c r="A10" s="1172"/>
      <c r="B10" s="1166" t="s">
        <v>79</v>
      </c>
      <c r="C10" s="1185"/>
      <c r="D10" s="1167"/>
      <c r="E10" s="77" t="s">
        <v>76</v>
      </c>
      <c r="F10" s="74"/>
      <c r="G10" s="75"/>
      <c r="H10" s="1178"/>
      <c r="I10" s="1186" t="s">
        <v>80</v>
      </c>
      <c r="J10" s="1187"/>
      <c r="K10" s="77">
        <v>2</v>
      </c>
      <c r="L10" s="75"/>
      <c r="M10" s="1181"/>
      <c r="N10" s="1182"/>
      <c r="O10" s="1166" t="s">
        <v>81</v>
      </c>
      <c r="P10" s="1167"/>
      <c r="Q10" s="78"/>
      <c r="R10" s="69"/>
    </row>
    <row r="11" spans="1:18" ht="12" customHeight="1" thickBot="1" x14ac:dyDescent="0.3">
      <c r="A11" s="1172"/>
      <c r="B11" s="1188" t="s">
        <v>82</v>
      </c>
      <c r="C11" s="1189"/>
      <c r="D11" s="1190"/>
      <c r="E11" s="79"/>
      <c r="F11" s="74"/>
      <c r="G11" s="74"/>
      <c r="H11" s="80"/>
      <c r="I11" s="1160"/>
      <c r="J11" s="1160"/>
      <c r="K11" s="80"/>
      <c r="L11" s="75"/>
      <c r="M11" s="1183"/>
      <c r="N11" s="1184"/>
      <c r="O11" s="81" t="s">
        <v>83</v>
      </c>
      <c r="P11" s="1161" t="s">
        <v>84</v>
      </c>
      <c r="Q11" s="1162"/>
      <c r="R11" s="69"/>
    </row>
    <row r="12" spans="1:18" ht="15.75" thickBot="1" x14ac:dyDescent="0.3">
      <c r="A12" s="1173"/>
      <c r="B12" s="1163" t="s">
        <v>85</v>
      </c>
      <c r="C12" s="1164"/>
      <c r="D12" s="1165"/>
      <c r="E12" s="82" t="s">
        <v>86</v>
      </c>
      <c r="F12" s="74"/>
      <c r="G12" s="75"/>
      <c r="H12" s="1166" t="s">
        <v>87</v>
      </c>
      <c r="I12" s="1167"/>
      <c r="J12" s="307">
        <f>'Proctor '!B43</f>
        <v>1.8420000000000001</v>
      </c>
      <c r="K12" s="83" t="s">
        <v>88</v>
      </c>
      <c r="L12" s="75"/>
      <c r="M12" s="1168" t="s">
        <v>89</v>
      </c>
      <c r="N12" s="1169"/>
      <c r="O12" s="1170"/>
      <c r="P12" s="309">
        <f>J12</f>
        <v>1.8420000000000001</v>
      </c>
      <c r="Q12" s="84" t="s">
        <v>90</v>
      </c>
      <c r="R12" s="69"/>
    </row>
    <row r="13" spans="1:18" ht="13.9" customHeight="1" thickBot="1" x14ac:dyDescent="0.3">
      <c r="A13" s="85"/>
      <c r="B13" s="74"/>
      <c r="C13" s="74"/>
      <c r="D13" s="74"/>
      <c r="E13" s="74"/>
      <c r="F13" s="74"/>
      <c r="G13" s="75"/>
      <c r="H13" s="1163" t="s">
        <v>91</v>
      </c>
      <c r="I13" s="1165"/>
      <c r="J13" s="308">
        <f>'Proctor '!B44</f>
        <v>7.3</v>
      </c>
      <c r="K13" s="83" t="s">
        <v>44</v>
      </c>
      <c r="L13" s="74"/>
      <c r="M13" s="1166" t="s">
        <v>92</v>
      </c>
      <c r="N13" s="1167"/>
      <c r="O13" s="86"/>
      <c r="P13" s="87" t="s">
        <v>93</v>
      </c>
      <c r="Q13" s="82" t="s">
        <v>76</v>
      </c>
      <c r="R13" s="69"/>
    </row>
    <row r="14" spans="1:18" ht="12" customHeight="1" thickBot="1" x14ac:dyDescent="0.3">
      <c r="A14" s="1146" t="s">
        <v>94</v>
      </c>
      <c r="B14" s="1147"/>
      <c r="C14" s="1147"/>
      <c r="D14" s="1147"/>
      <c r="E14" s="1147"/>
      <c r="F14" s="1147"/>
      <c r="G14" s="1147"/>
      <c r="H14" s="1147"/>
      <c r="I14" s="1147"/>
      <c r="J14" s="1147"/>
      <c r="K14" s="1147"/>
      <c r="L14" s="1147"/>
      <c r="M14" s="1147"/>
      <c r="N14" s="1147"/>
      <c r="O14" s="1147"/>
      <c r="P14" s="1147"/>
      <c r="Q14" s="1147"/>
      <c r="R14" s="1148"/>
    </row>
    <row r="15" spans="1:18" ht="15.75" thickBot="1" x14ac:dyDescent="0.3">
      <c r="A15" s="1149" t="s">
        <v>95</v>
      </c>
      <c r="B15" s="1150"/>
      <c r="C15" s="1150"/>
      <c r="D15" s="1150"/>
      <c r="E15" s="1150"/>
      <c r="F15" s="1150"/>
      <c r="G15" s="1150"/>
      <c r="H15" s="1150"/>
      <c r="I15" s="1150"/>
      <c r="J15" s="1150"/>
      <c r="K15" s="1149" t="s">
        <v>96</v>
      </c>
      <c r="L15" s="1150"/>
      <c r="M15" s="1150"/>
      <c r="N15" s="1150"/>
      <c r="O15" s="1150"/>
      <c r="P15" s="1150"/>
      <c r="Q15" s="1150"/>
      <c r="R15" s="1151"/>
    </row>
    <row r="16" spans="1:18" x14ac:dyDescent="0.25">
      <c r="A16" s="1152" t="s">
        <v>97</v>
      </c>
      <c r="B16" s="1153"/>
      <c r="C16" s="1154">
        <v>56</v>
      </c>
      <c r="D16" s="1155"/>
      <c r="E16" s="1156">
        <v>25</v>
      </c>
      <c r="F16" s="1157"/>
      <c r="G16" s="1154">
        <v>10</v>
      </c>
      <c r="H16" s="1155"/>
      <c r="I16" s="88"/>
      <c r="J16" s="1153" t="s">
        <v>98</v>
      </c>
      <c r="K16" s="1153"/>
      <c r="L16" s="1153"/>
      <c r="M16" s="1158" t="s">
        <v>99</v>
      </c>
      <c r="N16" s="1158"/>
      <c r="O16" s="1158"/>
      <c r="P16" s="1153" t="s">
        <v>100</v>
      </c>
      <c r="Q16" s="1153"/>
      <c r="R16" s="1159"/>
    </row>
    <row r="17" spans="1:18" ht="18.75" thickBot="1" x14ac:dyDescent="0.3">
      <c r="A17" s="1144" t="s">
        <v>101</v>
      </c>
      <c r="B17" s="1145"/>
      <c r="C17" s="89">
        <v>1</v>
      </c>
      <c r="D17" s="89">
        <v>2</v>
      </c>
      <c r="E17" s="90">
        <v>1</v>
      </c>
      <c r="F17" s="90">
        <v>2</v>
      </c>
      <c r="G17" s="89">
        <v>1</v>
      </c>
      <c r="H17" s="89">
        <v>2</v>
      </c>
      <c r="I17" s="91"/>
      <c r="J17" s="92" t="s">
        <v>102</v>
      </c>
      <c r="K17" s="93" t="s">
        <v>103</v>
      </c>
      <c r="L17" s="93" t="s">
        <v>104</v>
      </c>
      <c r="M17" s="93" t="s">
        <v>102</v>
      </c>
      <c r="N17" s="93" t="s">
        <v>103</v>
      </c>
      <c r="O17" s="93" t="s">
        <v>104</v>
      </c>
      <c r="P17" s="93" t="s">
        <v>102</v>
      </c>
      <c r="Q17" s="93" t="s">
        <v>103</v>
      </c>
      <c r="R17" s="94" t="s">
        <v>104</v>
      </c>
    </row>
    <row r="18" spans="1:18" x14ac:dyDescent="0.25">
      <c r="A18" s="1128" t="s">
        <v>105</v>
      </c>
      <c r="B18" s="1129"/>
      <c r="C18" s="95">
        <v>38</v>
      </c>
      <c r="D18" s="96">
        <v>15</v>
      </c>
      <c r="E18" s="95" t="s">
        <v>352</v>
      </c>
      <c r="F18" s="96" t="s">
        <v>353</v>
      </c>
      <c r="G18" s="96" t="s">
        <v>354</v>
      </c>
      <c r="H18" s="96" t="s">
        <v>355</v>
      </c>
      <c r="I18" s="97"/>
      <c r="J18" s="98">
        <v>0</v>
      </c>
      <c r="K18" s="464">
        <v>0</v>
      </c>
      <c r="L18" s="463">
        <v>0</v>
      </c>
      <c r="M18" s="89">
        <v>0</v>
      </c>
      <c r="N18" s="464">
        <v>0</v>
      </c>
      <c r="O18" s="463">
        <v>0</v>
      </c>
      <c r="P18" s="89">
        <v>0</v>
      </c>
      <c r="Q18" s="466">
        <v>0</v>
      </c>
      <c r="R18" s="463">
        <v>0</v>
      </c>
    </row>
    <row r="19" spans="1:18" x14ac:dyDescent="0.25">
      <c r="A19" s="1128" t="s">
        <v>106</v>
      </c>
      <c r="B19" s="1129"/>
      <c r="C19" s="99">
        <v>36.799999999999997</v>
      </c>
      <c r="D19" s="100">
        <v>35</v>
      </c>
      <c r="E19" s="99">
        <v>33.299999999999997</v>
      </c>
      <c r="F19" s="100">
        <v>33.1</v>
      </c>
      <c r="G19" s="100">
        <v>34.9</v>
      </c>
      <c r="H19" s="100">
        <v>23.4</v>
      </c>
      <c r="I19" s="101"/>
      <c r="J19" s="102">
        <v>0.5</v>
      </c>
      <c r="K19" s="125">
        <v>0.4</v>
      </c>
      <c r="L19" s="463">
        <f t="shared" ref="L19:L26" si="0">((K19*9.8977)-0.3056)*10</f>
        <v>36.534800000000004</v>
      </c>
      <c r="M19" s="103">
        <v>0.5</v>
      </c>
      <c r="N19" s="125">
        <v>0.22</v>
      </c>
      <c r="O19" s="463">
        <f t="shared" ref="O19:O26" si="1">((N19*9.8977)-0.3056)*10</f>
        <v>18.718940000000003</v>
      </c>
      <c r="P19" s="103">
        <v>0.5</v>
      </c>
      <c r="Q19" s="467">
        <v>0.1</v>
      </c>
      <c r="R19" s="463">
        <f t="shared" ref="R19:R26" si="2">((Q19*9.8977)-0.3056)*10</f>
        <v>6.8417000000000003</v>
      </c>
    </row>
    <row r="20" spans="1:18" x14ac:dyDescent="0.25">
      <c r="A20" s="1128" t="s">
        <v>107</v>
      </c>
      <c r="B20" s="1129"/>
      <c r="C20" s="95">
        <v>209.4</v>
      </c>
      <c r="D20" s="104">
        <v>199.6</v>
      </c>
      <c r="E20" s="95">
        <v>209.6</v>
      </c>
      <c r="F20" s="100">
        <v>227.6</v>
      </c>
      <c r="G20" s="96">
        <v>222.3</v>
      </c>
      <c r="H20" s="96">
        <v>173.2</v>
      </c>
      <c r="I20" s="97"/>
      <c r="J20" s="105">
        <v>1</v>
      </c>
      <c r="K20" s="125">
        <v>0.85</v>
      </c>
      <c r="L20" s="463">
        <f t="shared" si="0"/>
        <v>81.074449999999999</v>
      </c>
      <c r="M20" s="90">
        <v>1</v>
      </c>
      <c r="N20" s="125">
        <v>0.44</v>
      </c>
      <c r="O20" s="463">
        <f t="shared" si="1"/>
        <v>40.493880000000004</v>
      </c>
      <c r="P20" s="90">
        <v>1</v>
      </c>
      <c r="Q20" s="467">
        <v>0.28000000000000003</v>
      </c>
      <c r="R20" s="463">
        <f t="shared" si="2"/>
        <v>24.657560000000004</v>
      </c>
    </row>
    <row r="21" spans="1:18" x14ac:dyDescent="0.25">
      <c r="A21" s="1128" t="s">
        <v>108</v>
      </c>
      <c r="B21" s="1129"/>
      <c r="C21" s="95">
        <v>197.7</v>
      </c>
      <c r="D21" s="96">
        <v>188.4</v>
      </c>
      <c r="E21" s="95">
        <v>197.6</v>
      </c>
      <c r="F21" s="96">
        <v>214.3</v>
      </c>
      <c r="G21" s="96">
        <v>209.6</v>
      </c>
      <c r="H21" s="96">
        <v>163</v>
      </c>
      <c r="I21" s="97"/>
      <c r="J21" s="106">
        <v>1.5</v>
      </c>
      <c r="K21" s="125">
        <v>1.22</v>
      </c>
      <c r="L21" s="463">
        <f t="shared" si="0"/>
        <v>117.69593999999999</v>
      </c>
      <c r="M21" s="107">
        <v>1.5</v>
      </c>
      <c r="N21" s="125">
        <v>0.76</v>
      </c>
      <c r="O21" s="463">
        <f t="shared" si="1"/>
        <v>72.166519999999991</v>
      </c>
      <c r="P21" s="107">
        <v>1.5</v>
      </c>
      <c r="Q21" s="125">
        <v>0.35</v>
      </c>
      <c r="R21" s="463">
        <f t="shared" si="2"/>
        <v>31.58595</v>
      </c>
    </row>
    <row r="22" spans="1:18" x14ac:dyDescent="0.25">
      <c r="A22" s="1128" t="s">
        <v>109</v>
      </c>
      <c r="B22" s="1129"/>
      <c r="C22" s="108">
        <f>IF(C21&lt;&gt;0, (C20-C21)/(C21-C19)*100, "")</f>
        <v>7.2715972653822361</v>
      </c>
      <c r="D22" s="109">
        <f>(D20-D21)/(D21-D19)*100</f>
        <v>7.3011734028683106</v>
      </c>
      <c r="E22" s="108">
        <f>IF(E21&lt;&gt;0, (E20-E21)/(E21-E19)*100, "")</f>
        <v>7.3037127206329879</v>
      </c>
      <c r="F22" s="109">
        <f>(F20-F21)/(F21-F19)*100</f>
        <v>7.3399558498896154</v>
      </c>
      <c r="G22" s="109">
        <f>(G20-G21)/(G21-G19)*100</f>
        <v>7.2696050372066505</v>
      </c>
      <c r="H22" s="109">
        <f>(H20-H21)/(H21-H19)*100</f>
        <v>7.3065902578796482</v>
      </c>
      <c r="I22" s="110"/>
      <c r="J22" s="106">
        <v>2</v>
      </c>
      <c r="K22" s="462">
        <v>1.8</v>
      </c>
      <c r="L22" s="463">
        <f t="shared" si="0"/>
        <v>175.10260000000002</v>
      </c>
      <c r="M22" s="107">
        <v>2</v>
      </c>
      <c r="N22" s="462">
        <v>1.22</v>
      </c>
      <c r="O22" s="463">
        <f t="shared" si="1"/>
        <v>117.69593999999999</v>
      </c>
      <c r="P22" s="107">
        <v>2</v>
      </c>
      <c r="Q22" s="125">
        <v>0.51</v>
      </c>
      <c r="R22" s="463">
        <f t="shared" si="2"/>
        <v>47.422269999999997</v>
      </c>
    </row>
    <row r="23" spans="1:18" x14ac:dyDescent="0.25">
      <c r="A23" s="1128" t="s">
        <v>110</v>
      </c>
      <c r="B23" s="1129"/>
      <c r="C23" s="671">
        <f>AVERAGE(C22:D22)</f>
        <v>7.2863853341252733</v>
      </c>
      <c r="D23" s="672"/>
      <c r="E23" s="671">
        <f>AVERAGE(E22:F22)</f>
        <v>7.3218342852613016</v>
      </c>
      <c r="F23" s="672"/>
      <c r="G23" s="671">
        <f>AVERAGE(G22:H22)</f>
        <v>7.2880976475431494</v>
      </c>
      <c r="H23" s="672"/>
      <c r="I23" s="111"/>
      <c r="J23" s="106">
        <v>2.5</v>
      </c>
      <c r="K23" s="125">
        <v>2.13</v>
      </c>
      <c r="L23" s="463">
        <f t="shared" si="0"/>
        <v>207.76501000000002</v>
      </c>
      <c r="M23" s="107">
        <v>2.5</v>
      </c>
      <c r="N23" s="125">
        <v>1.59</v>
      </c>
      <c r="O23" s="463">
        <f t="shared" si="1"/>
        <v>154.31743</v>
      </c>
      <c r="P23" s="107">
        <v>2.5</v>
      </c>
      <c r="Q23" s="125">
        <v>0.57999999999999996</v>
      </c>
      <c r="R23" s="463">
        <f t="shared" si="2"/>
        <v>54.350659999999998</v>
      </c>
    </row>
    <row r="24" spans="1:18" x14ac:dyDescent="0.25">
      <c r="A24" s="1141" t="s">
        <v>111</v>
      </c>
      <c r="B24" s="1142"/>
      <c r="C24" s="1143">
        <f>C23/J13*100</f>
        <v>99.813497727743467</v>
      </c>
      <c r="D24" s="1143"/>
      <c r="E24" s="1143">
        <f>E23/J13*100</f>
        <v>100.29909979810003</v>
      </c>
      <c r="F24" s="1143"/>
      <c r="G24" s="671">
        <f>G23/J13*100</f>
        <v>99.836954075933562</v>
      </c>
      <c r="H24" s="672"/>
      <c r="I24" s="111"/>
      <c r="J24" s="106">
        <v>5</v>
      </c>
      <c r="K24" s="125">
        <v>3.75</v>
      </c>
      <c r="L24" s="463">
        <f t="shared" si="0"/>
        <v>368.10775000000007</v>
      </c>
      <c r="M24" s="107">
        <v>5</v>
      </c>
      <c r="N24" s="125">
        <v>2.56</v>
      </c>
      <c r="O24" s="463">
        <f t="shared" si="1"/>
        <v>250.32512000000003</v>
      </c>
      <c r="P24" s="107">
        <v>5</v>
      </c>
      <c r="Q24" s="125">
        <v>1.26</v>
      </c>
      <c r="R24" s="463">
        <f t="shared" si="2"/>
        <v>121.65502000000001</v>
      </c>
    </row>
    <row r="25" spans="1:18" x14ac:dyDescent="0.25">
      <c r="A25" s="1133" t="s">
        <v>112</v>
      </c>
      <c r="B25" s="1134"/>
      <c r="C25" s="1134"/>
      <c r="D25" s="1134"/>
      <c r="E25" s="1134"/>
      <c r="F25" s="1134"/>
      <c r="G25" s="1134"/>
      <c r="H25" s="1135"/>
      <c r="I25" s="112"/>
      <c r="J25" s="106">
        <v>6</v>
      </c>
      <c r="K25" s="125">
        <v>4.6900000000000004</v>
      </c>
      <c r="L25" s="463">
        <f t="shared" si="0"/>
        <v>461.14613000000008</v>
      </c>
      <c r="M25" s="107">
        <v>6</v>
      </c>
      <c r="N25" s="125">
        <v>3.09</v>
      </c>
      <c r="O25" s="463">
        <f t="shared" si="1"/>
        <v>302.78293000000002</v>
      </c>
      <c r="P25" s="107">
        <v>6</v>
      </c>
      <c r="Q25" s="125">
        <v>1.71</v>
      </c>
      <c r="R25" s="463">
        <f t="shared" si="2"/>
        <v>166.19467000000003</v>
      </c>
    </row>
    <row r="26" spans="1:18" ht="15.75" thickBot="1" x14ac:dyDescent="0.3">
      <c r="A26" s="1131" t="s">
        <v>113</v>
      </c>
      <c r="B26" s="1132"/>
      <c r="C26" s="1132"/>
      <c r="D26" s="96" t="s">
        <v>357</v>
      </c>
      <c r="E26" s="113"/>
      <c r="F26" s="96" t="s">
        <v>358</v>
      </c>
      <c r="G26" s="114"/>
      <c r="H26" s="96" t="s">
        <v>323</v>
      </c>
      <c r="I26" s="97"/>
      <c r="J26" s="115">
        <v>10</v>
      </c>
      <c r="K26" s="465">
        <v>7.56</v>
      </c>
      <c r="L26" s="463">
        <f t="shared" si="0"/>
        <v>745.21011999999996</v>
      </c>
      <c r="M26" s="116">
        <v>10</v>
      </c>
      <c r="N26" s="465">
        <v>5.6</v>
      </c>
      <c r="O26" s="463">
        <f t="shared" si="1"/>
        <v>551.2152000000001</v>
      </c>
      <c r="P26" s="116">
        <v>10</v>
      </c>
      <c r="Q26" s="465">
        <v>2.7</v>
      </c>
      <c r="R26" s="463">
        <f t="shared" si="2"/>
        <v>264.18190000000004</v>
      </c>
    </row>
    <row r="27" spans="1:18" ht="15.75" thickBot="1" x14ac:dyDescent="0.3">
      <c r="A27" s="1131" t="s">
        <v>114</v>
      </c>
      <c r="B27" s="1132"/>
      <c r="C27" s="1132"/>
      <c r="D27" s="117">
        <v>3820</v>
      </c>
      <c r="E27" s="118"/>
      <c r="F27" s="117">
        <v>3800</v>
      </c>
      <c r="G27" s="119"/>
      <c r="H27" s="117">
        <v>3830</v>
      </c>
      <c r="I27" s="119"/>
      <c r="J27" s="1136"/>
      <c r="K27" s="1136"/>
      <c r="L27" s="1136"/>
      <c r="M27" s="1136"/>
      <c r="N27" s="1136"/>
      <c r="O27" s="1136"/>
      <c r="P27" s="1136"/>
      <c r="Q27" s="1136"/>
      <c r="R27" s="1137"/>
    </row>
    <row r="28" spans="1:18" x14ac:dyDescent="0.25">
      <c r="A28" s="1131" t="s">
        <v>115</v>
      </c>
      <c r="B28" s="1132"/>
      <c r="C28" s="1132"/>
      <c r="D28" s="117">
        <v>8366</v>
      </c>
      <c r="E28" s="118"/>
      <c r="F28" s="117">
        <v>8119</v>
      </c>
      <c r="G28" s="119"/>
      <c r="H28" s="117">
        <v>7921</v>
      </c>
      <c r="I28" s="120"/>
      <c r="J28" s="1138" t="s">
        <v>98</v>
      </c>
      <c r="K28" s="1139"/>
      <c r="L28" s="1139"/>
      <c r="M28" s="1139" t="s">
        <v>99</v>
      </c>
      <c r="N28" s="1139"/>
      <c r="O28" s="1139"/>
      <c r="P28" s="1139" t="s">
        <v>100</v>
      </c>
      <c r="Q28" s="1139"/>
      <c r="R28" s="1140"/>
    </row>
    <row r="29" spans="1:18" x14ac:dyDescent="0.25">
      <c r="A29" s="1131" t="s">
        <v>116</v>
      </c>
      <c r="B29" s="1132"/>
      <c r="C29" s="1132"/>
      <c r="D29" s="117">
        <v>2300</v>
      </c>
      <c r="E29" s="118"/>
      <c r="F29" s="117">
        <v>2300</v>
      </c>
      <c r="G29" s="121"/>
      <c r="H29" s="117">
        <v>2300</v>
      </c>
      <c r="I29" s="122"/>
      <c r="J29" s="1130" t="s">
        <v>105</v>
      </c>
      <c r="K29" s="1129"/>
      <c r="L29" s="96" t="s">
        <v>356</v>
      </c>
      <c r="M29" s="1129" t="s">
        <v>105</v>
      </c>
      <c r="N29" s="1129"/>
      <c r="O29" s="123">
        <v>43</v>
      </c>
      <c r="P29" s="1129" t="s">
        <v>105</v>
      </c>
      <c r="Q29" s="1129"/>
      <c r="R29" s="124">
        <v>44</v>
      </c>
    </row>
    <row r="30" spans="1:18" x14ac:dyDescent="0.25">
      <c r="A30" s="1128" t="s">
        <v>117</v>
      </c>
      <c r="B30" s="1129"/>
      <c r="C30" s="1129"/>
      <c r="D30" s="125">
        <f>IF(D28&lt;&gt;0, (D28-D27)/D29, "")</f>
        <v>1.9765217391304348</v>
      </c>
      <c r="E30" s="118"/>
      <c r="F30" s="125">
        <f>IF(F28&lt;&gt;0, (F28-F27)/F29*1, "")</f>
        <v>1.8778260869565218</v>
      </c>
      <c r="G30" s="119"/>
      <c r="H30" s="125">
        <f>IF(H28&lt;&gt;0, (H28-H27)/H29*1, "")</f>
        <v>1.778695652173913</v>
      </c>
      <c r="I30" s="120"/>
      <c r="J30" s="1130" t="s">
        <v>118</v>
      </c>
      <c r="K30" s="1129"/>
      <c r="L30" s="96">
        <v>34.799999999999997</v>
      </c>
      <c r="M30" s="1129" t="s">
        <v>118</v>
      </c>
      <c r="N30" s="1129"/>
      <c r="O30" s="96">
        <v>23.6</v>
      </c>
      <c r="P30" s="1129" t="s">
        <v>118</v>
      </c>
      <c r="Q30" s="1129"/>
      <c r="R30" s="124">
        <v>40.5</v>
      </c>
    </row>
    <row r="31" spans="1:18" x14ac:dyDescent="0.25">
      <c r="A31" s="1128" t="s">
        <v>119</v>
      </c>
      <c r="B31" s="1129"/>
      <c r="C31" s="1129"/>
      <c r="D31" s="125">
        <f>IF(D28&lt;&gt;0, D30/(1+C23*0.01), "")</f>
        <v>1.8422857037963325</v>
      </c>
      <c r="E31" s="126"/>
      <c r="F31" s="125">
        <f>IF(F28&lt;&gt;0, F30/(1+E23*0.01), "")</f>
        <v>1.749714864139633</v>
      </c>
      <c r="G31" s="127"/>
      <c r="H31" s="125">
        <f>IF(H28&lt;&gt;0, H30/(1+G23*0.01), "")</f>
        <v>1.6578685717936619</v>
      </c>
      <c r="I31" s="120"/>
      <c r="J31" s="1130" t="s">
        <v>107</v>
      </c>
      <c r="K31" s="1129"/>
      <c r="L31" s="96">
        <v>183.9</v>
      </c>
      <c r="M31" s="1129" t="s">
        <v>107</v>
      </c>
      <c r="N31" s="1129"/>
      <c r="O31" s="96">
        <v>143.4</v>
      </c>
      <c r="P31" s="1129" t="s">
        <v>107</v>
      </c>
      <c r="Q31" s="1129"/>
      <c r="R31" s="124">
        <v>181.6</v>
      </c>
    </row>
    <row r="32" spans="1:18" x14ac:dyDescent="0.25">
      <c r="A32" s="128"/>
      <c r="B32" s="129"/>
      <c r="C32" s="129"/>
      <c r="D32" s="118"/>
      <c r="E32" s="118"/>
      <c r="F32" s="118"/>
      <c r="G32" s="118"/>
      <c r="H32" s="118"/>
      <c r="I32" s="130"/>
      <c r="J32" s="1130" t="s">
        <v>120</v>
      </c>
      <c r="K32" s="1129"/>
      <c r="L32" s="96">
        <v>171.5</v>
      </c>
      <c r="M32" s="1129" t="s">
        <v>120</v>
      </c>
      <c r="N32" s="1129"/>
      <c r="O32" s="96">
        <v>133</v>
      </c>
      <c r="P32" s="1129" t="s">
        <v>120</v>
      </c>
      <c r="Q32" s="1129"/>
      <c r="R32" s="124">
        <v>169.3</v>
      </c>
    </row>
    <row r="33" spans="1:18" ht="15.75" thickBot="1" x14ac:dyDescent="0.3">
      <c r="A33" s="131"/>
      <c r="B33" s="132"/>
      <c r="C33" s="132"/>
      <c r="D33" s="118"/>
      <c r="E33" s="118"/>
      <c r="F33" s="118"/>
      <c r="G33" s="118"/>
      <c r="H33" s="118"/>
      <c r="I33" s="130"/>
      <c r="J33" s="1117" t="s">
        <v>109</v>
      </c>
      <c r="K33" s="1118"/>
      <c r="L33" s="133">
        <f>(L31-L32)/(L32-L30)*100</f>
        <v>9.0709583028529668</v>
      </c>
      <c r="M33" s="1118" t="s">
        <v>109</v>
      </c>
      <c r="N33" s="1118"/>
      <c r="O33" s="133">
        <f>(O31-O32)/(O32-O30)*100</f>
        <v>9.5063985374771516</v>
      </c>
      <c r="P33" s="1118" t="s">
        <v>109</v>
      </c>
      <c r="Q33" s="1118"/>
      <c r="R33" s="133">
        <f>(R31-R32)/(R32-R30)*100</f>
        <v>9.5496894409937756</v>
      </c>
    </row>
    <row r="34" spans="1:18" ht="15.75" thickBot="1" x14ac:dyDescent="0.3">
      <c r="A34" s="134"/>
      <c r="B34" s="135"/>
      <c r="C34" s="135"/>
      <c r="D34" s="136"/>
      <c r="E34" s="136"/>
      <c r="F34" s="136"/>
      <c r="G34" s="136"/>
      <c r="H34" s="136"/>
      <c r="I34" s="137"/>
      <c r="J34" s="1119" t="s">
        <v>121</v>
      </c>
      <c r="K34" s="1120"/>
      <c r="L34" s="1120"/>
      <c r="M34" s="1120"/>
      <c r="N34" s="1120"/>
      <c r="O34" s="1120"/>
      <c r="P34" s="1120"/>
      <c r="Q34" s="1120"/>
      <c r="R34" s="1121"/>
    </row>
    <row r="35" spans="1:18" x14ac:dyDescent="0.25">
      <c r="A35" s="138"/>
      <c r="B35" s="139"/>
      <c r="C35" s="139"/>
      <c r="D35" s="136"/>
      <c r="E35" s="136"/>
      <c r="F35" s="136"/>
      <c r="G35" s="136"/>
      <c r="H35" s="136"/>
      <c r="I35" s="137"/>
      <c r="J35" s="1122" t="s">
        <v>122</v>
      </c>
      <c r="K35" s="1123"/>
      <c r="L35" s="1124" t="s">
        <v>99</v>
      </c>
      <c r="M35" s="1123"/>
      <c r="N35" s="1124" t="s">
        <v>100</v>
      </c>
      <c r="O35" s="1123"/>
      <c r="P35" s="1125" t="s">
        <v>123</v>
      </c>
      <c r="Q35" s="1126"/>
      <c r="R35" s="1127"/>
    </row>
    <row r="36" spans="1:18" ht="18" x14ac:dyDescent="0.25">
      <c r="A36" s="138"/>
      <c r="B36" s="139"/>
      <c r="C36" s="139"/>
      <c r="D36" s="136"/>
      <c r="E36" s="136"/>
      <c r="F36" s="136"/>
      <c r="G36" s="136"/>
      <c r="H36" s="136"/>
      <c r="I36" s="137"/>
      <c r="J36" s="140" t="s">
        <v>124</v>
      </c>
      <c r="K36" s="141" t="s">
        <v>58</v>
      </c>
      <c r="L36" s="142" t="s">
        <v>124</v>
      </c>
      <c r="M36" s="141" t="s">
        <v>58</v>
      </c>
      <c r="N36" s="142" t="s">
        <v>124</v>
      </c>
      <c r="O36" s="90" t="s">
        <v>58</v>
      </c>
      <c r="P36" s="1110" t="e">
        <f>AVERAGE(K37,K38,M37,M38,O37,O38)</f>
        <v>#DIV/0!</v>
      </c>
      <c r="Q36" s="1097"/>
      <c r="R36" s="1111"/>
    </row>
    <row r="37" spans="1:18" x14ac:dyDescent="0.25">
      <c r="A37" s="138"/>
      <c r="B37" s="139"/>
      <c r="C37" s="139"/>
      <c r="D37" s="136"/>
      <c r="E37" s="136"/>
      <c r="F37" s="136"/>
      <c r="G37" s="136"/>
      <c r="H37" s="136"/>
      <c r="I37" s="137"/>
      <c r="J37" s="143">
        <v>1</v>
      </c>
      <c r="K37" s="144"/>
      <c r="L37" s="143">
        <v>1</v>
      </c>
      <c r="M37" s="144"/>
      <c r="N37" s="143">
        <v>1</v>
      </c>
      <c r="O37" s="144"/>
      <c r="P37" s="1110"/>
      <c r="Q37" s="1097"/>
      <c r="R37" s="1111"/>
    </row>
    <row r="38" spans="1:18" ht="15.75" thickBot="1" x14ac:dyDescent="0.3">
      <c r="A38" s="138"/>
      <c r="B38" s="139"/>
      <c r="C38" s="139"/>
      <c r="D38" s="136"/>
      <c r="E38" s="136"/>
      <c r="F38" s="136"/>
      <c r="G38" s="136"/>
      <c r="H38" s="136"/>
      <c r="I38" s="137"/>
      <c r="J38" s="145">
        <v>2</v>
      </c>
      <c r="K38" s="146"/>
      <c r="L38" s="145">
        <v>2</v>
      </c>
      <c r="M38" s="146"/>
      <c r="N38" s="145">
        <v>2</v>
      </c>
      <c r="O38" s="146"/>
      <c r="P38" s="1112"/>
      <c r="Q38" s="1113"/>
      <c r="R38" s="1114"/>
    </row>
    <row r="39" spans="1:18" ht="15.75" thickBot="1" x14ac:dyDescent="0.3">
      <c r="A39" s="138"/>
      <c r="B39" s="139"/>
      <c r="C39" s="139"/>
      <c r="D39" s="136"/>
      <c r="E39" s="136"/>
      <c r="F39" s="136"/>
      <c r="G39" s="136"/>
      <c r="H39" s="136"/>
      <c r="I39" s="136"/>
      <c r="J39" s="147"/>
      <c r="K39" s="147"/>
      <c r="L39" s="148"/>
      <c r="M39" s="149"/>
      <c r="N39" s="149"/>
      <c r="O39" s="149"/>
      <c r="P39" s="149"/>
      <c r="Q39" s="149"/>
      <c r="R39" s="150"/>
    </row>
    <row r="40" spans="1:18" x14ac:dyDescent="0.25">
      <c r="A40" s="138"/>
      <c r="B40" s="139"/>
      <c r="C40" s="139"/>
      <c r="D40" s="136"/>
      <c r="E40" s="136"/>
      <c r="F40" s="136"/>
      <c r="G40" s="136"/>
      <c r="H40" s="136"/>
      <c r="I40" s="137"/>
      <c r="J40" s="1115" t="s">
        <v>125</v>
      </c>
      <c r="K40" s="1115"/>
      <c r="L40" s="1115"/>
      <c r="M40" s="1115"/>
      <c r="N40" s="1115"/>
      <c r="O40" s="1115"/>
      <c r="P40" s="1115"/>
      <c r="Q40" s="1115"/>
      <c r="R40" s="1116"/>
    </row>
    <row r="41" spans="1:18" ht="15.75" thickBot="1" x14ac:dyDescent="0.3">
      <c r="A41" s="138"/>
      <c r="B41" s="139"/>
      <c r="C41" s="139"/>
      <c r="D41" s="136"/>
      <c r="E41" s="136"/>
      <c r="F41" s="136"/>
      <c r="G41" s="136"/>
      <c r="H41" s="136"/>
      <c r="I41" s="137"/>
      <c r="J41" s="1108" t="s">
        <v>98</v>
      </c>
      <c r="K41" s="1108"/>
      <c r="L41" s="1108"/>
      <c r="M41" s="1108"/>
      <c r="N41" s="1108"/>
      <c r="O41" s="1108"/>
      <c r="P41" s="1108"/>
      <c r="Q41" s="1108"/>
      <c r="R41" s="1109"/>
    </row>
    <row r="42" spans="1:18" ht="15.75" thickBot="1" x14ac:dyDescent="0.3">
      <c r="A42" s="138"/>
      <c r="B42" s="139"/>
      <c r="C42" s="139"/>
      <c r="D42" s="136"/>
      <c r="E42" s="136"/>
      <c r="F42" s="136"/>
      <c r="G42" s="136"/>
      <c r="H42" s="136"/>
      <c r="I42" s="137"/>
      <c r="J42" s="151" t="s">
        <v>126</v>
      </c>
      <c r="K42" s="152">
        <f>L23</f>
        <v>207.76501000000002</v>
      </c>
      <c r="L42" s="153" t="s">
        <v>127</v>
      </c>
      <c r="M42" s="154"/>
      <c r="N42" s="1098" t="s">
        <v>128</v>
      </c>
      <c r="O42" s="1099"/>
      <c r="P42" s="155">
        <f>(((K42)/13.58))</f>
        <v>15.299337997054494</v>
      </c>
      <c r="Q42" s="1100" t="s">
        <v>129</v>
      </c>
      <c r="R42" s="1102">
        <f>MAX(P42:P43)</f>
        <v>17.886673955296409</v>
      </c>
    </row>
    <row r="43" spans="1:18" ht="15.75" thickBot="1" x14ac:dyDescent="0.3">
      <c r="A43" s="138"/>
      <c r="B43" s="139"/>
      <c r="C43" s="139"/>
      <c r="D43" s="136"/>
      <c r="E43" s="136"/>
      <c r="F43" s="136"/>
      <c r="G43" s="136"/>
      <c r="H43" s="136"/>
      <c r="I43" s="137"/>
      <c r="J43" s="156" t="s">
        <v>130</v>
      </c>
      <c r="K43" s="157">
        <f>L24</f>
        <v>368.10775000000007</v>
      </c>
      <c r="L43" s="158" t="s">
        <v>127</v>
      </c>
      <c r="M43" s="154"/>
      <c r="N43" s="1104" t="s">
        <v>131</v>
      </c>
      <c r="O43" s="1105"/>
      <c r="P43" s="159">
        <f>(((K43)/20.58))</f>
        <v>17.886673955296409</v>
      </c>
      <c r="Q43" s="1101"/>
      <c r="R43" s="1103"/>
    </row>
    <row r="44" spans="1:18" ht="9" customHeight="1" x14ac:dyDescent="0.25">
      <c r="A44" s="138"/>
      <c r="B44" s="139"/>
      <c r="C44" s="139"/>
      <c r="D44" s="136"/>
      <c r="E44" s="136"/>
      <c r="F44" s="136"/>
      <c r="G44" s="136"/>
      <c r="H44" s="136"/>
      <c r="I44" s="137"/>
      <c r="J44" s="139"/>
      <c r="K44" s="139"/>
      <c r="L44" s="139"/>
      <c r="M44" s="160"/>
      <c r="N44" s="161"/>
      <c r="O44" s="161"/>
      <c r="P44" s="161"/>
      <c r="Q44" s="161"/>
      <c r="R44" s="154"/>
    </row>
    <row r="45" spans="1:18" ht="15.75" thickBot="1" x14ac:dyDescent="0.3">
      <c r="A45" s="138"/>
      <c r="B45" s="139"/>
      <c r="C45" s="139"/>
      <c r="D45" s="136"/>
      <c r="E45" s="136"/>
      <c r="F45" s="136"/>
      <c r="G45" s="136"/>
      <c r="H45" s="136"/>
      <c r="I45" s="137"/>
      <c r="J45" s="1108" t="s">
        <v>99</v>
      </c>
      <c r="K45" s="1108"/>
      <c r="L45" s="1108"/>
      <c r="M45" s="1108"/>
      <c r="N45" s="1108"/>
      <c r="O45" s="1108"/>
      <c r="P45" s="1108"/>
      <c r="Q45" s="1108"/>
      <c r="R45" s="1109"/>
    </row>
    <row r="46" spans="1:18" ht="15.75" thickBot="1" x14ac:dyDescent="0.3">
      <c r="A46" s="138"/>
      <c r="B46" s="139"/>
      <c r="C46" s="139"/>
      <c r="D46" s="136"/>
      <c r="E46" s="136"/>
      <c r="F46" s="136"/>
      <c r="G46" s="136"/>
      <c r="H46" s="136"/>
      <c r="I46" s="137"/>
      <c r="J46" s="151" t="s">
        <v>126</v>
      </c>
      <c r="K46" s="152">
        <f>O23</f>
        <v>154.31743</v>
      </c>
      <c r="L46" s="153" t="s">
        <v>127</v>
      </c>
      <c r="M46" s="162"/>
      <c r="N46" s="1098" t="s">
        <v>128</v>
      </c>
      <c r="O46" s="1099"/>
      <c r="P46" s="155">
        <f>(((K46)/13.58))</f>
        <v>11.363581001472754</v>
      </c>
      <c r="Q46" s="1100" t="s">
        <v>129</v>
      </c>
      <c r="R46" s="1102">
        <f>MAX(P46:P47)</f>
        <v>12.163514091350828</v>
      </c>
    </row>
    <row r="47" spans="1:18" ht="15.75" thickBot="1" x14ac:dyDescent="0.3">
      <c r="A47" s="138"/>
      <c r="B47" s="139"/>
      <c r="C47" s="139"/>
      <c r="D47" s="136"/>
      <c r="E47" s="136"/>
      <c r="F47" s="136"/>
      <c r="G47" s="136"/>
      <c r="H47" s="136"/>
      <c r="I47" s="137"/>
      <c r="J47" s="156" t="s">
        <v>130</v>
      </c>
      <c r="K47" s="157">
        <f>O24</f>
        <v>250.32512000000003</v>
      </c>
      <c r="L47" s="158" t="s">
        <v>127</v>
      </c>
      <c r="M47" s="162"/>
      <c r="N47" s="1104" t="s">
        <v>131</v>
      </c>
      <c r="O47" s="1105"/>
      <c r="P47" s="159">
        <f>(((K47)/20.58))</f>
        <v>12.163514091350828</v>
      </c>
      <c r="Q47" s="1101"/>
      <c r="R47" s="1103"/>
    </row>
    <row r="48" spans="1:18" ht="8.4499999999999993" customHeight="1" x14ac:dyDescent="0.25">
      <c r="A48" s="138"/>
      <c r="B48" s="139"/>
      <c r="C48" s="139"/>
      <c r="D48" s="136"/>
      <c r="E48" s="136"/>
      <c r="F48" s="136"/>
      <c r="G48" s="136"/>
      <c r="H48" s="136"/>
      <c r="I48" s="137"/>
      <c r="J48" s="139"/>
      <c r="K48" s="139"/>
      <c r="L48" s="139"/>
      <c r="M48" s="160"/>
      <c r="N48" s="161"/>
      <c r="O48" s="161"/>
      <c r="P48" s="161"/>
      <c r="Q48" s="161"/>
      <c r="R48" s="154"/>
    </row>
    <row r="49" spans="1:18" ht="15.75" thickBot="1" x14ac:dyDescent="0.3">
      <c r="A49" s="138"/>
      <c r="B49" s="139"/>
      <c r="C49" s="139"/>
      <c r="D49" s="136"/>
      <c r="E49" s="136"/>
      <c r="F49" s="136"/>
      <c r="G49" s="136"/>
      <c r="H49" s="136"/>
      <c r="I49" s="137"/>
      <c r="J49" s="1108" t="s">
        <v>100</v>
      </c>
      <c r="K49" s="1108"/>
      <c r="L49" s="1108"/>
      <c r="M49" s="1108"/>
      <c r="N49" s="1108"/>
      <c r="O49" s="1108"/>
      <c r="P49" s="1108"/>
      <c r="Q49" s="1108"/>
      <c r="R49" s="1109"/>
    </row>
    <row r="50" spans="1:18" ht="15.75" thickBot="1" x14ac:dyDescent="0.3">
      <c r="A50" s="138"/>
      <c r="B50" s="1097"/>
      <c r="C50" s="1097"/>
      <c r="D50" s="1097"/>
      <c r="E50" s="1097"/>
      <c r="F50" s="1097"/>
      <c r="G50" s="1097"/>
      <c r="H50" s="1097"/>
      <c r="I50" s="137"/>
      <c r="J50" s="151" t="s">
        <v>126</v>
      </c>
      <c r="K50" s="152">
        <f>R23</f>
        <v>54.350659999999998</v>
      </c>
      <c r="L50" s="153" t="s">
        <v>127</v>
      </c>
      <c r="M50" s="162"/>
      <c r="N50" s="1098" t="s">
        <v>128</v>
      </c>
      <c r="O50" s="1099"/>
      <c r="P50" s="155">
        <f>(((K50)/13.58))</f>
        <v>4.0022577319587631</v>
      </c>
      <c r="Q50" s="1100" t="s">
        <v>129</v>
      </c>
      <c r="R50" s="1102">
        <f>MAX(P50:P51)</f>
        <v>5.9113226433430528</v>
      </c>
    </row>
    <row r="51" spans="1:18" ht="15.75" thickBot="1" x14ac:dyDescent="0.3">
      <c r="A51" s="134"/>
      <c r="B51" s="135"/>
      <c r="C51" s="135"/>
      <c r="D51" s="135"/>
      <c r="E51" s="135"/>
      <c r="F51" s="136"/>
      <c r="G51" s="136"/>
      <c r="H51" s="136"/>
      <c r="I51" s="137"/>
      <c r="J51" s="163" t="s">
        <v>130</v>
      </c>
      <c r="K51" s="157">
        <f>R24</f>
        <v>121.65502000000001</v>
      </c>
      <c r="L51" s="158" t="s">
        <v>127</v>
      </c>
      <c r="M51" s="164"/>
      <c r="N51" s="1104" t="s">
        <v>131</v>
      </c>
      <c r="O51" s="1105"/>
      <c r="P51" s="159">
        <f>(((K51)/20.58))</f>
        <v>5.9113226433430528</v>
      </c>
      <c r="Q51" s="1101"/>
      <c r="R51" s="1103"/>
    </row>
    <row r="52" spans="1:18" x14ac:dyDescent="0.25">
      <c r="A52" s="134"/>
      <c r="B52" s="135"/>
      <c r="C52" s="135"/>
      <c r="D52" s="135"/>
      <c r="E52" s="135"/>
      <c r="F52" s="136"/>
      <c r="G52" s="136"/>
      <c r="H52" s="136"/>
      <c r="I52" s="136"/>
      <c r="J52" s="1106" t="s">
        <v>132</v>
      </c>
      <c r="K52" s="1106"/>
      <c r="L52" s="1106"/>
      <c r="M52" s="1107" t="s">
        <v>269</v>
      </c>
      <c r="N52" s="1107"/>
      <c r="O52" s="1107"/>
      <c r="P52" s="1107"/>
      <c r="Q52" s="1107"/>
      <c r="R52" s="69"/>
    </row>
    <row r="53" spans="1:18" ht="15.75" thickBot="1" x14ac:dyDescent="0.3">
      <c r="A53" s="165" t="s">
        <v>133</v>
      </c>
      <c r="B53" s="166"/>
      <c r="C53" s="166"/>
      <c r="D53" s="166"/>
      <c r="E53" s="166"/>
      <c r="F53" s="166"/>
      <c r="G53" s="166"/>
      <c r="H53" s="1095" t="s">
        <v>134</v>
      </c>
      <c r="I53" s="1095"/>
      <c r="J53" s="1095"/>
      <c r="K53" s="1095"/>
      <c r="L53" s="1095"/>
      <c r="M53" s="1096" t="s">
        <v>270</v>
      </c>
      <c r="N53" s="1096"/>
      <c r="O53" s="1096"/>
      <c r="P53" s="1096"/>
      <c r="Q53" s="1096"/>
      <c r="R53" s="167"/>
    </row>
  </sheetData>
  <mergeCells count="116"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B21" zoomScale="142" zoomScaleNormal="142" workbookViewId="0">
      <selection activeCell="T40" sqref="T40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68"/>
      <c r="B1" s="169"/>
      <c r="C1" s="169"/>
      <c r="D1" s="169"/>
      <c r="E1" s="170"/>
      <c r="F1" s="171"/>
      <c r="G1" s="1360" t="s">
        <v>75</v>
      </c>
      <c r="H1" s="1360"/>
      <c r="I1" s="1360"/>
      <c r="J1" s="1360"/>
      <c r="K1" s="1360"/>
      <c r="L1" s="1361"/>
      <c r="M1" s="172"/>
      <c r="N1" s="1364" t="s">
        <v>61</v>
      </c>
      <c r="O1" s="1365"/>
      <c r="P1" s="1365"/>
      <c r="Q1" s="1366"/>
      <c r="R1" s="171"/>
    </row>
    <row r="2" spans="1:18" ht="24" thickBot="1" x14ac:dyDescent="0.3">
      <c r="A2" s="173"/>
      <c r="B2" s="174"/>
      <c r="C2" s="174"/>
      <c r="D2" s="174"/>
      <c r="E2" s="175"/>
      <c r="F2" s="176"/>
      <c r="G2" s="1362"/>
      <c r="H2" s="1362"/>
      <c r="I2" s="1362"/>
      <c r="J2" s="1362"/>
      <c r="K2" s="1362"/>
      <c r="L2" s="1363"/>
      <c r="M2" s="177"/>
      <c r="N2" s="1367" t="s">
        <v>313</v>
      </c>
      <c r="O2" s="1368"/>
      <c r="P2" s="1368"/>
      <c r="Q2" s="1369"/>
      <c r="R2" s="176"/>
    </row>
    <row r="3" spans="1:18" ht="19.5" thickBot="1" x14ac:dyDescent="0.3">
      <c r="A3" s="173"/>
      <c r="B3" s="174"/>
      <c r="C3" s="174"/>
      <c r="D3" s="174"/>
      <c r="E3" s="178"/>
      <c r="F3" s="176"/>
      <c r="G3" s="1370" t="s">
        <v>135</v>
      </c>
      <c r="H3" s="1370"/>
      <c r="I3" s="1370"/>
      <c r="J3" s="1370"/>
      <c r="K3" s="1370"/>
      <c r="L3" s="1371"/>
      <c r="M3" s="179"/>
      <c r="N3" s="179"/>
      <c r="O3" s="179"/>
      <c r="P3" s="179"/>
      <c r="Q3" s="177"/>
      <c r="R3" s="176"/>
    </row>
    <row r="4" spans="1:18" ht="15.75" thickBot="1" x14ac:dyDescent="0.3">
      <c r="A4" s="180"/>
      <c r="B4" s="181"/>
      <c r="C4" s="181"/>
      <c r="D4" s="181"/>
      <c r="E4" s="181"/>
      <c r="F4" s="182"/>
      <c r="G4" s="182"/>
      <c r="H4" s="182"/>
      <c r="I4" s="174"/>
      <c r="J4" s="174"/>
      <c r="K4" s="174"/>
      <c r="L4" s="174"/>
      <c r="M4" s="174"/>
      <c r="N4" s="183"/>
      <c r="O4" s="183"/>
      <c r="P4" s="183"/>
      <c r="Q4" s="184"/>
      <c r="R4" s="176"/>
    </row>
    <row r="5" spans="1:18" ht="12.6" customHeight="1" thickBot="1" x14ac:dyDescent="0.3">
      <c r="A5" s="1196" t="s">
        <v>63</v>
      </c>
      <c r="B5" s="1191"/>
      <c r="C5" s="1191"/>
      <c r="D5" s="1372" t="str">
        <f>' CBR Poinc'!D4:I4</f>
        <v>Corniche Pont du Djoué</v>
      </c>
      <c r="E5" s="1373"/>
      <c r="F5" s="1373"/>
      <c r="G5" s="1373"/>
      <c r="H5" s="1373"/>
      <c r="I5" s="1374"/>
      <c r="J5" s="1191" t="s">
        <v>64</v>
      </c>
      <c r="K5" s="1191"/>
      <c r="L5" s="1191"/>
      <c r="M5" s="1192"/>
      <c r="N5" s="1197" t="s">
        <v>136</v>
      </c>
      <c r="O5" s="1198"/>
      <c r="P5" s="1198"/>
      <c r="Q5" s="1199"/>
      <c r="R5" s="176"/>
    </row>
    <row r="6" spans="1:18" ht="12" customHeight="1" thickBot="1" x14ac:dyDescent="0.3">
      <c r="A6" s="1196" t="s">
        <v>65</v>
      </c>
      <c r="B6" s="1191"/>
      <c r="C6" s="1191"/>
      <c r="D6" s="1197"/>
      <c r="E6" s="1198"/>
      <c r="F6" s="1198"/>
      <c r="G6" s="1198"/>
      <c r="H6" s="1198"/>
      <c r="I6" s="1199"/>
      <c r="J6" s="1191" t="s">
        <v>66</v>
      </c>
      <c r="K6" s="1191"/>
      <c r="L6" s="1191"/>
      <c r="M6" s="1192"/>
      <c r="N6" s="1351" t="str">
        <f>' CBR Poinc'!N5:Q5</f>
        <v>Puit 3 - 1 ère couche</v>
      </c>
      <c r="O6" s="1352"/>
      <c r="P6" s="1352"/>
      <c r="Q6" s="1353"/>
      <c r="R6" s="176"/>
    </row>
    <row r="7" spans="1:18" ht="10.9" customHeight="1" thickBot="1" x14ac:dyDescent="0.3">
      <c r="A7" s="1196" t="s">
        <v>67</v>
      </c>
      <c r="B7" s="1191"/>
      <c r="C7" s="1191"/>
      <c r="D7" s="1354"/>
      <c r="E7" s="1355"/>
      <c r="F7" s="1355"/>
      <c r="G7" s="1355"/>
      <c r="H7" s="1355"/>
      <c r="I7" s="1356"/>
      <c r="J7" s="1191" t="s">
        <v>137</v>
      </c>
      <c r="K7" s="1191"/>
      <c r="L7" s="1191"/>
      <c r="M7" s="1192"/>
      <c r="N7" s="1357"/>
      <c r="O7" s="1358"/>
      <c r="P7" s="1358"/>
      <c r="Q7" s="1359"/>
      <c r="R7" s="176"/>
    </row>
    <row r="8" spans="1:18" ht="11.45" customHeight="1" thickBot="1" x14ac:dyDescent="0.3">
      <c r="A8" s="1196" t="s">
        <v>69</v>
      </c>
      <c r="B8" s="1191"/>
      <c r="C8" s="1191"/>
      <c r="D8" s="1222" t="str">
        <f>' CBR Poinc'!D7:I7</f>
        <v>Du 10/12/2019 au 28/12/2019</v>
      </c>
      <c r="E8" s="1223"/>
      <c r="F8" s="1223"/>
      <c r="G8" s="1223"/>
      <c r="H8" s="1223"/>
      <c r="I8" s="1224"/>
      <c r="J8" s="1191" t="s">
        <v>70</v>
      </c>
      <c r="K8" s="1191"/>
      <c r="L8" s="1191"/>
      <c r="M8" s="1192"/>
      <c r="N8" s="1203" t="s">
        <v>136</v>
      </c>
      <c r="O8" s="1198"/>
      <c r="P8" s="1198"/>
      <c r="Q8" s="1199"/>
      <c r="R8" s="176"/>
    </row>
    <row r="9" spans="1:18" ht="22.15" customHeight="1" thickBot="1" x14ac:dyDescent="0.3">
      <c r="A9" s="185"/>
      <c r="B9" s="186"/>
      <c r="C9" s="186"/>
      <c r="D9" s="186"/>
      <c r="E9" s="186"/>
      <c r="F9" s="186"/>
      <c r="G9" s="186"/>
      <c r="H9" s="186"/>
      <c r="I9" s="186"/>
      <c r="J9" s="1191" t="s">
        <v>71</v>
      </c>
      <c r="K9" s="1191"/>
      <c r="L9" s="1191"/>
      <c r="M9" s="1192"/>
      <c r="N9" s="1203" t="str">
        <f>' CBR Poinc'!N8:Q8</f>
        <v>Sable Gris</v>
      </c>
      <c r="O9" s="1198"/>
      <c r="P9" s="1198"/>
      <c r="Q9" s="1199"/>
      <c r="R9" s="176"/>
    </row>
    <row r="10" spans="1:18" ht="7.15" customHeight="1" thickBot="1" x14ac:dyDescent="0.3">
      <c r="A10" s="187"/>
      <c r="B10" s="183"/>
      <c r="C10" s="183"/>
      <c r="D10" s="188"/>
      <c r="E10" s="188"/>
      <c r="F10" s="186"/>
      <c r="G10" s="186"/>
      <c r="H10" s="188"/>
      <c r="I10" s="188"/>
      <c r="J10" s="189"/>
      <c r="K10" s="188"/>
      <c r="L10" s="186"/>
      <c r="M10" s="188"/>
      <c r="N10" s="188"/>
      <c r="O10" s="188"/>
      <c r="P10" s="188"/>
      <c r="Q10" s="189"/>
      <c r="R10" s="176"/>
    </row>
    <row r="11" spans="1:18" ht="16.5" thickBot="1" x14ac:dyDescent="0.3">
      <c r="A11" s="1331" t="s">
        <v>72</v>
      </c>
      <c r="B11" s="1334" t="s">
        <v>73</v>
      </c>
      <c r="C11" s="1335"/>
      <c r="D11" s="1336"/>
      <c r="E11" s="190"/>
      <c r="F11" s="174"/>
      <c r="G11" s="191"/>
      <c r="H11" s="1337" t="s">
        <v>74</v>
      </c>
      <c r="I11" s="1339" t="s">
        <v>75</v>
      </c>
      <c r="J11" s="1336"/>
      <c r="K11" s="192" t="s">
        <v>76</v>
      </c>
      <c r="L11" s="191"/>
      <c r="M11" s="1340" t="s">
        <v>77</v>
      </c>
      <c r="N11" s="1341"/>
      <c r="O11" s="1346" t="s">
        <v>78</v>
      </c>
      <c r="P11" s="1330"/>
      <c r="Q11" s="193" t="s">
        <v>76</v>
      </c>
      <c r="R11" s="176"/>
    </row>
    <row r="12" spans="1:18" ht="16.5" thickBot="1" x14ac:dyDescent="0.3">
      <c r="A12" s="1332"/>
      <c r="B12" s="1334" t="s">
        <v>79</v>
      </c>
      <c r="C12" s="1335"/>
      <c r="D12" s="1336"/>
      <c r="E12" s="190" t="s">
        <v>76</v>
      </c>
      <c r="F12" s="174"/>
      <c r="G12" s="191"/>
      <c r="H12" s="1338"/>
      <c r="I12" s="1347" t="s">
        <v>80</v>
      </c>
      <c r="J12" s="1348"/>
      <c r="K12" s="194">
        <v>2</v>
      </c>
      <c r="L12" s="191"/>
      <c r="M12" s="1342"/>
      <c r="N12" s="1343"/>
      <c r="O12" s="1349" t="s">
        <v>81</v>
      </c>
      <c r="P12" s="1350"/>
      <c r="Q12" s="195"/>
      <c r="R12" s="176"/>
    </row>
    <row r="13" spans="1:18" ht="16.5" thickBot="1" x14ac:dyDescent="0.3">
      <c r="A13" s="1332"/>
      <c r="B13" s="1319" t="s">
        <v>82</v>
      </c>
      <c r="C13" s="1320"/>
      <c r="D13" s="1321"/>
      <c r="E13" s="196"/>
      <c r="F13" s="174"/>
      <c r="G13" s="174"/>
      <c r="H13" s="197"/>
      <c r="I13" s="1316"/>
      <c r="J13" s="1316"/>
      <c r="K13" s="198"/>
      <c r="L13" s="191"/>
      <c r="M13" s="1344"/>
      <c r="N13" s="1345"/>
      <c r="O13" s="199" t="s">
        <v>83</v>
      </c>
      <c r="P13" s="1317" t="s">
        <v>84</v>
      </c>
      <c r="Q13" s="1318"/>
      <c r="R13" s="176"/>
    </row>
    <row r="14" spans="1:18" ht="16.5" thickBot="1" x14ac:dyDescent="0.3">
      <c r="A14" s="1333"/>
      <c r="B14" s="1319" t="s">
        <v>138</v>
      </c>
      <c r="C14" s="1320"/>
      <c r="D14" s="1321"/>
      <c r="E14" s="196"/>
      <c r="F14" s="174"/>
      <c r="G14" s="174"/>
      <c r="H14" s="1322" t="s">
        <v>139</v>
      </c>
      <c r="I14" s="1323"/>
      <c r="J14" s="324">
        <f>' CBR Poinc'!J12</f>
        <v>1.8420000000000001</v>
      </c>
      <c r="K14" s="200" t="str">
        <f>[1]CBR!K15</f>
        <v>t/m3</v>
      </c>
      <c r="L14" s="191"/>
      <c r="M14" s="1324" t="s">
        <v>140</v>
      </c>
      <c r="N14" s="1325"/>
      <c r="O14" s="1326"/>
      <c r="P14" s="201"/>
      <c r="Q14" s="202" t="s">
        <v>141</v>
      </c>
      <c r="R14" s="176"/>
    </row>
    <row r="15" spans="1:18" ht="16.5" thickBot="1" x14ac:dyDescent="0.3">
      <c r="A15" s="173"/>
      <c r="B15" s="174"/>
      <c r="C15" s="174"/>
      <c r="D15" s="174"/>
      <c r="E15" s="174"/>
      <c r="F15" s="174"/>
      <c r="G15" s="191"/>
      <c r="H15" s="1327" t="s">
        <v>142</v>
      </c>
      <c r="I15" s="1328"/>
      <c r="J15" s="325">
        <f>' CBR Poinc'!J13</f>
        <v>7.3</v>
      </c>
      <c r="K15" s="83" t="s">
        <v>44</v>
      </c>
      <c r="L15" s="174"/>
      <c r="M15" s="1329" t="s">
        <v>92</v>
      </c>
      <c r="N15" s="1330"/>
      <c r="O15" s="203"/>
      <c r="P15" s="204" t="s">
        <v>93</v>
      </c>
      <c r="Q15" s="205" t="s">
        <v>76</v>
      </c>
      <c r="R15" s="176"/>
    </row>
    <row r="16" spans="1:18" ht="9" customHeight="1" x14ac:dyDescent="0.25">
      <c r="A16" s="173"/>
      <c r="B16" s="174"/>
      <c r="C16" s="174"/>
      <c r="D16" s="174"/>
      <c r="E16" s="174"/>
      <c r="F16" s="174"/>
      <c r="G16" s="174"/>
      <c r="H16" s="174"/>
      <c r="I16" s="174"/>
      <c r="J16" s="178"/>
      <c r="K16" s="206"/>
      <c r="L16" s="206"/>
      <c r="M16" s="207"/>
      <c r="N16" s="207"/>
      <c r="O16" s="208"/>
      <c r="P16" s="207"/>
      <c r="Q16" s="209"/>
      <c r="R16" s="176"/>
    </row>
    <row r="17" spans="1:21" ht="9.6" customHeight="1" thickBot="1" x14ac:dyDescent="0.3">
      <c r="A17" s="187"/>
      <c r="B17" s="183"/>
      <c r="C17" s="183"/>
      <c r="D17" s="183"/>
      <c r="E17" s="183"/>
      <c r="F17" s="183"/>
      <c r="G17" s="183"/>
      <c r="H17" s="183"/>
      <c r="I17" s="183"/>
      <c r="J17" s="184"/>
      <c r="K17" s="210"/>
      <c r="L17" s="210"/>
      <c r="M17" s="211"/>
      <c r="N17" s="211"/>
      <c r="O17" s="212"/>
      <c r="P17" s="211"/>
      <c r="Q17" s="213"/>
      <c r="R17" s="214"/>
    </row>
    <row r="18" spans="1:21" x14ac:dyDescent="0.25">
      <c r="A18" s="215" t="s">
        <v>143</v>
      </c>
      <c r="B18" s="216"/>
      <c r="C18" s="216"/>
      <c r="D18" s="216"/>
      <c r="E18" s="216"/>
      <c r="F18" s="216"/>
      <c r="G18" s="216"/>
      <c r="H18" s="216"/>
      <c r="I18" s="217"/>
      <c r="J18" s="218" t="s">
        <v>144</v>
      </c>
      <c r="K18" s="219"/>
      <c r="L18" s="219"/>
      <c r="M18" s="1304" t="s">
        <v>145</v>
      </c>
      <c r="N18" s="1304"/>
      <c r="O18" s="220" t="s">
        <v>146</v>
      </c>
      <c r="P18" s="220"/>
      <c r="Q18" s="1305" t="s">
        <v>147</v>
      </c>
      <c r="R18" s="1306"/>
    </row>
    <row r="19" spans="1:21" x14ac:dyDescent="0.25">
      <c r="A19" s="221"/>
      <c r="B19" s="222"/>
      <c r="C19" s="222"/>
      <c r="D19" s="223" t="s">
        <v>148</v>
      </c>
      <c r="E19" s="224"/>
      <c r="F19" s="225"/>
      <c r="G19" s="226" t="s">
        <v>149</v>
      </c>
      <c r="H19" s="226"/>
      <c r="I19" s="226"/>
      <c r="J19" s="223" t="s">
        <v>150</v>
      </c>
      <c r="K19" s="227"/>
      <c r="L19" s="227"/>
      <c r="M19" s="227" t="s">
        <v>151</v>
      </c>
      <c r="N19" s="227"/>
      <c r="O19" s="227" t="s">
        <v>152</v>
      </c>
      <c r="P19" s="227"/>
      <c r="Q19" s="1307"/>
      <c r="R19" s="1308"/>
    </row>
    <row r="20" spans="1:21" x14ac:dyDescent="0.25">
      <c r="A20" s="1309" t="s">
        <v>153</v>
      </c>
      <c r="B20" s="1297"/>
      <c r="C20" s="1297"/>
      <c r="D20" s="1310">
        <f>J14</f>
        <v>1.8420000000000001</v>
      </c>
      <c r="E20" s="1310"/>
      <c r="F20" s="1310"/>
      <c r="G20" s="1311"/>
      <c r="H20" s="1312"/>
      <c r="I20" s="1313"/>
      <c r="J20" s="228">
        <v>56</v>
      </c>
      <c r="K20" s="229"/>
      <c r="L20" s="229"/>
      <c r="M20" s="1298">
        <f>C27</f>
        <v>1.8422857037963325</v>
      </c>
      <c r="N20" s="1298"/>
      <c r="O20" s="1314">
        <f>' CBR Poinc'!C23</f>
        <v>7.2863853341252733</v>
      </c>
      <c r="P20" s="1315"/>
      <c r="Q20" s="1302"/>
      <c r="R20" s="1303"/>
    </row>
    <row r="21" spans="1:21" x14ac:dyDescent="0.25">
      <c r="A21" s="1296" t="s">
        <v>154</v>
      </c>
      <c r="B21" s="1297"/>
      <c r="C21" s="1297"/>
      <c r="D21" s="1298">
        <f>J15</f>
        <v>7.3</v>
      </c>
      <c r="E21" s="1298"/>
      <c r="F21" s="1298"/>
      <c r="G21" s="1299"/>
      <c r="H21" s="1300"/>
      <c r="I21" s="1301"/>
      <c r="J21" s="230">
        <v>25</v>
      </c>
      <c r="K21" s="231"/>
      <c r="L21" s="231"/>
      <c r="M21" s="1298">
        <f>D27</f>
        <v>1.749714864139633</v>
      </c>
      <c r="N21" s="1298"/>
      <c r="O21" s="1298">
        <f>' CBR Poinc'!E23</f>
        <v>7.3218342852613016</v>
      </c>
      <c r="P21" s="1298"/>
      <c r="Q21" s="1302"/>
      <c r="R21" s="1303"/>
    </row>
    <row r="22" spans="1:21" ht="15.75" thickBot="1" x14ac:dyDescent="0.3">
      <c r="A22" s="1290" t="s">
        <v>155</v>
      </c>
      <c r="B22" s="1291"/>
      <c r="C22" s="1291"/>
      <c r="D22" s="1292"/>
      <c r="E22" s="1292"/>
      <c r="F22" s="1292"/>
      <c r="G22" s="1293"/>
      <c r="H22" s="1293"/>
      <c r="I22" s="1293"/>
      <c r="J22" s="232">
        <v>10</v>
      </c>
      <c r="K22" s="233"/>
      <c r="L22" s="233"/>
      <c r="M22" s="1263">
        <f>E27</f>
        <v>1.6578685717936619</v>
      </c>
      <c r="N22" s="1263"/>
      <c r="O22" s="1263">
        <f>' CBR Poinc'!G23</f>
        <v>7.2880976475431494</v>
      </c>
      <c r="P22" s="1263"/>
      <c r="Q22" s="1294"/>
      <c r="R22" s="1295"/>
    </row>
    <row r="23" spans="1:21" x14ac:dyDescent="0.25">
      <c r="A23" s="1282"/>
      <c r="B23" s="1283"/>
      <c r="C23" s="234"/>
      <c r="D23" s="234"/>
      <c r="E23" s="235"/>
      <c r="F23" s="236"/>
      <c r="G23" s="235"/>
      <c r="H23" s="237"/>
      <c r="I23" s="235"/>
      <c r="J23" s="1283"/>
      <c r="K23" s="1283"/>
      <c r="L23" s="234"/>
      <c r="M23" s="234"/>
      <c r="N23" s="235"/>
      <c r="O23" s="236"/>
      <c r="P23" s="238"/>
      <c r="Q23" s="1284"/>
      <c r="R23" s="1285"/>
    </row>
    <row r="24" spans="1:21" ht="15.75" thickBot="1" x14ac:dyDescent="0.3">
      <c r="A24" s="1286"/>
      <c r="B24" s="1287"/>
      <c r="C24" s="239"/>
      <c r="D24" s="240"/>
      <c r="E24" s="241"/>
      <c r="F24" s="242"/>
      <c r="G24" s="243"/>
      <c r="H24" s="237"/>
      <c r="I24" s="241"/>
      <c r="J24" s="1287"/>
      <c r="K24" s="1287"/>
      <c r="L24" s="239"/>
      <c r="M24" s="239"/>
      <c r="N24" s="241"/>
      <c r="O24" s="244"/>
      <c r="P24" s="245"/>
      <c r="Q24" s="1288"/>
      <c r="R24" s="1289"/>
    </row>
    <row r="25" spans="1:21" x14ac:dyDescent="0.25">
      <c r="A25" s="1267" t="s">
        <v>156</v>
      </c>
      <c r="B25" s="1268"/>
      <c r="C25" s="246">
        <v>56</v>
      </c>
      <c r="D25" s="246">
        <v>25</v>
      </c>
      <c r="E25" s="247">
        <v>10</v>
      </c>
      <c r="F25" s="242"/>
      <c r="G25" s="243"/>
      <c r="H25" s="248"/>
      <c r="I25" s="1269" t="s">
        <v>157</v>
      </c>
      <c r="J25" s="1270"/>
      <c r="K25" s="1271">
        <v>0.98</v>
      </c>
      <c r="L25" s="1271"/>
      <c r="M25" s="1272">
        <v>0.95</v>
      </c>
      <c r="N25" s="1272"/>
      <c r="O25" s="249">
        <v>0.94</v>
      </c>
      <c r="P25" s="249">
        <v>0.92</v>
      </c>
      <c r="Q25" s="1271">
        <v>0.9</v>
      </c>
      <c r="R25" s="1273"/>
    </row>
    <row r="26" spans="1:21" x14ac:dyDescent="0.25">
      <c r="A26" s="1274" t="s">
        <v>158</v>
      </c>
      <c r="B26" s="1275"/>
      <c r="C26" s="250">
        <f>' CBR Poinc'!R42</f>
        <v>17.886673955296409</v>
      </c>
      <c r="D26" s="250">
        <f>' CBR Poinc'!R46</f>
        <v>12.163514091350828</v>
      </c>
      <c r="E26" s="251">
        <f>' CBR Poinc'!R50</f>
        <v>5.9113226433430528</v>
      </c>
      <c r="F26" s="242"/>
      <c r="G26" s="243"/>
      <c r="H26" s="248"/>
      <c r="I26" s="1276" t="s">
        <v>75</v>
      </c>
      <c r="J26" s="1277"/>
      <c r="K26" s="1278"/>
      <c r="L26" s="1278"/>
      <c r="M26" s="1279">
        <f>T28</f>
        <v>12.2</v>
      </c>
      <c r="N26" s="1279"/>
      <c r="O26" s="252"/>
      <c r="P26" s="253"/>
      <c r="Q26" s="1280"/>
      <c r="R26" s="1281"/>
    </row>
    <row r="27" spans="1:21" ht="16.5" thickBot="1" x14ac:dyDescent="0.3">
      <c r="A27" s="1260" t="s">
        <v>159</v>
      </c>
      <c r="B27" s="1261"/>
      <c r="C27" s="254">
        <f>' CBR Poinc'!D31</f>
        <v>1.8422857037963325</v>
      </c>
      <c r="D27" s="254">
        <f>' CBR Poinc'!F31</f>
        <v>1.749714864139633</v>
      </c>
      <c r="E27" s="255">
        <f>' CBR Poinc'!H31</f>
        <v>1.6578685717936619</v>
      </c>
      <c r="F27" s="242"/>
      <c r="G27" s="243"/>
      <c r="H27" s="248"/>
      <c r="I27" s="1262" t="s">
        <v>159</v>
      </c>
      <c r="J27" s="1261"/>
      <c r="K27" s="1263"/>
      <c r="L27" s="1263"/>
      <c r="M27" s="1264">
        <f>J14*0.95</f>
        <v>1.7499</v>
      </c>
      <c r="N27" s="1264"/>
      <c r="O27" s="256"/>
      <c r="P27" s="256"/>
      <c r="Q27" s="1265"/>
      <c r="R27" s="1266"/>
      <c r="T27" s="618" t="s">
        <v>160</v>
      </c>
      <c r="U27" s="619"/>
    </row>
    <row r="28" spans="1:21" x14ac:dyDescent="0.25">
      <c r="A28" s="1253"/>
      <c r="B28" s="1254"/>
      <c r="C28" s="1254"/>
      <c r="D28" s="257"/>
      <c r="E28" s="258"/>
      <c r="F28" s="259"/>
      <c r="G28" s="260"/>
      <c r="H28" s="261"/>
      <c r="I28" s="258"/>
      <c r="J28" s="1254"/>
      <c r="K28" s="1254"/>
      <c r="L28" s="1254"/>
      <c r="M28" s="257"/>
      <c r="N28" s="262"/>
      <c r="O28" s="259"/>
      <c r="P28" s="209"/>
      <c r="Q28" s="1255"/>
      <c r="R28" s="1256"/>
      <c r="T28" s="263">
        <v>12.2</v>
      </c>
      <c r="U28" s="264">
        <f>M27</f>
        <v>1.7499</v>
      </c>
    </row>
    <row r="29" spans="1:21" x14ac:dyDescent="0.25">
      <c r="A29" s="1257"/>
      <c r="B29" s="1250"/>
      <c r="C29" s="1250"/>
      <c r="D29" s="265"/>
      <c r="E29" s="258"/>
      <c r="F29" s="258"/>
      <c r="G29" s="258"/>
      <c r="H29" s="258"/>
      <c r="I29" s="258"/>
      <c r="J29" s="1258"/>
      <c r="K29" s="1259"/>
      <c r="L29" s="1259"/>
      <c r="M29" s="266"/>
      <c r="N29" s="1250"/>
      <c r="O29" s="1250"/>
      <c r="P29" s="1250"/>
      <c r="Q29" s="1250"/>
      <c r="R29" s="267"/>
      <c r="T29" s="268">
        <v>12.2</v>
      </c>
      <c r="U29" s="269">
        <v>1.64</v>
      </c>
    </row>
    <row r="30" spans="1:21" x14ac:dyDescent="0.25">
      <c r="A30" s="270"/>
      <c r="B30" s="257"/>
      <c r="C30" s="257"/>
      <c r="D30" s="258"/>
      <c r="E30" s="258"/>
      <c r="F30" s="258"/>
      <c r="G30" s="258"/>
      <c r="H30" s="258"/>
      <c r="I30" s="258"/>
      <c r="J30" s="271"/>
      <c r="K30" s="272"/>
      <c r="L30" s="272"/>
      <c r="M30" s="258"/>
      <c r="N30" s="1250"/>
      <c r="O30" s="1250"/>
      <c r="P30" s="1250"/>
      <c r="Q30" s="1250"/>
      <c r="R30" s="267"/>
      <c r="T30" s="273"/>
      <c r="U30" s="274"/>
    </row>
    <row r="31" spans="1:21" x14ac:dyDescent="0.25">
      <c r="A31" s="275"/>
      <c r="B31" s="272"/>
      <c r="C31" s="272"/>
      <c r="D31" s="258"/>
      <c r="E31" s="258"/>
      <c r="F31" s="258"/>
      <c r="G31" s="258"/>
      <c r="H31" s="258"/>
      <c r="I31" s="258"/>
      <c r="J31" s="1251"/>
      <c r="K31" s="1251"/>
      <c r="L31" s="1251"/>
      <c r="M31" s="258"/>
      <c r="N31" s="1250"/>
      <c r="O31" s="1250"/>
      <c r="P31" s="1250"/>
      <c r="Q31" s="1250"/>
      <c r="R31" s="267"/>
      <c r="T31" s="268">
        <f>T28</f>
        <v>12.2</v>
      </c>
      <c r="U31" s="269">
        <f>U28</f>
        <v>1.7499</v>
      </c>
    </row>
    <row r="32" spans="1:21" x14ac:dyDescent="0.25">
      <c r="A32" s="276"/>
      <c r="B32" s="262"/>
      <c r="C32" s="262"/>
      <c r="D32" s="277"/>
      <c r="E32" s="277"/>
      <c r="F32" s="277"/>
      <c r="G32" s="277"/>
      <c r="H32" s="277"/>
      <c r="I32" s="277"/>
      <c r="J32" s="1252"/>
      <c r="K32" s="1252"/>
      <c r="L32" s="278"/>
      <c r="M32" s="262"/>
      <c r="N32" s="1250"/>
      <c r="O32" s="1250"/>
      <c r="P32" s="1250"/>
      <c r="Q32" s="1250"/>
      <c r="R32" s="267"/>
      <c r="T32" s="279">
        <v>4</v>
      </c>
      <c r="U32" s="280">
        <f>U31</f>
        <v>1.7499</v>
      </c>
    </row>
    <row r="33" spans="1:18" x14ac:dyDescent="0.25">
      <c r="A33" s="281"/>
      <c r="B33" s="282"/>
      <c r="C33" s="282"/>
      <c r="D33" s="283"/>
      <c r="E33" s="283"/>
      <c r="F33" s="283"/>
      <c r="G33" s="283"/>
      <c r="H33" s="283"/>
      <c r="I33" s="283"/>
      <c r="J33" s="1239"/>
      <c r="K33" s="1240"/>
      <c r="L33" s="284"/>
      <c r="M33" s="277"/>
      <c r="N33" s="1241"/>
      <c r="O33" s="1242"/>
      <c r="P33" s="285"/>
      <c r="Q33" s="286"/>
      <c r="R33" s="267"/>
    </row>
    <row r="34" spans="1:18" x14ac:dyDescent="0.25">
      <c r="A34" s="281"/>
      <c r="B34" s="282"/>
      <c r="C34" s="282"/>
      <c r="D34" s="283"/>
      <c r="E34" s="283"/>
      <c r="F34" s="283"/>
      <c r="G34" s="283"/>
      <c r="H34" s="283"/>
      <c r="I34" s="283"/>
      <c r="J34" s="1243"/>
      <c r="K34" s="1244"/>
      <c r="L34" s="287"/>
      <c r="M34" s="277"/>
      <c r="N34" s="288"/>
      <c r="O34" s="288"/>
      <c r="P34" s="289"/>
      <c r="Q34" s="277"/>
      <c r="R34" s="267"/>
    </row>
    <row r="35" spans="1:18" x14ac:dyDescent="0.25">
      <c r="A35" s="281"/>
      <c r="B35" s="282"/>
      <c r="C35" s="282"/>
      <c r="D35" s="283"/>
      <c r="E35" s="283"/>
      <c r="F35" s="283"/>
      <c r="G35" s="283"/>
      <c r="H35" s="283"/>
      <c r="I35" s="283"/>
      <c r="J35" s="1243"/>
      <c r="K35" s="1244"/>
      <c r="L35" s="287"/>
      <c r="M35" s="277"/>
      <c r="N35" s="262"/>
      <c r="O35" s="262"/>
      <c r="P35" s="262"/>
      <c r="Q35" s="262"/>
      <c r="R35" s="267"/>
    </row>
    <row r="36" spans="1:18" ht="15.75" thickBot="1" x14ac:dyDescent="0.3">
      <c r="A36" s="281"/>
      <c r="B36" s="282"/>
      <c r="C36" s="282"/>
      <c r="D36" s="283"/>
      <c r="E36" s="283"/>
      <c r="F36" s="283"/>
      <c r="G36" s="283"/>
      <c r="H36" s="283"/>
      <c r="I36" s="283"/>
      <c r="J36" s="1245"/>
      <c r="K36" s="1246"/>
      <c r="L36" s="290"/>
      <c r="M36" s="291"/>
      <c r="N36" s="291"/>
      <c r="O36" s="291"/>
      <c r="P36" s="291"/>
      <c r="Q36" s="291"/>
      <c r="R36" s="292"/>
    </row>
    <row r="37" spans="1:18" ht="15.75" thickBot="1" x14ac:dyDescent="0.3">
      <c r="A37" s="281"/>
      <c r="B37" s="282"/>
      <c r="C37" s="282"/>
      <c r="D37" s="283"/>
      <c r="E37" s="283"/>
      <c r="F37" s="283"/>
      <c r="G37" s="283"/>
      <c r="H37" s="283"/>
      <c r="I37" s="283"/>
      <c r="J37" s="278"/>
      <c r="K37" s="278"/>
      <c r="L37" s="293"/>
      <c r="M37" s="262"/>
      <c r="N37" s="262"/>
      <c r="O37" s="262"/>
      <c r="P37" s="262"/>
      <c r="Q37" s="262"/>
      <c r="R37" s="294"/>
    </row>
    <row r="38" spans="1:18" x14ac:dyDescent="0.25">
      <c r="A38" s="281"/>
      <c r="B38" s="282"/>
      <c r="C38" s="282"/>
      <c r="D38" s="283"/>
      <c r="E38" s="283"/>
      <c r="F38" s="283"/>
      <c r="G38" s="283"/>
      <c r="H38" s="283"/>
      <c r="I38" s="283"/>
      <c r="J38" s="1247"/>
      <c r="K38" s="1248"/>
      <c r="L38" s="1248"/>
      <c r="M38" s="1248"/>
      <c r="N38" s="1248"/>
      <c r="O38" s="1248"/>
      <c r="P38" s="1248"/>
      <c r="Q38" s="1248"/>
      <c r="R38" s="1249"/>
    </row>
    <row r="39" spans="1:18" x14ac:dyDescent="0.25">
      <c r="A39" s="281"/>
      <c r="B39" s="282"/>
      <c r="C39" s="282"/>
      <c r="D39" s="283"/>
      <c r="E39" s="283"/>
      <c r="F39" s="283"/>
      <c r="G39" s="283"/>
      <c r="H39" s="283"/>
      <c r="I39" s="283"/>
      <c r="J39" s="1229"/>
      <c r="K39" s="1230"/>
      <c r="L39" s="1230"/>
      <c r="M39" s="1230"/>
      <c r="N39" s="1230"/>
      <c r="O39" s="1230"/>
      <c r="P39" s="1230"/>
      <c r="Q39" s="1230"/>
      <c r="R39" s="1231"/>
    </row>
    <row r="40" spans="1:18" x14ac:dyDescent="0.25">
      <c r="A40" s="281"/>
      <c r="B40" s="282"/>
      <c r="C40" s="282"/>
      <c r="D40" s="283"/>
      <c r="E40" s="283"/>
      <c r="F40" s="283"/>
      <c r="G40" s="283"/>
      <c r="H40" s="283"/>
      <c r="I40" s="283"/>
      <c r="J40" s="295"/>
      <c r="K40" s="296"/>
      <c r="L40" s="297"/>
      <c r="M40" s="262"/>
      <c r="N40" s="262"/>
      <c r="O40" s="262"/>
      <c r="P40" s="262"/>
      <c r="Q40" s="262"/>
      <c r="R40" s="267"/>
    </row>
    <row r="41" spans="1:18" x14ac:dyDescent="0.25">
      <c r="A41" s="281"/>
      <c r="B41" s="282"/>
      <c r="C41" s="282"/>
      <c r="D41" s="283"/>
      <c r="E41" s="283"/>
      <c r="F41" s="283"/>
      <c r="G41" s="283"/>
      <c r="H41" s="283"/>
      <c r="I41" s="283"/>
      <c r="J41" s="298"/>
      <c r="K41" s="299"/>
      <c r="L41" s="286"/>
      <c r="M41" s="262"/>
      <c r="N41" s="1232"/>
      <c r="O41" s="1233"/>
      <c r="P41" s="300"/>
      <c r="Q41" s="301"/>
      <c r="R41" s="267"/>
    </row>
    <row r="42" spans="1:18" x14ac:dyDescent="0.25">
      <c r="A42" s="281"/>
      <c r="B42" s="282"/>
      <c r="C42" s="282"/>
      <c r="D42" s="283"/>
      <c r="E42" s="283"/>
      <c r="F42" s="283"/>
      <c r="G42" s="283"/>
      <c r="H42" s="283"/>
      <c r="I42" s="283"/>
      <c r="J42" s="302"/>
      <c r="K42" s="289"/>
      <c r="L42" s="289"/>
      <c r="M42" s="277"/>
      <c r="N42" s="262"/>
      <c r="O42" s="262"/>
      <c r="P42" s="262"/>
      <c r="Q42" s="262"/>
      <c r="R42" s="267"/>
    </row>
    <row r="43" spans="1:18" x14ac:dyDescent="0.25">
      <c r="A43" s="281"/>
      <c r="B43" s="282"/>
      <c r="C43" s="282"/>
      <c r="D43" s="283"/>
      <c r="E43" s="283"/>
      <c r="F43" s="283"/>
      <c r="G43" s="283"/>
      <c r="H43" s="283"/>
      <c r="I43" s="283"/>
      <c r="J43" s="1229"/>
      <c r="K43" s="1230"/>
      <c r="L43" s="1230"/>
      <c r="M43" s="1230"/>
      <c r="N43" s="1230"/>
      <c r="O43" s="1230"/>
      <c r="P43" s="1230"/>
      <c r="Q43" s="1230"/>
      <c r="R43" s="1231"/>
    </row>
    <row r="44" spans="1:18" x14ac:dyDescent="0.25">
      <c r="A44" s="281"/>
      <c r="B44" s="282"/>
      <c r="C44" s="282"/>
      <c r="D44" s="283"/>
      <c r="E44" s="283"/>
      <c r="F44" s="283"/>
      <c r="G44" s="283"/>
      <c r="H44" s="283"/>
      <c r="I44" s="283"/>
      <c r="J44" s="295"/>
      <c r="K44" s="296"/>
      <c r="L44" s="297"/>
      <c r="M44" s="262"/>
      <c r="N44" s="1234"/>
      <c r="O44" s="1235"/>
      <c r="P44" s="303"/>
      <c r="Q44" s="304"/>
      <c r="R44" s="267"/>
    </row>
    <row r="45" spans="1:18" x14ac:dyDescent="0.25">
      <c r="A45" s="281"/>
      <c r="B45" s="282"/>
      <c r="C45" s="282"/>
      <c r="D45" s="283"/>
      <c r="E45" s="283"/>
      <c r="F45" s="283"/>
      <c r="G45" s="283"/>
      <c r="H45" s="283"/>
      <c r="I45" s="283"/>
      <c r="J45" s="298"/>
      <c r="K45" s="299"/>
      <c r="L45" s="286"/>
      <c r="M45" s="262"/>
      <c r="N45" s="1236"/>
      <c r="O45" s="1236"/>
      <c r="P45" s="303"/>
      <c r="Q45" s="304"/>
      <c r="R45" s="267"/>
    </row>
    <row r="46" spans="1:18" x14ac:dyDescent="0.25">
      <c r="A46" s="305"/>
      <c r="B46" s="178"/>
      <c r="C46" s="178"/>
      <c r="D46" s="178"/>
      <c r="E46" s="178"/>
      <c r="F46" s="283"/>
      <c r="G46" s="283"/>
      <c r="H46" s="136"/>
      <c r="I46" s="136"/>
      <c r="J46" s="1237" t="s">
        <v>132</v>
      </c>
      <c r="K46" s="1237"/>
      <c r="L46" s="1237"/>
      <c r="M46" s="1238" t="s">
        <v>270</v>
      </c>
      <c r="N46" s="1238"/>
      <c r="O46" s="1238"/>
      <c r="P46" s="1238"/>
      <c r="Q46" s="1238"/>
      <c r="R46" s="176"/>
    </row>
    <row r="47" spans="1:18" ht="15.75" thickBot="1" x14ac:dyDescent="0.3">
      <c r="A47" s="165" t="s">
        <v>133</v>
      </c>
      <c r="B47" s="306"/>
      <c r="C47" s="306"/>
      <c r="D47" s="306"/>
      <c r="E47" s="306"/>
      <c r="F47" s="306"/>
      <c r="G47" s="306"/>
      <c r="H47" s="1226" t="s">
        <v>271</v>
      </c>
      <c r="I47" s="1227"/>
      <c r="J47" s="1227"/>
      <c r="K47" s="1227"/>
      <c r="L47" s="1227"/>
      <c r="M47" s="1228"/>
      <c r="N47" s="1228"/>
      <c r="O47" s="1228"/>
      <c r="P47" s="1228"/>
      <c r="Q47" s="1228"/>
      <c r="R47" s="214"/>
    </row>
  </sheetData>
  <mergeCells count="111"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PAGE RECAP  P1</vt:lpstr>
      <vt:lpstr>Teneur en eau 2 P1 </vt:lpstr>
      <vt:lpstr>Granulo P1</vt:lpstr>
      <vt:lpstr>Courbe P1 (2)</vt:lpstr>
      <vt:lpstr>Limite </vt:lpstr>
      <vt:lpstr>PS</vt:lpstr>
      <vt:lpstr>Proctor 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BARYT</dc:creator>
  <cp:lastModifiedBy>Utilisateur Windows</cp:lastModifiedBy>
  <cp:lastPrinted>2020-01-10T05:58:43Z</cp:lastPrinted>
  <dcterms:created xsi:type="dcterms:W3CDTF">2018-08-30T08:30:49Z</dcterms:created>
  <dcterms:modified xsi:type="dcterms:W3CDTF">2020-01-10T06:00:28Z</dcterms:modified>
</cp:coreProperties>
</file>