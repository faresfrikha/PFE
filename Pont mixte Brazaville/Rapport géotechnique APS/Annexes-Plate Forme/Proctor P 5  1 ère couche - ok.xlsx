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1" r:id="rId5"/>
    <sheet name="Proctor C01 (2)" sheetId="40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1" l="1"/>
  <c r="G32" i="41"/>
  <c r="H30" i="41"/>
  <c r="G30" i="41"/>
  <c r="H28" i="41"/>
  <c r="H34" i="41" s="1"/>
  <c r="G28" i="41"/>
  <c r="G34" i="41" s="1"/>
  <c r="G38" i="41" l="1"/>
  <c r="H38" i="41"/>
  <c r="G42" i="41" s="1"/>
  <c r="K12" i="25" s="1"/>
  <c r="L6" i="29"/>
  <c r="B6" i="29"/>
  <c r="N9" i="24"/>
  <c r="N6" i="24"/>
  <c r="D8" i="24"/>
  <c r="D5" i="24"/>
  <c r="B44" i="40" l="1"/>
  <c r="I44" i="40" s="1"/>
  <c r="B43" i="40"/>
  <c r="I43" i="40" s="1"/>
  <c r="K39" i="40"/>
  <c r="K40" i="40" s="1"/>
  <c r="J39" i="40"/>
  <c r="J40" i="40" s="1"/>
  <c r="I39" i="40"/>
  <c r="I40" i="40" s="1"/>
  <c r="H39" i="40"/>
  <c r="H40" i="40" s="1"/>
  <c r="G39" i="40"/>
  <c r="G40" i="40" s="1"/>
  <c r="F39" i="40"/>
  <c r="F40" i="40" s="1"/>
  <c r="E39" i="40"/>
  <c r="E40" i="40" s="1"/>
  <c r="D39" i="40"/>
  <c r="D40" i="40" s="1"/>
  <c r="C39" i="40"/>
  <c r="C40" i="40" s="1"/>
  <c r="B39" i="40"/>
  <c r="B40" i="40" s="1"/>
  <c r="J30" i="40"/>
  <c r="J32" i="40" s="1"/>
  <c r="H30" i="40"/>
  <c r="H32" i="40" s="1"/>
  <c r="F30" i="40"/>
  <c r="F32" i="40" s="1"/>
  <c r="D30" i="40"/>
  <c r="D32" i="40" s="1"/>
  <c r="B30" i="40"/>
  <c r="B32" i="40" s="1"/>
  <c r="H44" i="25" l="1"/>
  <c r="Y54" i="25" s="1"/>
  <c r="H43" i="25"/>
  <c r="X54" i="25" s="1"/>
  <c r="J13" i="23"/>
  <c r="J12" i="23"/>
  <c r="B33" i="40"/>
  <c r="B44" i="25" s="1"/>
  <c r="F33" i="40"/>
  <c r="D44" i="25" s="1"/>
  <c r="B41" i="40"/>
  <c r="B43" i="25" s="1"/>
  <c r="D41" i="40"/>
  <c r="F41" i="40"/>
  <c r="D43" i="25" s="1"/>
  <c r="H41" i="40"/>
  <c r="J41" i="40"/>
  <c r="D33" i="40" l="1"/>
  <c r="C44" i="25" s="1"/>
  <c r="C43" i="25"/>
  <c r="H33" i="40"/>
  <c r="E44" i="25" s="1"/>
  <c r="E43" i="25"/>
  <c r="J33" i="40"/>
  <c r="F44" i="25" s="1"/>
  <c r="F43" i="25"/>
  <c r="X55" i="25"/>
  <c r="M26" i="24" l="1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L24" i="27" l="1"/>
  <c r="C17" i="25"/>
  <c r="D17" i="25" s="1"/>
  <c r="E17" i="25" s="1"/>
  <c r="AD18" i="25" s="1"/>
  <c r="N23" i="27"/>
  <c r="O23" i="27" s="1"/>
  <c r="U19" i="29" s="1"/>
  <c r="C18" i="25"/>
  <c r="D18" i="25" s="1"/>
  <c r="E18" i="25" s="1"/>
  <c r="AD19" i="25" s="1"/>
  <c r="L26" i="27"/>
  <c r="F41" i="26"/>
  <c r="K11" i="25" s="1"/>
  <c r="N26" i="27"/>
  <c r="O26" i="27" s="1"/>
  <c r="U21" i="29" s="1"/>
  <c r="N24" i="27"/>
  <c r="O24" i="27" s="1"/>
  <c r="U20" i="29" s="1"/>
  <c r="C19" i="25" l="1"/>
  <c r="D19" i="25" s="1"/>
  <c r="E19" i="25" s="1"/>
  <c r="AD20" i="25" s="1"/>
  <c r="L29" i="27"/>
  <c r="L32" i="27" l="1"/>
  <c r="C20" i="25"/>
  <c r="D20" i="25" s="1"/>
  <c r="E20" i="25" s="1"/>
  <c r="AD21" i="25" s="1"/>
  <c r="N29" i="27"/>
  <c r="O29" i="27" s="1"/>
  <c r="U22" i="29" s="1"/>
  <c r="N32" i="27"/>
  <c r="O32" i="27" s="1"/>
  <c r="U23" i="29" s="1"/>
  <c r="L36" i="27" l="1"/>
  <c r="C22" i="25"/>
  <c r="D22" i="25" s="1"/>
  <c r="E22" i="25" s="1"/>
  <c r="AD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N43" i="27" s="1"/>
  <c r="O43" i="27" s="1"/>
  <c r="U26" i="29" s="1"/>
  <c r="C27" i="25"/>
  <c r="D27" i="25" s="1"/>
  <c r="E27" i="25" s="1"/>
  <c r="AD24" i="25" s="1"/>
  <c r="L46" i="27" l="1"/>
  <c r="L49" i="27" s="1"/>
  <c r="L50" i="27" s="1"/>
  <c r="C29" i="25"/>
  <c r="D29" i="25" s="1"/>
  <c r="E29" i="25" s="1"/>
  <c r="AD25" i="25" s="1"/>
  <c r="N46" i="27"/>
  <c r="O46" i="27" s="1"/>
  <c r="U27" i="29" s="1"/>
  <c r="C31" i="25" l="1"/>
  <c r="D31" i="25" s="1"/>
  <c r="E31" i="25" s="1"/>
  <c r="AD26" i="25" s="1"/>
  <c r="N49" i="27"/>
  <c r="O49" i="27" s="1"/>
  <c r="U28" i="29" s="1"/>
  <c r="C33" i="25" l="1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<sst xmlns="http://schemas.openxmlformats.org/spreadsheetml/2006/main" count="530" uniqueCount="361">
  <si>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</si>
  <si>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</si>
  <si>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</si>
  <si>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</si>
  <si>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</si>
  <si>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</si>
  <si>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</si>
  <si>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</si>
  <si>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</si>
  <si>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</si>
  <si>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</si>
  <si>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</si>
  <si>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</si>
  <si>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</si>
  <si>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</si>
  <si>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</si>
  <si>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</si>
  <si>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</si>
  <si>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</si>
  <si>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</si>
  <si>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</si>
  <si>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</si>
  <si>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</si>
  <si>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</si>
  <si>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</si>
  <si>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</si>
  <si>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</si>
  <si>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</si>
  <si>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</si>
  <si>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</si>
  <si>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</si>
  <si>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</si>
  <si>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</si>
  <si>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</si>
  <si>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</si>
  <si>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</si>
  <si>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</si>
  <si>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</si>
  <si>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</si>
  <si>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</si>
  <si>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</si>
  <si>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</si>
  <si>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</si>
  <si>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</si>
  <si>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</si>
  <si>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</si>
  <si>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</si>
  <si>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</si>
  <si>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</si>
  <si>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</si>
  <si>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</si>
  <si>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</si>
  <si>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</si>
  <si>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</si>
  <si>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</si>
  <si>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</si>
  <si>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</si>
  <si>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</si>
  <si>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</si>
  <si>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</si>
  <si>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</si>
  <si>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</si>
  <si>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</si>
  <si>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</si>
  <si>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</si>
  <si>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</si>
  <si>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</si>
  <si>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</si>
  <si>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</si>
  <si>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</si>
  <si>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</si>
  <si>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</si>
  <si>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</si>
  <si>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</si>
  <si>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</si>
  <si>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</si>
  <si>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</si>
  <si>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</si>
  <si>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</si>
  <si>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</si>
  <si>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</si>
  <si>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</si>
  <si>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</si>
  <si>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</si>
  <si>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</si>
  <si>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</si>
  <si>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</si>
  <si>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</si>
  <si>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</si>
  <si>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</si>
  <si>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</si>
  <si>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</si>
  <si>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</si>
  <si>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</si>
  <si>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</si>
  <si>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</si>
  <si>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</si>
  <si>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</si>
  <si>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</si>
  <si>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</si>
  <si>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</si>
  <si>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</si>
  <si>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</si>
  <si>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</si>
  <si>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</si>
  <si>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</si>
  <si>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</si>
  <si>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</si>
  <si>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</si>
  <si>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</si>
  <si>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</si>
  <si>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</si>
  <si>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</si>
  <si>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</si>
  <si>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</si>
  <si>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</si>
  <si>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</si>
  <si>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</si>
  <si>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</si>
  <si>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</si>
  <si>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</si>
  <si>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</si>
  <si>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</si>
  <si>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</si>
  <si>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</si>
  <si>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</si>
  <si>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</si>
  <si>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</si>
  <si>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</si>
  <si>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</si>
  <si>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</si>
  <si>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</si>
  <si>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</si>
  <si>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</si>
  <si>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</si>
  <si>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</si>
  <si>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</si>
  <si>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</si>
  <si>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</si>
  <si>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</si>
  <si>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</si>
  <si>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</si>
  <si>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</si>
  <si>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</si>
  <si>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</si>
  <si>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</si>
  <si>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</si>
  <si>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</si>
  <si>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</si>
  <si>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</si>
  <si>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</si>
  <si>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</si>
  <si>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</si>
  <si>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</si>
  <si>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</si>
  <si>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</si>
  <si>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</si>
  <si>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</si>
  <si>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</si>
  <si>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</si>
  <si>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</si>
  <si>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</si>
  <si>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</si>
  <si>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</si>
  <si>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</si>
  <si>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</si>
  <si>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</si>
  <si>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</si>
  <si>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</si>
  <si>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</si>
  <si>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</si>
  <si>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</si>
  <si>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</si>
  <si>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</si>
  <si>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</si>
  <si>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</si>
  <si>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</si>
  <si>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</si>
  <si>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</si>
  <si>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</si>
  <si>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</si>
  <si>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</si>
  <si>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</si>
  <si>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</si>
  <si>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</si>
  <si>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</si>
  <si>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</si>
  <si>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</si>
  <si>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</si>
  <si>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</si>
  <si>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</si>
  <si>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</si>
  <si>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</si>
  <si>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</si>
  <si>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</si>
  <si>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</si>
  <si>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</si>
  <si>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</si>
  <si>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</si>
  <si>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</si>
  <si>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</si>
  <si>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</si>
  <si>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</si>
  <si>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</si>
  <si>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</si>
  <si>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</si>
  <si>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</si>
  <si>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</si>
  <si>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</si>
  <si>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</si>
  <si>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</si>
  <si>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</si>
  <si>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</si>
  <si>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</si>
  <si>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</si>
  <si>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</si>
  <si>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</si>
  <si>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</si>
  <si>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</si>
  <si>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</si>
  <si>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</si>
  <si>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</si>
  <si>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</si>
  <si>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</si>
  <si>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</si>
  <si>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</si>
  <si>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</si>
  <si>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</si>
  <si>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</si>
  <si>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</si>
  <si>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</si>
  <si>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</si>
  <si>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</si>
  <si>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</si>
  <si>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</si>
  <si>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</si>
  <si>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</si>
  <si>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</si>
  <si>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</si>
  <si>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</si>
  <si>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</si>
  <si>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</si>
  <si>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</si>
  <si>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</si>
  <si>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</si>
  <si>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</si>
  <si>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</si>
  <si>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</si>
  <si>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</si>
  <si>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</si>
  <si>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</si>
  <si>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</si>
  <si>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</si>
  <si>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</si>
  <si>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</si>
  <si>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</si>
  <si>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</si>
  <si>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</si>
  <si>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</si>
  <si>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</si>
  <si>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</si>
  <si>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</si>
  <si>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</si>
  <si>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</si>
  <si>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</si>
  <si>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</si>
  <si>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</si>
  <si>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</si>
  <si>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</si>
  <si>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</si>
  <si>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</si>
  <si>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</si>
  <si>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</si>
  <si>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</si>
  <si>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</si>
  <si>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</si>
  <si>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</si>
  <si>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</si>
  <si>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</si>
  <si>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</si>
  <si>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</si>
  <si>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</si>
  <si>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</si>
  <si>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</si>
  <si>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</si>
  <si>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</si>
  <si>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</si>
  <si>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</si>
  <si>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</si>
  <si>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</si>
  <si>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</si>
  <si>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</si>
  <si>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</si>
  <si>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</si>
  <si>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</si>
  <si>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</si>
  <si>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</si>
  <si>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</si>
  <si>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</si>
  <si>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</si>
  <si>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</si>
  <si>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</si>
  <si>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</si>
  <si>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</si>
  <si>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</si>
  <si>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</si>
  <si>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</si>
  <si>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</si>
  <si>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</si>
  <si>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</si>
  <si>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C</t>
  </si>
  <si>
    <t>ETUDE</t>
  </si>
  <si>
    <t xml:space="preserve">Poids refus </t>
  </si>
  <si>
    <t>Pourcentage cumulé</t>
  </si>
  <si>
    <t>DB1</t>
  </si>
  <si>
    <t>DL</t>
  </si>
  <si>
    <t>DB6</t>
  </si>
  <si>
    <t xml:space="preserve">N° de reception: </t>
  </si>
  <si>
    <t>Bureau de Contrôle du Bâtiment et des Travaux Publics</t>
  </si>
  <si>
    <t>QBC</t>
  </si>
  <si>
    <t>Localisation du chantier:  Corniche Pont du Djoué</t>
  </si>
  <si>
    <t>Provenance:  Puit 5 1ère couche</t>
  </si>
  <si>
    <t>11'</t>
  </si>
  <si>
    <t>36A</t>
  </si>
  <si>
    <t>B100</t>
  </si>
  <si>
    <t>B23</t>
  </si>
  <si>
    <t>B44</t>
  </si>
  <si>
    <t>Corniche Pont du Djoué</t>
  </si>
  <si>
    <t>Du 20/12/2019 au 24/12/2019</t>
  </si>
  <si>
    <t>Puit 5 - 1ère couche</t>
  </si>
  <si>
    <t>Sable Gréseux</t>
  </si>
  <si>
    <t>ME</t>
  </si>
  <si>
    <t>NK'</t>
  </si>
  <si>
    <t>B/ville, 24/12/2019</t>
  </si>
  <si>
    <t>Puit 5 - Sable Gréseux</t>
  </si>
  <si>
    <t>T'/B9</t>
  </si>
  <si>
    <t>Sable Gréseux - P 5 -1ère couche</t>
  </si>
  <si>
    <r>
      <t>Nature de materiaux</t>
    </r>
    <r>
      <rPr>
        <sz val="11"/>
        <color theme="1"/>
        <rFont val="Calibri"/>
        <family val="2"/>
      </rPr>
      <t>: Sable Gréseux</t>
    </r>
  </si>
  <si>
    <t>Profondeur 0,10 m - 0,60 m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</si>
  <si>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</si>
  <si>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</si>
  <si>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</si>
  <si>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</si>
  <si>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</si>
  <si>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</si>
  <si>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</si>
  <si>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</si>
  <si>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</si>
  <si>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</si>
  <si>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</si>
  <si>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</si>
  <si>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</si>
  <si>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</si>
  <si>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</si>
  <si>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</si>
  <si>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Gréseux ,Profondeur  0,10 m  - 0,60 m, Puit 1 - 1ème couche</t>
  </si>
  <si>
    <t>Date :         17/10/2019</t>
  </si>
  <si>
    <t>Expérimentateur :BEANGE Grace</t>
  </si>
  <si>
    <t>Sable limoneux gris</t>
  </si>
  <si>
    <t xml:space="preserve">Corniche Brazzaville - Tronçon Fulbert YOULOU  Pont du Djoué  - Puit 5 - 1 ère couche 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</si>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</sst>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2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5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8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9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80" xfId="0" applyNumberFormat="1" applyFont="1" applyFill="1" applyBorder="1" applyAlignment="1">
      <alignment horizontal="center" vertical="center"/>
    </xf>
    <xf numFmtId="9" fontId="44" fillId="9" borderId="181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9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9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9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01" fillId="9" borderId="174" xfId="0" applyFont="1" applyFill="1" applyBorder="1" applyAlignment="1">
      <alignment horizontal="center" vertical="center"/>
    </xf>
    <xf numFmtId="0" fontId="82" fillId="0" borderId="3" xfId="0" applyFont="1" applyBorder="1"/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" xfId="0" quotePrefix="1" applyFont="1" applyFill="1" applyBorder="1" applyAlignment="1">
      <alignment horizontal="center" wrapText="1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4" xfId="0" applyFont="1" applyFill="1" applyBorder="1" applyAlignment="1">
      <alignment horizontal="center" vertical="center"/>
    </xf>
    <xf numFmtId="0" fontId="102" fillId="9" borderId="175" xfId="0" applyFont="1" applyFill="1" applyBorder="1" applyAlignment="1">
      <alignment horizontal="center" wrapText="1"/>
    </xf>
    <xf numFmtId="0" fontId="102" fillId="9" borderId="8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" fontId="41" fillId="0" borderId="165" xfId="0" applyNumberFormat="1" applyFont="1" applyBorder="1" applyAlignment="1">
      <alignment horizontal="center" vertical="center"/>
    </xf>
    <xf numFmtId="0" fontId="41" fillId="0" borderId="166" xfId="0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vertical="center" wrapText="1"/>
    </xf>
    <xf numFmtId="0" fontId="102" fillId="9" borderId="8" xfId="0" applyFont="1" applyFill="1" applyBorder="1" applyAlignment="1">
      <alignment horizontal="center" vertical="center" wrapText="1"/>
    </xf>
    <xf numFmtId="0" fontId="101" fillId="9" borderId="176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7" xfId="0" applyFont="1" applyFill="1" applyBorder="1" applyAlignment="1">
      <alignment horizontal="center" vertical="center"/>
    </xf>
    <xf numFmtId="0" fontId="101" fillId="9" borderId="170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164" fontId="0" fillId="0" borderId="76" xfId="0" applyNumberFormat="1" applyFont="1" applyFill="1" applyBorder="1" applyAlignment="1">
      <alignment horizontal="center" vertical="center" wrapText="1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9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79" fillId="0" borderId="148" xfId="0" applyFont="1" applyBorder="1" applyAlignment="1">
      <alignment horizontal="left"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7" xfId="0" applyNumberFormat="1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5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2" fillId="0" borderId="182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2" xfId="0" applyFont="1" applyBorder="1" applyAlignment="1">
      <alignment horizont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164" fontId="82" fillId="0" borderId="87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9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0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1" xfId="0" applyFont="1" applyBorder="1" applyAlignment="1">
      <alignment horizontal="left" vertical="center" wrapText="1"/>
    </xf>
    <xf numFmtId="164" fontId="82" fillId="0" borderId="1" xfId="0" applyNumberFormat="1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1" fillId="0" borderId="90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2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5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2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6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8" xfId="0" applyFont="1" applyBorder="1" applyAlignment="1">
      <alignment vertical="top" wrapText="1"/>
    </xf>
    <xf numFmtId="0" fontId="7" fillId="0" borderId="187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9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5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2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2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 wrapText="1"/>
    </xf>
    <xf numFmtId="164" fontId="2" fillId="3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0" fontId="20" fillId="0" borderId="101" xfId="0" applyFont="1" applyBorder="1" applyAlignment="1">
      <alignment horizontal="right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95.166666666666671</c:v>
                </c:pt>
                <c:pt idx="3">
                  <c:v>88.433333333333337</c:v>
                </c:pt>
                <c:pt idx="4">
                  <c:v>85.166666666666671</c:v>
                </c:pt>
                <c:pt idx="5">
                  <c:v>82.2</c:v>
                </c:pt>
                <c:pt idx="6">
                  <c:v>79.366666666666674</c:v>
                </c:pt>
                <c:pt idx="7">
                  <c:v>62.666666666666664</c:v>
                </c:pt>
                <c:pt idx="8">
                  <c:v>37.333333333333336</c:v>
                </c:pt>
                <c:pt idx="9">
                  <c:v>20.200000000000003</c:v>
                </c:pt>
                <c:pt idx="10">
                  <c:v>17.63333333333334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60832"/>
        <c:axId val="161927168"/>
      </c:scatterChart>
      <c:valAx>
        <c:axId val="13956083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927168"/>
        <c:crosses val="autoZero"/>
        <c:crossBetween val="midCat"/>
      </c:valAx>
      <c:valAx>
        <c:axId val="1619271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560832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4.0757193665976752</c:v>
                </c:pt>
                <c:pt idx="1">
                  <c:v>6.1550749039416246</c:v>
                </c:pt>
                <c:pt idx="2">
                  <c:v>8.1398679561242524</c:v>
                </c:pt>
                <c:pt idx="3">
                  <c:v>10.14656325501363</c:v>
                </c:pt>
                <c:pt idx="4">
                  <c:v>12.042723116040758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1.9713938627874381</c:v>
                </c:pt>
                <c:pt idx="1">
                  <c:v>2.0889524510037445</c:v>
                </c:pt>
                <c:pt idx="2">
                  <c:v>2.0916241739539396</c:v>
                </c:pt>
                <c:pt idx="3">
                  <c:v>2.0055835099308439</c:v>
                </c:pt>
                <c:pt idx="4">
                  <c:v>1.9245185577208863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 formatCode="0.00">
                  <c:v>7.2</c:v>
                </c:pt>
                <c:pt idx="1">
                  <c:v>7.2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 formatCode="0.000">
                  <c:v>2.1030000000000002</c:v>
                </c:pt>
                <c:pt idx="1">
                  <c:v>1.98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7.2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2.1030000000000002</c:v>
                </c:pt>
                <c:pt idx="1">
                  <c:v>2.1030000000000002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520192"/>
        <c:axId val="304802816"/>
      </c:scatterChart>
      <c:valAx>
        <c:axId val="304520192"/>
        <c:scaling>
          <c:orientation val="minMax"/>
          <c:max val="14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802816"/>
        <c:crossesAt val="1.2"/>
        <c:crossBetween val="midCat"/>
        <c:majorUnit val="2"/>
      </c:valAx>
      <c:valAx>
        <c:axId val="304802816"/>
        <c:scaling>
          <c:orientation val="minMax"/>
          <c:max val="2.12"/>
          <c:min val="1.90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520192"/>
        <c:crossesAt val="1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30.386406480117824</c:v>
                </c:pt>
                <c:pt idx="1">
                  <c:v>21.348742268041239</c:v>
                </c:pt>
                <c:pt idx="2">
                  <c:v>12.019540500736378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2.1029887248180978</c:v>
                </c:pt>
                <c:pt idx="1">
                  <c:v>1.9977936379330761</c:v>
                </c:pt>
                <c:pt idx="2">
                  <c:v>1.8934571566683991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21.4</c:v>
                </c:pt>
                <c:pt idx="1">
                  <c:v>21.4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1.9978500000000001</c:v>
                </c:pt>
                <c:pt idx="1">
                  <c:v>1.88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10</c:v>
                </c:pt>
                <c:pt idx="1">
                  <c:v>21.4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1.9978500000000001</c:v>
                </c:pt>
                <c:pt idx="1">
                  <c:v>1.9978500000000001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303808"/>
        <c:axId val="429403136"/>
      </c:scatterChart>
      <c:valAx>
        <c:axId val="317303808"/>
        <c:scaling>
          <c:orientation val="minMax"/>
          <c:max val="32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29403136"/>
        <c:crossesAt val="1.4"/>
        <c:crossBetween val="midCat"/>
        <c:majorUnit val="8"/>
        <c:minorUnit val="0.8"/>
      </c:valAx>
      <c:valAx>
        <c:axId val="429403136"/>
        <c:scaling>
          <c:orientation val="minMax"/>
          <c:max val="2.12"/>
          <c:min val="1.88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7303808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95.166666666666671</c:v>
                </c:pt>
                <c:pt idx="3">
                  <c:v>88.433333333333337</c:v>
                </c:pt>
                <c:pt idx="4">
                  <c:v>85.166666666666671</c:v>
                </c:pt>
                <c:pt idx="5">
                  <c:v>82.2</c:v>
                </c:pt>
                <c:pt idx="6">
                  <c:v>79.366666666666674</c:v>
                </c:pt>
                <c:pt idx="7">
                  <c:v>62.666666666666664</c:v>
                </c:pt>
                <c:pt idx="8">
                  <c:v>37.333333333333329</c:v>
                </c:pt>
                <c:pt idx="9">
                  <c:v>20.199999999999989</c:v>
                </c:pt>
                <c:pt idx="10">
                  <c:v>17.63333333333334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2048"/>
        <c:axId val="199848704"/>
      </c:scatterChart>
      <c:valAx>
        <c:axId val="199842048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9848704"/>
        <c:crosses val="autoZero"/>
        <c:crossBetween val="midCat"/>
        <c:majorUnit val="10"/>
      </c:valAx>
      <c:valAx>
        <c:axId val="199848704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9842048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5 1ère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4409007088084442"/>
          <c:y val="1.104362161005022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 (2)'!$B$41,'Proctor C01 (2)'!$D$41,'Proctor C01 (2)'!$F$41,'Proctor C01 (2)'!$H$41,'Proctor C01 (2)'!$J$41)</c:f>
              <c:numCache>
                <c:formatCode>0.0</c:formatCode>
                <c:ptCount val="5"/>
                <c:pt idx="0">
                  <c:v>4.0757193665976752</c:v>
                </c:pt>
                <c:pt idx="1">
                  <c:v>6.1550749039416246</c:v>
                </c:pt>
                <c:pt idx="2">
                  <c:v>8.1398679561242524</c:v>
                </c:pt>
                <c:pt idx="3">
                  <c:v>10.14656325501363</c:v>
                </c:pt>
                <c:pt idx="4">
                  <c:v>12.042723116040758</c:v>
                </c:pt>
              </c:numCache>
            </c:numRef>
          </c:xVal>
          <c:yVal>
            <c:numRef>
              <c:f>('Proctor C01 (2)'!$B$33,'Proctor C01 (2)'!$D$33,'Proctor C01 (2)'!$F$33,'Proctor C01 (2)'!$H$33,'Proctor C01 (2)'!$J$33)</c:f>
              <c:numCache>
                <c:formatCode>0.00</c:formatCode>
                <c:ptCount val="5"/>
                <c:pt idx="0">
                  <c:v>1.9713938627874381</c:v>
                </c:pt>
                <c:pt idx="1">
                  <c:v>2.0889524510037445</c:v>
                </c:pt>
                <c:pt idx="2">
                  <c:v>2.0916241739539396</c:v>
                </c:pt>
                <c:pt idx="3">
                  <c:v>2.0055835099308439</c:v>
                </c:pt>
                <c:pt idx="4">
                  <c:v>1.9245185577208863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7A-49D7-AA84-66BC4695A133}"/>
            </c:ext>
          </c:extLst>
        </c:ser>
        <c:ser>
          <c:idx val="1"/>
          <c:order val="1"/>
          <c:tx>
            <c:strRef>
              <c:f>'Proctor C01 (2)'!$O$52:$O$53</c:f>
              <c:strCache>
                <c:ptCount val="1"/>
                <c:pt idx="0">
                  <c:v>2,103 1,96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 (2)'!$N$52:$N$53</c:f>
              <c:numCache>
                <c:formatCode>General</c:formatCode>
                <c:ptCount val="2"/>
                <c:pt idx="0">
                  <c:v>7.2</c:v>
                </c:pt>
                <c:pt idx="1">
                  <c:v>7.2</c:v>
                </c:pt>
              </c:numCache>
            </c:numRef>
          </c:xVal>
          <c:yVal>
            <c:numRef>
              <c:f>'Proctor C01 (2)'!$O$52:$O$53</c:f>
              <c:numCache>
                <c:formatCode>General</c:formatCode>
                <c:ptCount val="2"/>
                <c:pt idx="0">
                  <c:v>2.1030000000000002</c:v>
                </c:pt>
                <c:pt idx="1">
                  <c:v>1.96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37A-49D7-AA84-66BC4695A133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 (2)'!$O$55:$O$56</c:f>
              <c:numCache>
                <c:formatCode>General</c:formatCode>
                <c:ptCount val="2"/>
                <c:pt idx="0">
                  <c:v>9</c:v>
                </c:pt>
                <c:pt idx="1">
                  <c:v>2</c:v>
                </c:pt>
              </c:numCache>
            </c:numRef>
          </c:xVal>
          <c:yVal>
            <c:numRef>
              <c:f>'Proctor C01 (2)'!$N$55:$N$56</c:f>
              <c:numCache>
                <c:formatCode>General</c:formatCode>
                <c:ptCount val="2"/>
                <c:pt idx="0">
                  <c:v>2.1030000000000002</c:v>
                </c:pt>
                <c:pt idx="1">
                  <c:v>2.1030000000000002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37A-49D7-AA84-66BC4695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0352"/>
        <c:axId val="200022272"/>
      </c:scatterChart>
      <c:valAx>
        <c:axId val="200020352"/>
        <c:scaling>
          <c:orientation val="minMax"/>
          <c:max val="13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22272"/>
        <c:crosses val="autoZero"/>
        <c:crossBetween val="midCat"/>
        <c:minorUnit val="0.2"/>
      </c:valAx>
      <c:valAx>
        <c:axId val="200022272"/>
        <c:scaling>
          <c:orientation val="minMax"/>
          <c:max val="2.12"/>
          <c:min val="1.9000000000000001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20352"/>
        <c:crosses val="autoZero"/>
        <c:crossBetween val="midCat"/>
        <c:majorUnit val="4.0000000000000022E-2"/>
        <c:minorUnit val="4.0000000000000027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18.718940000000003</c:v>
                </c:pt>
                <c:pt idx="2">
                  <c:v>155.30719999999999</c:v>
                </c:pt>
                <c:pt idx="3">
                  <c:v>269.13075000000003</c:v>
                </c:pt>
                <c:pt idx="4">
                  <c:v>348.31234999999998</c:v>
                </c:pt>
                <c:pt idx="5">
                  <c:v>412.64740000000006</c:v>
                </c:pt>
                <c:pt idx="6">
                  <c:v>485.89038000000011</c:v>
                </c:pt>
                <c:pt idx="7">
                  <c:v>511.62440000000004</c:v>
                </c:pt>
                <c:pt idx="8">
                  <c:v>583.87761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8.8212399999999995</c:v>
                </c:pt>
                <c:pt idx="2">
                  <c:v>83.053989999999999</c:v>
                </c:pt>
                <c:pt idx="3">
                  <c:v>184.01053000000002</c:v>
                </c:pt>
                <c:pt idx="4">
                  <c:v>247.35580999999999</c:v>
                </c:pt>
                <c:pt idx="5">
                  <c:v>289.91592000000003</c:v>
                </c:pt>
                <c:pt idx="6">
                  <c:v>362.16913000000005</c:v>
                </c:pt>
                <c:pt idx="7">
                  <c:v>368.10775000000007</c:v>
                </c:pt>
                <c:pt idx="8">
                  <c:v>384.93384000000003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3.8723900000000011</c:v>
                </c:pt>
                <c:pt idx="2">
                  <c:v>39.504109999999997</c:v>
                </c:pt>
                <c:pt idx="3">
                  <c:v>88.992610000000013</c:v>
                </c:pt>
                <c:pt idx="4">
                  <c:v>122.64479</c:v>
                </c:pt>
                <c:pt idx="5">
                  <c:v>163.22536000000002</c:v>
                </c:pt>
                <c:pt idx="6">
                  <c:v>197.86731</c:v>
                </c:pt>
                <c:pt idx="7">
                  <c:v>221.62179000000003</c:v>
                </c:pt>
                <c:pt idx="8">
                  <c:v>259.23305000000005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77152"/>
        <c:axId val="200178688"/>
      </c:scatterChart>
      <c:valAx>
        <c:axId val="200177152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178688"/>
        <c:crosses val="autoZero"/>
        <c:crossBetween val="midCat"/>
        <c:majorUnit val="1"/>
      </c:valAx>
      <c:valAx>
        <c:axId val="20017868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177152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5 - 1 ère couche</a:t>
            </a:r>
            <a:endParaRPr lang="fr-FR" b="1"/>
          </a:p>
        </c:rich>
      </c:tx>
      <c:layout>
        <c:manualLayout>
          <c:xMode val="edge"/>
          <c:yMode val="edge"/>
          <c:x val="0.33127562505165292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30.386406480117824</c:v>
                </c:pt>
                <c:pt idx="1">
                  <c:v>21.348742268041239</c:v>
                </c:pt>
                <c:pt idx="2">
                  <c:v>12.019540500736378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2.1029887248180978</c:v>
                </c:pt>
                <c:pt idx="1">
                  <c:v>1.9977936379330761</c:v>
                </c:pt>
                <c:pt idx="2">
                  <c:v>1.8934571566683991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21.4</c:v>
                </c:pt>
                <c:pt idx="1">
                  <c:v>21.4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1.9978500000000001</c:v>
                </c:pt>
                <c:pt idx="1">
                  <c:v>1.88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21.4</c:v>
                </c:pt>
                <c:pt idx="1">
                  <c:v>10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1.9978500000000001</c:v>
                </c:pt>
                <c:pt idx="1">
                  <c:v>1.9978500000000001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28864"/>
        <c:axId val="200231168"/>
      </c:scatterChart>
      <c:valAx>
        <c:axId val="200228864"/>
        <c:scaling>
          <c:orientation val="minMax"/>
          <c:max val="32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231168"/>
        <c:crossesAt val="1.4"/>
        <c:crossBetween val="midCat"/>
        <c:majorUnit val="4"/>
        <c:minorUnit val="0.4"/>
      </c:valAx>
      <c:valAx>
        <c:axId val="200231168"/>
        <c:scaling>
          <c:orientation val="minMax"/>
          <c:max val="2.12"/>
          <c:min val="1.88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228864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40061</xdr:colOff>
      <xdr:row>54</xdr:row>
      <xdr:rowOff>89088</xdr:rowOff>
    </xdr:from>
    <xdr:to>
      <xdr:col>18</xdr:col>
      <xdr:colOff>392205</xdr:colOff>
      <xdr:row>55</xdr:row>
      <xdr:rowOff>154554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895135" y="9032783"/>
          <a:ext cx="821390" cy="2545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21</a:t>
          </a:r>
        </a:p>
      </xdr:txBody>
    </xdr:sp>
    <xdr:clientData/>
  </xdr:twoCellAnchor>
  <xdr:twoCellAnchor>
    <xdr:from>
      <xdr:col>3</xdr:col>
      <xdr:colOff>247931</xdr:colOff>
      <xdr:row>50</xdr:row>
      <xdr:rowOff>178790</xdr:rowOff>
    </xdr:from>
    <xdr:to>
      <xdr:col>6</xdr:col>
      <xdr:colOff>175541</xdr:colOff>
      <xdr:row>52</xdr:row>
      <xdr:rowOff>192797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98482" y="8352080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2,103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7,2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13</xdr:row>
      <xdr:rowOff>17702</xdr:rowOff>
    </xdr:from>
    <xdr:to>
      <xdr:col>8</xdr:col>
      <xdr:colOff>720090</xdr:colOff>
      <xdr:row>13</xdr:row>
      <xdr:rowOff>17702</xdr:rowOff>
    </xdr:to>
    <xdr:cxnSp macro="">
      <xdr:nvCxnSpPr>
        <xdr:cNvPr id="4" name="Connecteur droit 3"/>
        <xdr:cNvCxnSpPr/>
      </xdr:nvCxnSpPr>
      <xdr:spPr>
        <a:xfrm>
          <a:off x="5406505" y="2673157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14</xdr:row>
      <xdr:rowOff>175645</xdr:rowOff>
    </xdr:from>
    <xdr:to>
      <xdr:col>9</xdr:col>
      <xdr:colOff>405</xdr:colOff>
      <xdr:row>14</xdr:row>
      <xdr:rowOff>175645</xdr:rowOff>
    </xdr:to>
    <xdr:cxnSp macro="">
      <xdr:nvCxnSpPr>
        <xdr:cNvPr id="5" name="Connecteur droit 4"/>
        <xdr:cNvCxnSpPr/>
      </xdr:nvCxnSpPr>
      <xdr:spPr>
        <a:xfrm flipV="1">
          <a:off x="4451927" y="3023524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13335</xdr:rowOff>
    </xdr:from>
    <xdr:to>
      <xdr:col>11</xdr:col>
      <xdr:colOff>7620</xdr:colOff>
      <xdr:row>55</xdr:row>
      <xdr:rowOff>276225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0.3329</cdr:x>
      <cdr:y>0.5568</cdr:y>
    </cdr:from>
    <cdr:to>
      <cdr:x>0.54533</cdr:x>
      <cdr:y>0.7797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471624" y="1316261"/>
          <a:ext cx="1577189" cy="5269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dens.2,103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7,2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21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G12" sqref="G12:J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43" t="s">
        <v>318</v>
      </c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4"/>
    </row>
    <row r="2" spans="1:29" ht="19.149999999999999" customHeight="1" x14ac:dyDescent="0.25">
      <c r="A2" s="545"/>
      <c r="B2" s="546"/>
      <c r="C2" s="546"/>
      <c r="D2" s="546"/>
      <c r="E2" s="547"/>
      <c r="F2" s="547"/>
      <c r="G2" s="547"/>
      <c r="H2" s="547"/>
      <c r="I2" s="547"/>
      <c r="J2" s="547"/>
      <c r="K2" s="547"/>
      <c r="L2" s="547"/>
      <c r="M2" s="548" t="s">
        <v>305</v>
      </c>
      <c r="N2" s="548"/>
      <c r="O2" s="548"/>
      <c r="P2" s="548"/>
      <c r="Q2" s="548"/>
      <c r="R2" s="548"/>
      <c r="S2" s="548"/>
      <c r="T2" s="548"/>
      <c r="U2" s="548"/>
      <c r="V2" s="549"/>
    </row>
    <row r="3" spans="1:29" ht="16.149999999999999" customHeight="1" x14ac:dyDescent="0.25">
      <c r="A3" s="550" t="s">
        <v>161</v>
      </c>
      <c r="B3" s="551"/>
      <c r="C3" s="551"/>
      <c r="D3" s="551"/>
      <c r="E3" s="552" t="s">
        <v>359</v>
      </c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4"/>
    </row>
    <row r="4" spans="1:29" ht="20.45" customHeight="1" x14ac:dyDescent="0.25">
      <c r="A4" s="555" t="s">
        <v>162</v>
      </c>
      <c r="B4" s="556"/>
      <c r="C4" s="556"/>
      <c r="D4" s="556"/>
      <c r="E4" s="557"/>
      <c r="F4" s="558">
        <v>43808</v>
      </c>
      <c r="G4" s="559"/>
      <c r="H4" s="559"/>
      <c r="I4" s="560"/>
      <c r="J4" s="561" t="s">
        <v>163</v>
      </c>
      <c r="K4" s="562"/>
      <c r="L4" s="562"/>
      <c r="M4" s="563"/>
      <c r="N4" s="564">
        <v>43809</v>
      </c>
      <c r="O4" s="565"/>
      <c r="P4" s="565"/>
      <c r="Q4" s="565"/>
      <c r="R4" s="565"/>
      <c r="S4" s="353" t="s">
        <v>136</v>
      </c>
      <c r="T4" s="565">
        <v>43823</v>
      </c>
      <c r="U4" s="566"/>
      <c r="V4" s="567"/>
    </row>
    <row r="5" spans="1:29" ht="7.15" customHeight="1" thickBot="1" x14ac:dyDescent="0.3">
      <c r="A5" s="540"/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2"/>
    </row>
    <row r="6" spans="1:29" ht="16.5" thickBot="1" x14ac:dyDescent="0.3">
      <c r="A6" s="509" t="s">
        <v>164</v>
      </c>
      <c r="B6" s="510"/>
      <c r="C6" s="510"/>
      <c r="D6" s="510"/>
      <c r="E6" s="511"/>
      <c r="F6" s="512" t="s">
        <v>358</v>
      </c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4"/>
    </row>
    <row r="7" spans="1:29" ht="14.45" customHeight="1" x14ac:dyDescent="0.25">
      <c r="A7" s="515" t="s">
        <v>165</v>
      </c>
      <c r="B7" s="516"/>
      <c r="C7" s="516"/>
      <c r="D7" s="516"/>
      <c r="E7" s="516"/>
      <c r="F7" s="517" t="s">
        <v>338</v>
      </c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8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519"/>
      <c r="B9" s="520"/>
      <c r="C9" s="520"/>
      <c r="D9" s="520"/>
      <c r="E9" s="520"/>
      <c r="F9" s="520"/>
      <c r="G9" s="520"/>
      <c r="H9" s="520"/>
      <c r="I9" s="520"/>
      <c r="J9" s="520"/>
      <c r="K9" s="520"/>
      <c r="L9" s="520"/>
      <c r="M9" s="520"/>
      <c r="N9" s="520"/>
      <c r="O9" s="520"/>
      <c r="P9" s="520"/>
      <c r="Q9" s="520"/>
      <c r="R9" s="520"/>
      <c r="S9" s="520"/>
      <c r="T9" s="520"/>
      <c r="U9" s="520"/>
      <c r="V9" s="521"/>
    </row>
    <row r="10" spans="1:29" ht="18.600000000000001" customHeight="1" thickBot="1" x14ac:dyDescent="0.3">
      <c r="A10" s="357" t="s">
        <v>166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167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168</v>
      </c>
      <c r="B11" s="364"/>
      <c r="C11" s="364"/>
      <c r="D11" s="522"/>
      <c r="E11" s="523"/>
      <c r="F11" s="524"/>
      <c r="G11" s="531" t="s">
        <v>169</v>
      </c>
      <c r="H11" s="532"/>
      <c r="I11" s="532"/>
      <c r="J11" s="533"/>
      <c r="K11" s="534">
        <f>'Teneur en eau 2 P1 '!F41</f>
        <v>10.04983302943047</v>
      </c>
      <c r="L11" s="535"/>
      <c r="M11" s="536"/>
      <c r="N11" s="537"/>
      <c r="O11" s="538"/>
      <c r="P11" s="538"/>
      <c r="Q11" s="538"/>
      <c r="R11" s="538"/>
      <c r="S11" s="538"/>
      <c r="T11" s="538"/>
      <c r="U11" s="538"/>
      <c r="V11" s="539"/>
    </row>
    <row r="12" spans="1:29" ht="23.45" customHeight="1" x14ac:dyDescent="0.25">
      <c r="A12" s="365" t="s">
        <v>170</v>
      </c>
      <c r="B12" s="366"/>
      <c r="C12" s="366"/>
      <c r="D12" s="495" t="s">
        <v>136</v>
      </c>
      <c r="E12" s="496"/>
      <c r="F12" s="497"/>
      <c r="G12" s="498" t="s">
        <v>360</v>
      </c>
      <c r="H12" s="499"/>
      <c r="I12" s="499"/>
      <c r="J12" s="500"/>
      <c r="K12" s="501">
        <f>PS!G42</f>
        <v>2.5631116473755249</v>
      </c>
      <c r="L12" s="502"/>
      <c r="M12" s="503"/>
      <c r="N12" s="504" t="s">
        <v>171</v>
      </c>
      <c r="O12" s="505"/>
      <c r="P12" s="505"/>
      <c r="Q12" s="506"/>
      <c r="R12" s="507">
        <v>24</v>
      </c>
      <c r="S12" s="505"/>
      <c r="T12" s="505"/>
      <c r="U12" s="505"/>
      <c r="V12" s="508"/>
      <c r="AB12">
        <v>300</v>
      </c>
    </row>
    <row r="13" spans="1:29" ht="16.149999999999999" customHeight="1" thickBot="1" x14ac:dyDescent="0.3">
      <c r="A13" s="367" t="s">
        <v>172</v>
      </c>
      <c r="B13" s="368"/>
      <c r="C13" s="368"/>
      <c r="D13" s="573" t="s">
        <v>136</v>
      </c>
      <c r="E13" s="574"/>
      <c r="F13" s="575"/>
      <c r="G13" s="369" t="s">
        <v>173</v>
      </c>
      <c r="H13" s="370"/>
      <c r="I13" s="370"/>
      <c r="J13" s="371"/>
      <c r="K13" s="570">
        <f>E34</f>
        <v>17.63333333333334</v>
      </c>
      <c r="L13" s="571"/>
      <c r="M13" s="572"/>
      <c r="N13" s="582" t="s">
        <v>174</v>
      </c>
      <c r="O13" s="583"/>
      <c r="P13" s="583"/>
      <c r="Q13" s="584"/>
      <c r="R13" s="570" t="s">
        <v>136</v>
      </c>
      <c r="S13" s="583"/>
      <c r="T13" s="583"/>
      <c r="U13" s="583"/>
      <c r="V13" s="585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175</v>
      </c>
      <c r="C15" s="493" t="s">
        <v>312</v>
      </c>
      <c r="D15" s="525" t="s">
        <v>313</v>
      </c>
      <c r="E15" s="527" t="s">
        <v>270</v>
      </c>
      <c r="F15" s="528"/>
      <c r="G15" s="378" t="s">
        <v>176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x14ac:dyDescent="0.25">
      <c r="A16" s="380"/>
      <c r="B16" s="483" t="s">
        <v>177</v>
      </c>
      <c r="C16" s="494"/>
      <c r="D16" s="526"/>
      <c r="E16" s="529"/>
      <c r="F16" s="53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1"/>
      <c r="AC16" s="320">
        <v>63</v>
      </c>
    </row>
    <row r="17" spans="1:31" ht="12" customHeight="1" x14ac:dyDescent="0.25">
      <c r="A17" s="376"/>
      <c r="B17" s="382">
        <v>40</v>
      </c>
      <c r="C17" s="477">
        <f>'Granulo P1'!L23</f>
        <v>0</v>
      </c>
      <c r="D17" s="479">
        <f>(C17*100)/'Granulo P1'!C17:C18</f>
        <v>0</v>
      </c>
      <c r="E17" s="568">
        <f>100-D17</f>
        <v>100</v>
      </c>
      <c r="F17" s="569"/>
      <c r="G17" s="484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1"/>
      <c r="AC17" s="320">
        <v>50</v>
      </c>
    </row>
    <row r="18" spans="1:31" ht="12" customHeight="1" x14ac:dyDescent="0.25">
      <c r="A18" s="376"/>
      <c r="B18" s="382">
        <v>31.5</v>
      </c>
      <c r="C18" s="478">
        <f>'Granulo P1'!L24</f>
        <v>0</v>
      </c>
      <c r="D18" s="479">
        <f>(C18*100)/'Granulo P1'!C17</f>
        <v>0</v>
      </c>
      <c r="E18" s="568">
        <f t="shared" ref="E18:E34" si="0">100-D18</f>
        <v>100</v>
      </c>
      <c r="F18" s="569"/>
      <c r="G18" s="484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1"/>
      <c r="Z18" s="581"/>
      <c r="AA18" s="581"/>
      <c r="AB18" s="320"/>
      <c r="AC18" s="320">
        <v>40</v>
      </c>
      <c r="AD18" s="474">
        <f>E17</f>
        <v>100</v>
      </c>
    </row>
    <row r="19" spans="1:31" ht="10.15" customHeight="1" x14ac:dyDescent="0.25">
      <c r="A19" s="376"/>
      <c r="B19" s="382">
        <v>20</v>
      </c>
      <c r="C19" s="478">
        <f>'Granulo P1'!L26</f>
        <v>14.5</v>
      </c>
      <c r="D19" s="479">
        <f>(C19*100)/'Granulo P1'!C17</f>
        <v>4.833333333333333</v>
      </c>
      <c r="E19" s="568">
        <f t="shared" si="0"/>
        <v>95.166666666666671</v>
      </c>
      <c r="F19" s="569"/>
      <c r="G19" s="484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1"/>
      <c r="Z19" s="581"/>
      <c r="AA19" s="581"/>
      <c r="AB19" s="320"/>
      <c r="AC19" s="320">
        <v>31.5</v>
      </c>
      <c r="AD19" s="474">
        <f>E18</f>
        <v>100</v>
      </c>
    </row>
    <row r="20" spans="1:31" ht="11.45" customHeight="1" x14ac:dyDescent="0.25">
      <c r="A20" s="376"/>
      <c r="B20" s="382">
        <v>10</v>
      </c>
      <c r="C20" s="477">
        <f>'Granulo P1'!L29</f>
        <v>34.700000000000003</v>
      </c>
      <c r="D20" s="479">
        <f>(C20*100)/'Granulo P1'!C17</f>
        <v>11.566666666666668</v>
      </c>
      <c r="E20" s="568">
        <f t="shared" si="0"/>
        <v>88.433333333333337</v>
      </c>
      <c r="F20" s="569"/>
      <c r="G20" s="484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1"/>
      <c r="Z20" s="581"/>
      <c r="AA20" s="581"/>
      <c r="AB20" s="320"/>
      <c r="AC20" s="320">
        <v>20</v>
      </c>
      <c r="AD20" s="474">
        <f>E19</f>
        <v>95.166666666666671</v>
      </c>
    </row>
    <row r="21" spans="1:31" ht="10.15" customHeight="1" x14ac:dyDescent="0.25">
      <c r="A21" s="376"/>
      <c r="B21" s="382">
        <v>6.3</v>
      </c>
      <c r="C21" s="478"/>
      <c r="D21" s="479"/>
      <c r="E21" s="568"/>
      <c r="F21" s="569"/>
      <c r="G21" s="484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1"/>
      <c r="Z21" s="581"/>
      <c r="AA21" s="581"/>
      <c r="AB21" s="320"/>
      <c r="AC21" s="320">
        <v>10</v>
      </c>
      <c r="AD21" s="474">
        <f>E20</f>
        <v>88.433333333333337</v>
      </c>
    </row>
    <row r="22" spans="1:31" ht="11.45" customHeight="1" x14ac:dyDescent="0.25">
      <c r="A22" s="376"/>
      <c r="B22" s="382">
        <v>5</v>
      </c>
      <c r="C22" s="478">
        <f>'Granulo P1'!L32</f>
        <v>44.5</v>
      </c>
      <c r="D22" s="479">
        <f>(C22*100)/'Granulo P1'!C17</f>
        <v>14.833333333333334</v>
      </c>
      <c r="E22" s="568">
        <f t="shared" si="0"/>
        <v>85.166666666666671</v>
      </c>
      <c r="F22" s="569"/>
      <c r="G22" s="484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1"/>
      <c r="Z22" s="581"/>
      <c r="AA22" s="581"/>
      <c r="AB22" s="320"/>
      <c r="AC22" s="320">
        <v>5</v>
      </c>
      <c r="AD22" s="474">
        <f>E22</f>
        <v>85.166666666666671</v>
      </c>
    </row>
    <row r="23" spans="1:31" ht="12.6" customHeight="1" x14ac:dyDescent="0.25">
      <c r="A23" s="376"/>
      <c r="B23" s="382">
        <v>4</v>
      </c>
      <c r="C23" s="477"/>
      <c r="D23" s="479"/>
      <c r="E23" s="568"/>
      <c r="F23" s="569"/>
      <c r="G23" s="484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1"/>
      <c r="Z23" s="586"/>
      <c r="AA23" s="587"/>
      <c r="AB23" s="320"/>
      <c r="AC23" s="320">
        <v>2</v>
      </c>
      <c r="AD23" s="474">
        <f>E25</f>
        <v>82.2</v>
      </c>
    </row>
    <row r="24" spans="1:31" ht="11.45" customHeight="1" x14ac:dyDescent="0.25">
      <c r="A24" s="376"/>
      <c r="B24" s="382">
        <v>2.5</v>
      </c>
      <c r="C24" s="478"/>
      <c r="D24" s="479"/>
      <c r="E24" s="568"/>
      <c r="F24" s="569"/>
      <c r="G24" s="484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1"/>
      <c r="AB24" s="320"/>
      <c r="AC24" s="320">
        <v>1</v>
      </c>
      <c r="AD24" s="474">
        <f>E27</f>
        <v>79.366666666666674</v>
      </c>
    </row>
    <row r="25" spans="1:31" ht="11.45" customHeight="1" x14ac:dyDescent="0.25">
      <c r="A25" s="376"/>
      <c r="B25" s="382">
        <v>2</v>
      </c>
      <c r="C25" s="478">
        <f>'Granulo P1'!L36</f>
        <v>53.4</v>
      </c>
      <c r="D25" s="479">
        <f>(C25*100)/'Granulo P1'!C17</f>
        <v>17.8</v>
      </c>
      <c r="E25" s="568">
        <f t="shared" si="0"/>
        <v>82.2</v>
      </c>
      <c r="F25" s="569"/>
      <c r="G25" s="484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1"/>
      <c r="AB25" s="320"/>
      <c r="AC25" s="320">
        <v>0.4</v>
      </c>
      <c r="AD25" s="474">
        <f>E29</f>
        <v>62.666666666666664</v>
      </c>
    </row>
    <row r="26" spans="1:31" ht="12.6" customHeight="1" x14ac:dyDescent="0.25">
      <c r="A26" s="376"/>
      <c r="B26" s="384">
        <v>1.25</v>
      </c>
      <c r="C26" s="383"/>
      <c r="D26" s="473"/>
      <c r="E26" s="576"/>
      <c r="F26" s="577"/>
      <c r="G26" s="484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1"/>
      <c r="AB26" s="320"/>
      <c r="AC26" s="320">
        <v>0.2</v>
      </c>
      <c r="AD26" s="474">
        <f>E31</f>
        <v>37.333333333333336</v>
      </c>
    </row>
    <row r="27" spans="1:31" ht="12.6" customHeight="1" x14ac:dyDescent="0.25">
      <c r="A27" s="376"/>
      <c r="B27" s="382">
        <v>1</v>
      </c>
      <c r="C27" s="478">
        <f>'Granulo P1'!L39</f>
        <v>61.9</v>
      </c>
      <c r="D27" s="473">
        <f>(C27*100)/'Granulo P1'!C17</f>
        <v>20.633333333333333</v>
      </c>
      <c r="E27" s="576">
        <f t="shared" si="0"/>
        <v>79.366666666666674</v>
      </c>
      <c r="F27" s="577"/>
      <c r="G27" s="484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1"/>
      <c r="AB27" s="320"/>
      <c r="AC27" s="320">
        <v>0.1</v>
      </c>
      <c r="AD27" s="474">
        <f>E33</f>
        <v>20.200000000000003</v>
      </c>
      <c r="AE27" s="445"/>
    </row>
    <row r="28" spans="1:31" ht="12.6" customHeight="1" x14ac:dyDescent="0.25">
      <c r="A28" s="376"/>
      <c r="B28" s="485">
        <v>0.63</v>
      </c>
      <c r="C28" s="478"/>
      <c r="D28" s="473"/>
      <c r="E28" s="576"/>
      <c r="F28" s="577"/>
      <c r="G28" s="484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1"/>
      <c r="AB28" s="320"/>
      <c r="AC28" s="320">
        <v>0.08</v>
      </c>
      <c r="AD28" s="474">
        <f>E34</f>
        <v>17.63333333333334</v>
      </c>
      <c r="AE28" s="445"/>
    </row>
    <row r="29" spans="1:31" ht="11.45" customHeight="1" x14ac:dyDescent="0.25">
      <c r="A29" s="376"/>
      <c r="B29" s="485">
        <v>0.4</v>
      </c>
      <c r="C29" s="478">
        <f>'Granulo P1'!L43</f>
        <v>112</v>
      </c>
      <c r="D29" s="473">
        <f>(C29*100)/'Granulo P1'!C17</f>
        <v>37.333333333333336</v>
      </c>
      <c r="E29" s="576">
        <f t="shared" si="0"/>
        <v>62.666666666666664</v>
      </c>
      <c r="F29" s="577"/>
      <c r="G29" s="484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1"/>
      <c r="AB29" s="320"/>
      <c r="AC29" s="320"/>
      <c r="AE29" s="445"/>
    </row>
    <row r="30" spans="1:31" ht="10.9" customHeight="1" x14ac:dyDescent="0.25">
      <c r="A30" s="376"/>
      <c r="B30" s="485">
        <v>0.315</v>
      </c>
      <c r="C30" s="478"/>
      <c r="D30" s="473"/>
      <c r="E30" s="576"/>
      <c r="F30" s="577"/>
      <c r="G30" s="484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1"/>
      <c r="AB30" s="320"/>
      <c r="AC30" s="320"/>
      <c r="AE30" s="445"/>
    </row>
    <row r="31" spans="1:31" ht="12" customHeight="1" x14ac:dyDescent="0.25">
      <c r="A31" s="376"/>
      <c r="B31" s="485">
        <v>0.2</v>
      </c>
      <c r="C31" s="478">
        <f>'Granulo P1'!L46</f>
        <v>188</v>
      </c>
      <c r="D31" s="473">
        <f>(C31*100)/'Granulo P1'!C17</f>
        <v>62.666666666666664</v>
      </c>
      <c r="E31" s="576">
        <f t="shared" si="0"/>
        <v>37.333333333333336</v>
      </c>
      <c r="F31" s="577"/>
      <c r="G31" s="484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1"/>
      <c r="AB31" s="320"/>
      <c r="AC31" s="320"/>
      <c r="AE31" s="445"/>
    </row>
    <row r="32" spans="1:31" ht="10.9" customHeight="1" x14ac:dyDescent="0.25">
      <c r="A32" s="376"/>
      <c r="B32" s="485">
        <v>0.16</v>
      </c>
      <c r="C32" s="478"/>
      <c r="D32" s="473"/>
      <c r="E32" s="576"/>
      <c r="F32" s="577"/>
      <c r="G32" s="484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1"/>
      <c r="AB32" s="320"/>
      <c r="AC32" s="320"/>
      <c r="AE32" s="445"/>
    </row>
    <row r="33" spans="1:36" ht="12" customHeight="1" x14ac:dyDescent="0.25">
      <c r="A33" s="376"/>
      <c r="B33" s="485">
        <v>0.1</v>
      </c>
      <c r="C33" s="478">
        <f>'Granulo P1'!L49</f>
        <v>239.4</v>
      </c>
      <c r="D33" s="473">
        <f>(C33*100)/'Granulo P1'!C17</f>
        <v>79.8</v>
      </c>
      <c r="E33" s="576">
        <f t="shared" si="0"/>
        <v>20.200000000000003</v>
      </c>
      <c r="F33" s="577"/>
      <c r="G33" s="484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1"/>
    </row>
    <row r="34" spans="1:36" ht="10.9" customHeight="1" thickBot="1" x14ac:dyDescent="0.3">
      <c r="A34" s="376"/>
      <c r="B34" s="385">
        <v>0.08</v>
      </c>
      <c r="C34" s="487">
        <f>'Granulo P1'!L50</f>
        <v>247.1</v>
      </c>
      <c r="D34" s="486">
        <f>(C34*100)/'Granulo P1'!C17</f>
        <v>82.36666666666666</v>
      </c>
      <c r="E34" s="645">
        <f t="shared" si="0"/>
        <v>17.63333333333334</v>
      </c>
      <c r="F34" s="646"/>
      <c r="G34" s="484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1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1"/>
    </row>
    <row r="36" spans="1:36" ht="14.45" customHeight="1" thickBot="1" x14ac:dyDescent="0.3">
      <c r="A36" s="360" t="s">
        <v>143</v>
      </c>
      <c r="B36" s="386"/>
      <c r="C36" s="386"/>
      <c r="D36" s="386"/>
      <c r="E36" s="386"/>
      <c r="F36" s="386"/>
      <c r="G36" s="386"/>
      <c r="H36" s="386"/>
      <c r="I36" s="387"/>
      <c r="J36" s="388"/>
      <c r="K36" s="388"/>
      <c r="L36" s="389" t="s">
        <v>178</v>
      </c>
      <c r="M36" s="390"/>
      <c r="N36" s="391"/>
      <c r="O36" s="656" t="s">
        <v>145</v>
      </c>
      <c r="P36" s="657"/>
      <c r="Q36" s="392" t="s">
        <v>146</v>
      </c>
      <c r="R36" s="393"/>
      <c r="S36" s="392" t="s">
        <v>147</v>
      </c>
      <c r="T36" s="393"/>
      <c r="U36" s="394" t="s">
        <v>179</v>
      </c>
      <c r="V36" s="395"/>
      <c r="W36" s="313"/>
    </row>
    <row r="37" spans="1:36" ht="10.9" customHeight="1" thickBot="1" x14ac:dyDescent="0.3">
      <c r="A37" s="396"/>
      <c r="B37" s="397"/>
      <c r="C37" s="397"/>
      <c r="D37" s="398" t="s">
        <v>148</v>
      </c>
      <c r="E37" s="399"/>
      <c r="F37" s="400"/>
      <c r="G37" s="399" t="s">
        <v>149</v>
      </c>
      <c r="H37" s="399"/>
      <c r="I37" s="401"/>
      <c r="J37" s="350"/>
      <c r="K37" s="350"/>
      <c r="L37" s="402" t="s">
        <v>150</v>
      </c>
      <c r="M37" s="403"/>
      <c r="N37" s="404"/>
      <c r="O37" s="405" t="s">
        <v>180</v>
      </c>
      <c r="P37" s="406"/>
      <c r="Q37" s="405" t="s">
        <v>152</v>
      </c>
      <c r="R37" s="406"/>
      <c r="S37" s="407" t="s">
        <v>181</v>
      </c>
      <c r="T37" s="408"/>
      <c r="U37" s="405" t="s">
        <v>44</v>
      </c>
      <c r="V37" s="409"/>
    </row>
    <row r="38" spans="1:36" ht="14.45" customHeight="1" x14ac:dyDescent="0.25">
      <c r="A38" s="601" t="s">
        <v>283</v>
      </c>
      <c r="B38" s="556"/>
      <c r="C38" s="602"/>
      <c r="D38" s="603">
        <f>Y54</f>
        <v>2.1030000000000002</v>
      </c>
      <c r="E38" s="604"/>
      <c r="F38" s="605"/>
      <c r="G38" s="606"/>
      <c r="H38" s="607"/>
      <c r="I38" s="608"/>
      <c r="J38" s="350"/>
      <c r="K38" s="350"/>
      <c r="L38" s="410">
        <v>56</v>
      </c>
      <c r="M38" s="411"/>
      <c r="N38" s="412"/>
      <c r="O38" s="653">
        <f>M44</f>
        <v>2.1029887248180978</v>
      </c>
      <c r="P38" s="654"/>
      <c r="Q38" s="654"/>
      <c r="R38" s="655"/>
      <c r="S38" s="588">
        <f>' CBR Poinc'!L33</f>
        <v>8.953913679590352</v>
      </c>
      <c r="T38" s="588"/>
      <c r="U38" s="589">
        <v>0</v>
      </c>
      <c r="V38" s="590"/>
    </row>
    <row r="39" spans="1:36" ht="13.15" customHeight="1" x14ac:dyDescent="0.25">
      <c r="A39" s="609" t="s">
        <v>284</v>
      </c>
      <c r="B39" s="556"/>
      <c r="C39" s="602"/>
      <c r="D39" s="595">
        <f>X54</f>
        <v>7.2</v>
      </c>
      <c r="E39" s="596"/>
      <c r="F39" s="597"/>
      <c r="G39" s="610"/>
      <c r="H39" s="611"/>
      <c r="I39" s="612"/>
      <c r="J39" s="350"/>
      <c r="K39" s="350"/>
      <c r="L39" s="410">
        <v>25</v>
      </c>
      <c r="M39" s="411"/>
      <c r="N39" s="412"/>
      <c r="O39" s="595">
        <f>N44</f>
        <v>1.9977936379330761</v>
      </c>
      <c r="P39" s="596"/>
      <c r="Q39" s="596"/>
      <c r="R39" s="597"/>
      <c r="S39" s="649">
        <f>' CBR Poinc'!O33</f>
        <v>9.2643051771117335</v>
      </c>
      <c r="T39" s="649"/>
      <c r="U39" s="610">
        <v>0</v>
      </c>
      <c r="V39" s="612"/>
    </row>
    <row r="40" spans="1:36" ht="15.75" thickBot="1" x14ac:dyDescent="0.3">
      <c r="A40" s="613" t="s">
        <v>155</v>
      </c>
      <c r="B40" s="614"/>
      <c r="C40" s="615"/>
      <c r="D40" s="616"/>
      <c r="E40" s="617"/>
      <c r="F40" s="618"/>
      <c r="G40" s="619"/>
      <c r="H40" s="620"/>
      <c r="I40" s="621"/>
      <c r="J40" s="350"/>
      <c r="K40" s="350"/>
      <c r="L40" s="413">
        <v>10</v>
      </c>
      <c r="M40" s="414"/>
      <c r="N40" s="415"/>
      <c r="O40" s="598">
        <f>O44</f>
        <v>1.8934571566683991</v>
      </c>
      <c r="P40" s="599"/>
      <c r="Q40" s="599"/>
      <c r="R40" s="600"/>
      <c r="S40" s="650">
        <f>' CBR Poinc'!R33</f>
        <v>9.3343534812547944</v>
      </c>
      <c r="T40" s="650"/>
      <c r="U40" s="619">
        <v>0</v>
      </c>
      <c r="V40" s="621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1"/>
    </row>
    <row r="42" spans="1:36" ht="15.75" thickBot="1" x14ac:dyDescent="0.3">
      <c r="A42" s="416" t="s">
        <v>156</v>
      </c>
      <c r="B42" s="417">
        <v>1</v>
      </c>
      <c r="C42" s="417">
        <v>2</v>
      </c>
      <c r="D42" s="417">
        <v>3</v>
      </c>
      <c r="E42" s="417">
        <v>4</v>
      </c>
      <c r="F42" s="417">
        <v>5</v>
      </c>
      <c r="G42" s="417">
        <v>6</v>
      </c>
      <c r="H42" s="418" t="s">
        <v>157</v>
      </c>
      <c r="I42" s="419"/>
      <c r="J42" s="388"/>
      <c r="K42" s="388"/>
      <c r="L42" s="416" t="s">
        <v>156</v>
      </c>
      <c r="M42" s="417" t="s">
        <v>182</v>
      </c>
      <c r="N42" s="417" t="s">
        <v>183</v>
      </c>
      <c r="O42" s="420" t="s">
        <v>184</v>
      </c>
      <c r="P42" s="421"/>
      <c r="Q42" s="422"/>
      <c r="R42" s="423" t="s">
        <v>157</v>
      </c>
      <c r="S42" s="424">
        <v>1</v>
      </c>
      <c r="T42" s="424">
        <v>0.98</v>
      </c>
      <c r="U42" s="424">
        <v>0.95</v>
      </c>
      <c r="V42" s="425">
        <v>0.9</v>
      </c>
    </row>
    <row r="43" spans="1:36" ht="15.75" thickBot="1" x14ac:dyDescent="0.3">
      <c r="A43" s="426" t="s">
        <v>185</v>
      </c>
      <c r="B43" s="427">
        <f>'Proctor C01 (2)'!$B$41:$C$41</f>
        <v>4.0757193665976752</v>
      </c>
      <c r="C43" s="427">
        <f>'Proctor C01 (2)'!$D$41</f>
        <v>6.1550749039416246</v>
      </c>
      <c r="D43" s="427">
        <f>'Proctor C01 (2)'!$F$41</f>
        <v>8.1398679561242524</v>
      </c>
      <c r="E43" s="427">
        <f>'Proctor C01 (2)'!$H$41</f>
        <v>10.14656325501363</v>
      </c>
      <c r="F43" s="427">
        <f>'Proctor C01 (2)'!$J$41</f>
        <v>12.042723116040758</v>
      </c>
      <c r="G43" s="428"/>
      <c r="H43" s="660">
        <f>'Proctor C01 (2)'!B44</f>
        <v>7.2</v>
      </c>
      <c r="I43" s="661"/>
      <c r="J43" s="388"/>
      <c r="K43" s="388"/>
      <c r="L43" s="426" t="s">
        <v>75</v>
      </c>
      <c r="M43" s="429">
        <f>'CBR Crb (2)'!$C$26</f>
        <v>30.386406480117824</v>
      </c>
      <c r="N43" s="429">
        <f>'CBR Crb (2)'!$D$26</f>
        <v>21.348742268041239</v>
      </c>
      <c r="O43" s="430">
        <f>'CBR Crb (2)'!$E$26</f>
        <v>12.019540500736378</v>
      </c>
      <c r="P43" s="431"/>
      <c r="Q43" s="388"/>
      <c r="R43" s="426" t="s">
        <v>75</v>
      </c>
      <c r="S43" s="429"/>
      <c r="T43" s="429"/>
      <c r="U43" s="432">
        <f>X47</f>
        <v>21.4</v>
      </c>
      <c r="V43" s="430"/>
    </row>
    <row r="44" spans="1:36" ht="15.75" thickBot="1" x14ac:dyDescent="0.3">
      <c r="A44" s="433" t="s">
        <v>145</v>
      </c>
      <c r="B44" s="428">
        <f>'Proctor C01 (2)'!$B$33:$C$33</f>
        <v>1.9713938627874381</v>
      </c>
      <c r="C44" s="428">
        <f>'Proctor C01 (2)'!$D$33</f>
        <v>2.0889524510037445</v>
      </c>
      <c r="D44" s="428">
        <f>'Proctor C01 (2)'!$F$33</f>
        <v>2.0916241739539396</v>
      </c>
      <c r="E44" s="428">
        <f>'Proctor C01 (2)'!$H$33</f>
        <v>2.0055835099308439</v>
      </c>
      <c r="F44" s="428">
        <f>'Proctor C01 (2)'!$J$33</f>
        <v>1.9245185577208863</v>
      </c>
      <c r="G44" s="428"/>
      <c r="H44" s="658">
        <f>'Proctor C01 (2)'!B43</f>
        <v>2.1030000000000002</v>
      </c>
      <c r="I44" s="659"/>
      <c r="J44" s="388"/>
      <c r="K44" s="388"/>
      <c r="L44" s="433" t="s">
        <v>145</v>
      </c>
      <c r="M44" s="428">
        <f>'CBR Crb (2)'!$C$27</f>
        <v>2.1029887248180978</v>
      </c>
      <c r="N44" s="428">
        <f>'CBR Crb (2)'!$D$27</f>
        <v>1.9977936379330761</v>
      </c>
      <c r="O44" s="434">
        <f>'CBR Crb (2)'!$E$27</f>
        <v>1.8934571566683991</v>
      </c>
      <c r="P44" s="388"/>
      <c r="Q44" s="388"/>
      <c r="R44" s="433" t="s">
        <v>145</v>
      </c>
      <c r="S44" s="435">
        <f>D38</f>
        <v>2.1030000000000002</v>
      </c>
      <c r="T44" s="435">
        <f>0.98*D38</f>
        <v>2.06094</v>
      </c>
      <c r="U44" s="475">
        <f>Y47</f>
        <v>1.9978500000000001</v>
      </c>
      <c r="V44" s="436">
        <f>0.9*D38</f>
        <v>1.8927000000000003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1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1"/>
      <c r="X46" s="592" t="s">
        <v>160</v>
      </c>
      <c r="Y46" s="593"/>
      <c r="AA46" s="578">
        <v>1.5087424812322829</v>
      </c>
      <c r="AB46" s="594"/>
      <c r="AC46" s="578">
        <v>1.7608815244713649</v>
      </c>
      <c r="AD46" s="594"/>
      <c r="AE46" s="578">
        <v>1.8072856952844565</v>
      </c>
      <c r="AF46" s="594"/>
      <c r="AG46" s="578">
        <v>1.705032926024864</v>
      </c>
      <c r="AH46" s="594"/>
      <c r="AI46" s="578">
        <v>1.6033511848620288</v>
      </c>
      <c r="AJ46" s="579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1"/>
      <c r="X47" s="329">
        <f>'CBR Crb (2)'!T28</f>
        <v>21.4</v>
      </c>
      <c r="Y47" s="267">
        <f>'CBR Crb (2)'!U28</f>
        <v>1.9978500000000001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1"/>
      <c r="X48" s="330">
        <f>X47</f>
        <v>21.4</v>
      </c>
      <c r="Y48" s="272">
        <v>1.88</v>
      </c>
      <c r="AA48" s="580">
        <v>4.144858294811776</v>
      </c>
      <c r="AB48" s="580"/>
      <c r="AC48" s="580">
        <v>6.1434380507245683</v>
      </c>
      <c r="AD48" s="580"/>
      <c r="AE48" s="580">
        <v>8.2092014738586752</v>
      </c>
      <c r="AF48" s="580"/>
      <c r="AG48" s="580">
        <v>10.115640061204832</v>
      </c>
      <c r="AH48" s="580"/>
      <c r="AI48" s="580">
        <v>12.159486396002357</v>
      </c>
      <c r="AJ48" s="591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1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1"/>
      <c r="X50" s="271">
        <v>10</v>
      </c>
      <c r="Y50" s="272">
        <f>Y47</f>
        <v>1.9978500000000001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1"/>
      <c r="X51" s="331">
        <f>X48</f>
        <v>21.4</v>
      </c>
      <c r="Y51" s="283">
        <f>Y50</f>
        <v>1.9978500000000001</v>
      </c>
      <c r="AA51" s="466">
        <v>14.939049337260677</v>
      </c>
      <c r="AB51" s="466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1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1"/>
      <c r="X53" s="651" t="s">
        <v>157</v>
      </c>
      <c r="Y53" s="652"/>
      <c r="AA53" s="465">
        <v>1.811749882333872</v>
      </c>
      <c r="AB53" s="465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1"/>
      <c r="X54" s="482">
        <f>H43</f>
        <v>7.2</v>
      </c>
      <c r="Y54" s="481">
        <f>H44</f>
        <v>2.1030000000000002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1"/>
      <c r="X55" s="314">
        <f>X54</f>
        <v>7.2</v>
      </c>
      <c r="Y55" s="315">
        <v>1.98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1"/>
      <c r="X56" s="314"/>
      <c r="Y56" s="315"/>
      <c r="AA56" s="647">
        <v>7.6067528085002696</v>
      </c>
      <c r="AB56" s="648"/>
      <c r="AC56" s="647">
        <v>7.5611458890127361</v>
      </c>
      <c r="AD56" s="648"/>
      <c r="AE56" s="647">
        <v>7.5727707943985045</v>
      </c>
      <c r="AF56" s="648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1"/>
      <c r="X57" s="314">
        <f>Y54</f>
        <v>2.1030000000000002</v>
      </c>
      <c r="Y57" s="315">
        <v>7.2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1"/>
      <c r="X58" s="316">
        <f>X57</f>
        <v>2.1030000000000002</v>
      </c>
      <c r="Y58" s="317">
        <v>0</v>
      </c>
    </row>
    <row r="59" spans="1:147" ht="6.6" customHeight="1" x14ac:dyDescent="0.25">
      <c r="A59" s="642"/>
      <c r="B59" s="643"/>
      <c r="C59" s="643"/>
      <c r="D59" s="643"/>
      <c r="E59" s="643"/>
      <c r="F59" s="643"/>
      <c r="G59" s="643"/>
      <c r="H59" s="643"/>
      <c r="I59" s="643"/>
      <c r="J59" s="643"/>
      <c r="K59" s="642"/>
      <c r="L59" s="643"/>
      <c r="M59" s="643"/>
      <c r="N59" s="643"/>
      <c r="O59" s="643"/>
      <c r="P59" s="643"/>
      <c r="Q59" s="643"/>
      <c r="R59" s="643"/>
      <c r="S59" s="643"/>
      <c r="T59" s="643"/>
      <c r="U59" s="643"/>
      <c r="V59" s="644"/>
    </row>
    <row r="60" spans="1:147" ht="15.6" customHeight="1" x14ac:dyDescent="0.25">
      <c r="A60" s="622" t="s">
        <v>307</v>
      </c>
      <c r="B60" s="623"/>
      <c r="C60" s="623"/>
      <c r="D60" s="623"/>
      <c r="E60" s="623"/>
      <c r="F60" s="623"/>
      <c r="G60" s="623"/>
      <c r="H60" s="623"/>
      <c r="I60" s="623"/>
      <c r="J60" s="623"/>
      <c r="K60" s="624" t="s">
        <v>306</v>
      </c>
      <c r="L60" s="625"/>
      <c r="M60" s="625"/>
      <c r="N60" s="625"/>
      <c r="O60" s="625"/>
      <c r="P60" s="625"/>
      <c r="Q60" s="625"/>
      <c r="R60" s="625"/>
      <c r="S60" s="625"/>
      <c r="T60" s="625"/>
      <c r="U60" s="625"/>
      <c r="V60" s="626"/>
    </row>
    <row r="61" spans="1:147" ht="4.9000000000000004" customHeight="1" x14ac:dyDescent="0.25">
      <c r="A61" s="627"/>
      <c r="B61" s="628"/>
      <c r="C61" s="628"/>
      <c r="D61" s="628"/>
      <c r="E61" s="628"/>
      <c r="F61" s="628"/>
      <c r="G61" s="628"/>
      <c r="H61" s="628"/>
      <c r="I61" s="628"/>
      <c r="J61" s="628"/>
      <c r="K61" s="627"/>
      <c r="L61" s="628"/>
      <c r="M61" s="628"/>
      <c r="N61" s="628"/>
      <c r="O61" s="628"/>
      <c r="P61" s="628"/>
      <c r="Q61" s="628"/>
      <c r="R61" s="628"/>
      <c r="S61" s="628"/>
      <c r="T61" s="628"/>
      <c r="U61" s="628"/>
      <c r="V61" s="629"/>
      <c r="W61" s="630"/>
      <c r="X61" s="631"/>
      <c r="Y61" s="631"/>
      <c r="Z61" s="631"/>
      <c r="AA61" s="631"/>
      <c r="AB61" s="631"/>
      <c r="AC61" s="631"/>
      <c r="AD61" s="631"/>
      <c r="AE61" s="631"/>
      <c r="AF61" s="631"/>
      <c r="AG61" s="631"/>
      <c r="AH61" s="631"/>
      <c r="AI61" s="631"/>
      <c r="AJ61" s="631"/>
      <c r="AK61" s="631"/>
      <c r="AL61" s="631"/>
      <c r="AM61" s="631"/>
      <c r="AN61" s="631"/>
      <c r="AO61" s="631"/>
      <c r="AP61" s="631"/>
      <c r="AQ61" s="631"/>
      <c r="AR61" s="631"/>
      <c r="AS61" s="631"/>
      <c r="AT61" s="631"/>
      <c r="AU61" s="631"/>
      <c r="AV61" s="631"/>
      <c r="AW61" s="631"/>
      <c r="AX61" s="631"/>
      <c r="AY61" s="631"/>
      <c r="AZ61" s="631"/>
      <c r="BA61" s="631"/>
      <c r="BB61" s="631"/>
      <c r="BC61" s="631"/>
      <c r="BD61" s="631"/>
      <c r="BE61" s="631"/>
      <c r="BF61" s="631"/>
      <c r="BG61" s="631"/>
      <c r="BH61" s="631"/>
      <c r="BI61" s="631"/>
      <c r="BJ61" s="631"/>
      <c r="BK61" s="631"/>
      <c r="BL61" s="631"/>
      <c r="BM61" s="631"/>
      <c r="BN61" s="631"/>
      <c r="BO61" s="631"/>
      <c r="BP61" s="631"/>
      <c r="BQ61" s="631"/>
      <c r="BR61" s="631"/>
      <c r="BS61" s="631"/>
      <c r="BT61" s="631"/>
      <c r="BU61" s="631"/>
      <c r="BV61" s="631"/>
      <c r="BW61" s="631"/>
      <c r="BX61" s="631"/>
      <c r="BY61" s="631"/>
      <c r="BZ61" s="631"/>
      <c r="CA61" s="631"/>
      <c r="CB61" s="631"/>
      <c r="CC61" s="631"/>
      <c r="CD61" s="631"/>
      <c r="CE61" s="631"/>
      <c r="CF61" s="631"/>
      <c r="CG61" s="631"/>
      <c r="CH61" s="631"/>
      <c r="CI61" s="631"/>
      <c r="CJ61" s="631"/>
      <c r="CK61" s="631"/>
      <c r="CL61" s="631"/>
      <c r="CM61" s="631"/>
      <c r="CN61" s="631"/>
      <c r="CO61" s="631"/>
      <c r="CP61" s="631"/>
      <c r="CQ61" s="631"/>
      <c r="CR61" s="631"/>
      <c r="CS61" s="631"/>
      <c r="CT61" s="631"/>
      <c r="CU61" s="631"/>
      <c r="CV61" s="631"/>
      <c r="CW61" s="631"/>
      <c r="CX61" s="631"/>
      <c r="CY61" s="631"/>
      <c r="CZ61" s="631"/>
      <c r="DA61" s="631"/>
      <c r="DB61" s="631"/>
      <c r="DC61" s="631"/>
      <c r="DD61" s="631"/>
      <c r="DE61" s="631"/>
      <c r="DF61" s="631"/>
      <c r="DG61" s="631"/>
      <c r="DH61" s="631"/>
      <c r="DI61" s="631"/>
      <c r="DJ61" s="631"/>
      <c r="DK61" s="631"/>
      <c r="DL61" s="631"/>
      <c r="DM61" s="631"/>
      <c r="DN61" s="631"/>
      <c r="DO61" s="631"/>
      <c r="DP61" s="631"/>
      <c r="DQ61" s="631"/>
      <c r="DR61" s="631"/>
      <c r="DS61" s="631"/>
      <c r="DT61" s="631"/>
      <c r="DU61" s="631"/>
      <c r="DV61" s="631"/>
      <c r="DW61" s="631"/>
      <c r="DX61" s="631"/>
      <c r="DY61" s="631"/>
      <c r="DZ61" s="631"/>
      <c r="EA61" s="631"/>
      <c r="EB61" s="631"/>
      <c r="EC61" s="631"/>
      <c r="ED61" s="631"/>
      <c r="EE61" s="631"/>
      <c r="EF61" s="631"/>
      <c r="EG61" s="631"/>
      <c r="EH61" s="631"/>
      <c r="EI61" s="631"/>
      <c r="EJ61" s="631"/>
      <c r="EK61" s="631"/>
      <c r="EL61" s="631"/>
      <c r="EM61" s="631"/>
      <c r="EN61" s="631"/>
      <c r="EO61" s="631"/>
      <c r="EP61" s="631"/>
      <c r="EQ61" s="631"/>
    </row>
    <row r="62" spans="1:147" ht="3.6" customHeight="1" x14ac:dyDescent="0.25">
      <c r="A62" s="627"/>
      <c r="B62" s="628"/>
      <c r="C62" s="628"/>
      <c r="D62" s="628"/>
      <c r="E62" s="628"/>
      <c r="F62" s="628"/>
      <c r="G62" s="628"/>
      <c r="H62" s="628"/>
      <c r="I62" s="628"/>
      <c r="J62" s="628"/>
      <c r="K62" s="627"/>
      <c r="L62" s="628"/>
      <c r="M62" s="628"/>
      <c r="N62" s="628"/>
      <c r="O62" s="628"/>
      <c r="P62" s="628"/>
      <c r="Q62" s="628"/>
      <c r="R62" s="628"/>
      <c r="S62" s="628"/>
      <c r="T62" s="628"/>
      <c r="U62" s="628"/>
      <c r="V62" s="629"/>
      <c r="W62" s="630"/>
      <c r="X62" s="631"/>
      <c r="Y62" s="631"/>
      <c r="Z62" s="631"/>
      <c r="AA62" s="631"/>
      <c r="AB62" s="631"/>
      <c r="AC62" s="631"/>
      <c r="AD62" s="631"/>
      <c r="AE62" s="631"/>
      <c r="AF62" s="631"/>
      <c r="AG62" s="631"/>
      <c r="AH62" s="631"/>
      <c r="AI62" s="631"/>
      <c r="AJ62" s="631"/>
      <c r="AK62" s="631"/>
      <c r="AL62" s="631"/>
      <c r="AM62" s="631"/>
      <c r="AN62" s="631"/>
      <c r="AO62" s="631"/>
      <c r="AP62" s="631"/>
      <c r="AQ62" s="631"/>
      <c r="AR62" s="631"/>
      <c r="AS62" s="631"/>
      <c r="AT62" s="631"/>
      <c r="AU62" s="631"/>
      <c r="AV62" s="631"/>
      <c r="AW62" s="631"/>
      <c r="AX62" s="631"/>
      <c r="AY62" s="631"/>
      <c r="AZ62" s="631"/>
      <c r="BA62" s="631"/>
      <c r="BB62" s="631"/>
      <c r="BC62" s="631"/>
      <c r="BD62" s="631"/>
      <c r="BE62" s="631"/>
      <c r="BF62" s="631"/>
      <c r="BG62" s="631"/>
      <c r="BH62" s="631"/>
      <c r="BI62" s="631"/>
      <c r="BJ62" s="631"/>
      <c r="BK62" s="631"/>
      <c r="BL62" s="631"/>
      <c r="BM62" s="631"/>
      <c r="BN62" s="631"/>
      <c r="BO62" s="631"/>
      <c r="BP62" s="631"/>
      <c r="BQ62" s="631"/>
      <c r="BR62" s="631"/>
      <c r="BS62" s="631"/>
      <c r="BT62" s="631"/>
      <c r="BU62" s="631"/>
      <c r="BV62" s="631"/>
      <c r="BW62" s="631"/>
      <c r="BX62" s="631"/>
      <c r="BY62" s="631"/>
      <c r="BZ62" s="631"/>
      <c r="CA62" s="631"/>
      <c r="CB62" s="631"/>
      <c r="CC62" s="631"/>
      <c r="CD62" s="631"/>
      <c r="CE62" s="631"/>
      <c r="CF62" s="631"/>
      <c r="CG62" s="631"/>
      <c r="CH62" s="631"/>
      <c r="CI62" s="631"/>
      <c r="CJ62" s="631"/>
      <c r="CK62" s="631"/>
      <c r="CL62" s="631"/>
      <c r="CM62" s="631"/>
      <c r="CN62" s="631"/>
      <c r="CO62" s="631"/>
      <c r="CP62" s="631"/>
      <c r="CQ62" s="631"/>
      <c r="CR62" s="631"/>
      <c r="CS62" s="631"/>
      <c r="CT62" s="631"/>
      <c r="CU62" s="631"/>
      <c r="CV62" s="631"/>
      <c r="CW62" s="631"/>
      <c r="CX62" s="631"/>
      <c r="CY62" s="631"/>
      <c r="CZ62" s="631"/>
      <c r="DA62" s="631"/>
      <c r="DB62" s="631"/>
      <c r="DC62" s="631"/>
      <c r="DD62" s="631"/>
      <c r="DE62" s="631"/>
      <c r="DF62" s="631"/>
      <c r="DG62" s="631"/>
      <c r="DH62" s="631"/>
      <c r="DI62" s="631"/>
      <c r="DJ62" s="631"/>
      <c r="DK62" s="631"/>
      <c r="DL62" s="631"/>
      <c r="DM62" s="631"/>
      <c r="DN62" s="631"/>
      <c r="DO62" s="631"/>
      <c r="DP62" s="631"/>
      <c r="DQ62" s="631"/>
      <c r="DR62" s="631"/>
      <c r="DS62" s="631"/>
      <c r="DT62" s="631"/>
      <c r="DU62" s="631"/>
      <c r="DV62" s="631"/>
      <c r="DW62" s="631"/>
      <c r="DX62" s="631"/>
      <c r="DY62" s="631"/>
      <c r="DZ62" s="631"/>
      <c r="EA62" s="631"/>
      <c r="EB62" s="631"/>
      <c r="EC62" s="631"/>
      <c r="ED62" s="631"/>
      <c r="EE62" s="631"/>
      <c r="EF62" s="631"/>
      <c r="EG62" s="631"/>
      <c r="EH62" s="631"/>
      <c r="EI62" s="631"/>
      <c r="EJ62" s="631"/>
      <c r="EK62" s="631"/>
      <c r="EL62" s="631"/>
      <c r="EM62" s="631"/>
      <c r="EN62" s="631"/>
      <c r="EO62" s="631"/>
      <c r="EP62" s="631"/>
      <c r="EQ62" s="631"/>
    </row>
    <row r="63" spans="1:147" ht="7.15" customHeight="1" x14ac:dyDescent="0.25">
      <c r="A63" s="627"/>
      <c r="B63" s="628"/>
      <c r="C63" s="628"/>
      <c r="D63" s="628"/>
      <c r="E63" s="628"/>
      <c r="F63" s="628"/>
      <c r="G63" s="628"/>
      <c r="H63" s="628"/>
      <c r="I63" s="628"/>
      <c r="J63" s="628"/>
      <c r="K63" s="627"/>
      <c r="L63" s="628"/>
      <c r="M63" s="628"/>
      <c r="N63" s="628"/>
      <c r="O63" s="628"/>
      <c r="P63" s="628"/>
      <c r="Q63" s="628"/>
      <c r="R63" s="628"/>
      <c r="S63" s="628"/>
      <c r="T63" s="628"/>
      <c r="U63" s="628"/>
      <c r="V63" s="629"/>
      <c r="W63" s="630"/>
      <c r="X63" s="631"/>
      <c r="Y63" s="631"/>
      <c r="Z63" s="631"/>
      <c r="AA63" s="631"/>
      <c r="AB63" s="631"/>
      <c r="AC63" s="631"/>
      <c r="AD63" s="631"/>
      <c r="AE63" s="631"/>
      <c r="AF63" s="631"/>
      <c r="AG63" s="631"/>
      <c r="AH63" s="631"/>
      <c r="AI63" s="631"/>
      <c r="AJ63" s="631"/>
      <c r="AK63" s="631"/>
      <c r="AL63" s="631"/>
      <c r="AM63" s="631"/>
      <c r="AN63" s="631"/>
      <c r="AO63" s="631"/>
      <c r="AP63" s="631"/>
      <c r="AQ63" s="631"/>
      <c r="AR63" s="631"/>
      <c r="AS63" s="631"/>
      <c r="AT63" s="631"/>
      <c r="AU63" s="631"/>
      <c r="AV63" s="631"/>
      <c r="AW63" s="631"/>
      <c r="AX63" s="631"/>
      <c r="AY63" s="631"/>
      <c r="AZ63" s="631"/>
      <c r="BA63" s="631"/>
      <c r="BB63" s="631"/>
      <c r="BC63" s="631"/>
      <c r="BD63" s="631"/>
      <c r="BE63" s="631"/>
      <c r="BF63" s="631"/>
      <c r="BG63" s="631"/>
      <c r="BH63" s="631"/>
      <c r="BI63" s="631"/>
      <c r="BJ63" s="631"/>
      <c r="BK63" s="631"/>
      <c r="BL63" s="631"/>
      <c r="BM63" s="631"/>
      <c r="BN63" s="631"/>
      <c r="BO63" s="631"/>
      <c r="BP63" s="631"/>
      <c r="BQ63" s="631"/>
      <c r="BR63" s="631"/>
      <c r="BS63" s="631"/>
      <c r="BT63" s="631"/>
      <c r="BU63" s="631"/>
      <c r="BV63" s="631"/>
      <c r="BW63" s="631"/>
      <c r="BX63" s="631"/>
      <c r="BY63" s="631"/>
      <c r="BZ63" s="631"/>
      <c r="CA63" s="631"/>
      <c r="CB63" s="631"/>
      <c r="CC63" s="631"/>
      <c r="CD63" s="631"/>
      <c r="CE63" s="631"/>
      <c r="CF63" s="631"/>
      <c r="CG63" s="631"/>
      <c r="CH63" s="631"/>
      <c r="CI63" s="631"/>
      <c r="CJ63" s="631"/>
      <c r="CK63" s="631"/>
      <c r="CL63" s="631"/>
      <c r="CM63" s="631"/>
      <c r="CN63" s="631"/>
      <c r="CO63" s="631"/>
      <c r="CP63" s="631"/>
      <c r="CQ63" s="631"/>
      <c r="CR63" s="631"/>
      <c r="CS63" s="631"/>
      <c r="CT63" s="631"/>
      <c r="CU63" s="631"/>
      <c r="CV63" s="631"/>
      <c r="CW63" s="631"/>
      <c r="CX63" s="631"/>
      <c r="CY63" s="631"/>
      <c r="CZ63" s="631"/>
      <c r="DA63" s="631"/>
      <c r="DB63" s="631"/>
      <c r="DC63" s="631"/>
      <c r="DD63" s="631"/>
      <c r="DE63" s="631"/>
      <c r="DF63" s="631"/>
      <c r="DG63" s="631"/>
      <c r="DH63" s="631"/>
      <c r="DI63" s="631"/>
      <c r="DJ63" s="631"/>
      <c r="DK63" s="631"/>
      <c r="DL63" s="631"/>
      <c r="DM63" s="631"/>
      <c r="DN63" s="631"/>
      <c r="DO63" s="631"/>
      <c r="DP63" s="631"/>
      <c r="DQ63" s="631"/>
      <c r="DR63" s="631"/>
      <c r="DS63" s="631"/>
      <c r="DT63" s="631"/>
      <c r="DU63" s="631"/>
      <c r="DV63" s="631"/>
      <c r="DW63" s="631"/>
      <c r="DX63" s="631"/>
      <c r="DY63" s="631"/>
      <c r="DZ63" s="631"/>
      <c r="EA63" s="631"/>
      <c r="EB63" s="631"/>
      <c r="EC63" s="631"/>
      <c r="ED63" s="631"/>
      <c r="EE63" s="631"/>
      <c r="EF63" s="631"/>
      <c r="EG63" s="631"/>
      <c r="EH63" s="631"/>
      <c r="EI63" s="631"/>
      <c r="EJ63" s="631"/>
      <c r="EK63" s="631"/>
      <c r="EL63" s="631"/>
      <c r="EM63" s="631"/>
      <c r="EN63" s="631"/>
      <c r="EO63" s="631"/>
      <c r="EP63" s="631"/>
      <c r="EQ63" s="631"/>
    </row>
    <row r="64" spans="1:147" ht="4.1500000000000004" customHeight="1" x14ac:dyDescent="0.25">
      <c r="A64" s="627"/>
      <c r="B64" s="628"/>
      <c r="C64" s="628"/>
      <c r="D64" s="628"/>
      <c r="E64" s="628"/>
      <c r="F64" s="628"/>
      <c r="G64" s="628"/>
      <c r="H64" s="628"/>
      <c r="I64" s="628"/>
      <c r="J64" s="628"/>
      <c r="K64" s="627"/>
      <c r="L64" s="628"/>
      <c r="M64" s="628"/>
      <c r="N64" s="628"/>
      <c r="O64" s="628"/>
      <c r="P64" s="628"/>
      <c r="Q64" s="628"/>
      <c r="R64" s="628"/>
      <c r="S64" s="628"/>
      <c r="T64" s="628"/>
      <c r="U64" s="628"/>
      <c r="V64" s="629"/>
      <c r="W64" s="630"/>
      <c r="X64" s="631"/>
      <c r="Y64" s="631"/>
      <c r="Z64" s="631"/>
      <c r="AA64" s="631"/>
      <c r="AB64" s="631"/>
      <c r="AC64" s="631"/>
      <c r="AD64" s="631"/>
      <c r="AE64" s="631"/>
      <c r="AF64" s="631"/>
      <c r="AG64" s="631"/>
      <c r="AH64" s="631"/>
      <c r="AI64" s="631"/>
      <c r="AJ64" s="631"/>
      <c r="AK64" s="631"/>
      <c r="AL64" s="631"/>
      <c r="AM64" s="631"/>
      <c r="AN64" s="631"/>
      <c r="AO64" s="631"/>
      <c r="AP64" s="631"/>
      <c r="AQ64" s="631"/>
      <c r="AR64" s="631"/>
      <c r="AS64" s="631"/>
      <c r="AT64" s="631"/>
      <c r="AU64" s="631"/>
      <c r="AV64" s="631"/>
      <c r="AW64" s="631"/>
      <c r="AX64" s="631"/>
      <c r="AY64" s="631"/>
      <c r="AZ64" s="631"/>
      <c r="BA64" s="631"/>
      <c r="BB64" s="631"/>
      <c r="BC64" s="631"/>
      <c r="BD64" s="631"/>
      <c r="BE64" s="631"/>
      <c r="BF64" s="631"/>
      <c r="BG64" s="631"/>
      <c r="BH64" s="631"/>
      <c r="BI64" s="631"/>
      <c r="BJ64" s="631"/>
      <c r="BK64" s="631"/>
      <c r="BL64" s="631"/>
      <c r="BM64" s="631"/>
      <c r="BN64" s="631"/>
      <c r="BO64" s="631"/>
      <c r="BP64" s="631"/>
      <c r="BQ64" s="631"/>
      <c r="BR64" s="631"/>
      <c r="BS64" s="631"/>
      <c r="BT64" s="631"/>
      <c r="BU64" s="631"/>
      <c r="BV64" s="631"/>
      <c r="BW64" s="631"/>
      <c r="BX64" s="631"/>
      <c r="BY64" s="631"/>
      <c r="BZ64" s="631"/>
      <c r="CA64" s="631"/>
      <c r="CB64" s="631"/>
      <c r="CC64" s="631"/>
      <c r="CD64" s="631"/>
      <c r="CE64" s="631"/>
      <c r="CF64" s="631"/>
      <c r="CG64" s="631"/>
      <c r="CH64" s="631"/>
      <c r="CI64" s="631"/>
      <c r="CJ64" s="631"/>
      <c r="CK64" s="631"/>
      <c r="CL64" s="631"/>
      <c r="CM64" s="631"/>
      <c r="CN64" s="631"/>
      <c r="CO64" s="631"/>
      <c r="CP64" s="631"/>
      <c r="CQ64" s="631"/>
      <c r="CR64" s="631"/>
      <c r="CS64" s="631"/>
      <c r="CT64" s="631"/>
      <c r="CU64" s="631"/>
      <c r="CV64" s="631"/>
      <c r="CW64" s="631"/>
      <c r="CX64" s="631"/>
      <c r="CY64" s="631"/>
      <c r="CZ64" s="631"/>
      <c r="DA64" s="631"/>
      <c r="DB64" s="631"/>
      <c r="DC64" s="631"/>
      <c r="DD64" s="631"/>
      <c r="DE64" s="631"/>
      <c r="DF64" s="631"/>
      <c r="DG64" s="631"/>
      <c r="DH64" s="631"/>
      <c r="DI64" s="631"/>
      <c r="DJ64" s="631"/>
      <c r="DK64" s="631"/>
      <c r="DL64" s="631"/>
      <c r="DM64" s="631"/>
      <c r="DN64" s="631"/>
      <c r="DO64" s="631"/>
      <c r="DP64" s="631"/>
      <c r="DQ64" s="631"/>
      <c r="DR64" s="631"/>
      <c r="DS64" s="631"/>
      <c r="DT64" s="631"/>
      <c r="DU64" s="631"/>
      <c r="DV64" s="631"/>
      <c r="DW64" s="631"/>
      <c r="DX64" s="631"/>
      <c r="DY64" s="631"/>
      <c r="DZ64" s="631"/>
      <c r="EA64" s="631"/>
      <c r="EB64" s="631"/>
      <c r="EC64" s="631"/>
      <c r="ED64" s="631"/>
      <c r="EE64" s="631"/>
      <c r="EF64" s="631"/>
      <c r="EG64" s="631"/>
      <c r="EH64" s="631"/>
      <c r="EI64" s="631"/>
      <c r="EJ64" s="631"/>
      <c r="EK64" s="631"/>
      <c r="EL64" s="631"/>
      <c r="EM64" s="631"/>
      <c r="EN64" s="631"/>
      <c r="EO64" s="631"/>
      <c r="EP64" s="631"/>
      <c r="EQ64" s="631"/>
    </row>
    <row r="65" spans="1:147" ht="1.9" customHeight="1" x14ac:dyDescent="0.25">
      <c r="A65" s="627"/>
      <c r="B65" s="628"/>
      <c r="C65" s="628"/>
      <c r="D65" s="628"/>
      <c r="E65" s="628"/>
      <c r="F65" s="628"/>
      <c r="G65" s="628"/>
      <c r="H65" s="628"/>
      <c r="I65" s="628"/>
      <c r="J65" s="628"/>
      <c r="K65" s="627"/>
      <c r="L65" s="628"/>
      <c r="M65" s="628"/>
      <c r="N65" s="628"/>
      <c r="O65" s="628"/>
      <c r="P65" s="628"/>
      <c r="Q65" s="628"/>
      <c r="R65" s="628"/>
      <c r="S65" s="628"/>
      <c r="T65" s="628"/>
      <c r="U65" s="628"/>
      <c r="V65" s="629"/>
      <c r="W65" s="630"/>
      <c r="X65" s="631"/>
      <c r="Y65" s="631"/>
      <c r="Z65" s="631"/>
      <c r="AA65" s="631"/>
      <c r="AB65" s="631"/>
      <c r="AC65" s="631"/>
      <c r="AD65" s="631"/>
      <c r="AE65" s="631"/>
      <c r="AF65" s="631"/>
      <c r="AG65" s="631"/>
      <c r="AH65" s="631"/>
      <c r="AI65" s="631"/>
      <c r="AJ65" s="631"/>
      <c r="AK65" s="631"/>
      <c r="AL65" s="631"/>
      <c r="AM65" s="631"/>
      <c r="AN65" s="631"/>
      <c r="AO65" s="631"/>
      <c r="AP65" s="631"/>
      <c r="AQ65" s="631"/>
      <c r="AR65" s="631"/>
      <c r="AS65" s="631"/>
      <c r="AT65" s="631"/>
      <c r="AU65" s="631"/>
      <c r="AV65" s="631"/>
      <c r="AW65" s="631"/>
      <c r="AX65" s="631"/>
      <c r="AY65" s="631"/>
      <c r="AZ65" s="631"/>
      <c r="BA65" s="631"/>
      <c r="BB65" s="631"/>
      <c r="BC65" s="631"/>
      <c r="BD65" s="631"/>
      <c r="BE65" s="631"/>
      <c r="BF65" s="631"/>
      <c r="BG65" s="631"/>
      <c r="BH65" s="631"/>
      <c r="BI65" s="631"/>
      <c r="BJ65" s="631"/>
      <c r="BK65" s="631"/>
      <c r="BL65" s="631"/>
      <c r="BM65" s="631"/>
      <c r="BN65" s="631"/>
      <c r="BO65" s="631"/>
      <c r="BP65" s="631"/>
      <c r="BQ65" s="631"/>
      <c r="BR65" s="631"/>
      <c r="BS65" s="631"/>
      <c r="BT65" s="631"/>
      <c r="BU65" s="631"/>
      <c r="BV65" s="631"/>
      <c r="BW65" s="631"/>
      <c r="BX65" s="631"/>
      <c r="BY65" s="631"/>
      <c r="BZ65" s="631"/>
      <c r="CA65" s="631"/>
      <c r="CB65" s="631"/>
      <c r="CC65" s="631"/>
      <c r="CD65" s="631"/>
      <c r="CE65" s="631"/>
      <c r="CF65" s="631"/>
      <c r="CG65" s="631"/>
      <c r="CH65" s="631"/>
      <c r="CI65" s="631"/>
      <c r="CJ65" s="631"/>
      <c r="CK65" s="631"/>
      <c r="CL65" s="631"/>
      <c r="CM65" s="631"/>
      <c r="CN65" s="631"/>
      <c r="CO65" s="631"/>
      <c r="CP65" s="631"/>
      <c r="CQ65" s="631"/>
      <c r="CR65" s="631"/>
      <c r="CS65" s="631"/>
      <c r="CT65" s="631"/>
      <c r="CU65" s="631"/>
      <c r="CV65" s="631"/>
      <c r="CW65" s="631"/>
      <c r="CX65" s="631"/>
      <c r="CY65" s="631"/>
      <c r="CZ65" s="631"/>
      <c r="DA65" s="631"/>
      <c r="DB65" s="631"/>
      <c r="DC65" s="631"/>
      <c r="DD65" s="631"/>
      <c r="DE65" s="631"/>
      <c r="DF65" s="631"/>
      <c r="DG65" s="631"/>
      <c r="DH65" s="631"/>
      <c r="DI65" s="631"/>
      <c r="DJ65" s="631"/>
      <c r="DK65" s="631"/>
      <c r="DL65" s="631"/>
      <c r="DM65" s="631"/>
      <c r="DN65" s="631"/>
      <c r="DO65" s="631"/>
      <c r="DP65" s="631"/>
      <c r="DQ65" s="631"/>
      <c r="DR65" s="631"/>
      <c r="DS65" s="631"/>
      <c r="DT65" s="631"/>
      <c r="DU65" s="631"/>
      <c r="DV65" s="631"/>
      <c r="DW65" s="631"/>
      <c r="DX65" s="631"/>
      <c r="DY65" s="631"/>
      <c r="DZ65" s="631"/>
      <c r="EA65" s="631"/>
      <c r="EB65" s="631"/>
      <c r="EC65" s="631"/>
      <c r="ED65" s="631"/>
      <c r="EE65" s="631"/>
      <c r="EF65" s="631"/>
      <c r="EG65" s="631"/>
      <c r="EH65" s="631"/>
      <c r="EI65" s="631"/>
      <c r="EJ65" s="631"/>
      <c r="EK65" s="631"/>
      <c r="EL65" s="631"/>
      <c r="EM65" s="631"/>
      <c r="EN65" s="631"/>
      <c r="EO65" s="631"/>
      <c r="EP65" s="631"/>
      <c r="EQ65" s="631"/>
    </row>
    <row r="66" spans="1:147" ht="10.15" customHeight="1" x14ac:dyDescent="0.25">
      <c r="A66" s="632" t="s">
        <v>308</v>
      </c>
      <c r="B66" s="633"/>
      <c r="C66" s="633"/>
      <c r="D66" s="633"/>
      <c r="E66" s="633"/>
      <c r="F66" s="633"/>
      <c r="G66" s="633"/>
      <c r="H66" s="633"/>
      <c r="I66" s="633"/>
      <c r="J66" s="633"/>
      <c r="K66" s="636" t="s">
        <v>186</v>
      </c>
      <c r="L66" s="637"/>
      <c r="M66" s="637"/>
      <c r="N66" s="637"/>
      <c r="O66" s="637"/>
      <c r="P66" s="637"/>
      <c r="Q66" s="637"/>
      <c r="R66" s="637"/>
      <c r="S66" s="637"/>
      <c r="T66" s="637"/>
      <c r="U66" s="637"/>
      <c r="V66" s="638"/>
      <c r="W66" s="630"/>
      <c r="X66" s="631"/>
      <c r="Y66" s="631"/>
      <c r="Z66" s="631"/>
      <c r="AA66" s="631"/>
      <c r="AB66" s="631"/>
      <c r="AC66" s="631"/>
      <c r="AD66" s="631"/>
      <c r="AE66" s="631"/>
      <c r="AF66" s="631"/>
      <c r="AG66" s="631"/>
      <c r="AH66" s="631"/>
      <c r="AI66" s="631"/>
      <c r="AJ66" s="631"/>
      <c r="AK66" s="631"/>
      <c r="AL66" s="631"/>
      <c r="AM66" s="631"/>
      <c r="AN66" s="631"/>
      <c r="AO66" s="631"/>
      <c r="AP66" s="631"/>
      <c r="AQ66" s="631"/>
      <c r="AR66" s="631"/>
      <c r="AS66" s="631"/>
      <c r="AT66" s="631"/>
      <c r="AU66" s="631"/>
      <c r="AV66" s="631"/>
      <c r="AW66" s="631"/>
      <c r="AX66" s="631"/>
      <c r="AY66" s="631"/>
      <c r="AZ66" s="631"/>
      <c r="BA66" s="631"/>
      <c r="BB66" s="631"/>
      <c r="BC66" s="631"/>
      <c r="BD66" s="631"/>
      <c r="BE66" s="631"/>
      <c r="BF66" s="631"/>
      <c r="BG66" s="631"/>
      <c r="BH66" s="631"/>
      <c r="BI66" s="631"/>
      <c r="BJ66" s="631"/>
      <c r="BK66" s="631"/>
      <c r="BL66" s="631"/>
      <c r="BM66" s="631"/>
      <c r="BN66" s="631"/>
      <c r="BO66" s="631"/>
      <c r="BP66" s="631"/>
      <c r="BQ66" s="631"/>
      <c r="BR66" s="631"/>
      <c r="BS66" s="631"/>
      <c r="BT66" s="631"/>
      <c r="BU66" s="631"/>
      <c r="BV66" s="631"/>
      <c r="BW66" s="631"/>
      <c r="BX66" s="631"/>
      <c r="BY66" s="631"/>
      <c r="BZ66" s="631"/>
      <c r="CA66" s="631"/>
      <c r="CB66" s="631"/>
      <c r="CC66" s="631"/>
      <c r="CD66" s="631"/>
      <c r="CE66" s="631"/>
      <c r="CF66" s="631"/>
      <c r="CG66" s="631"/>
      <c r="CH66" s="631"/>
      <c r="CI66" s="631"/>
      <c r="CJ66" s="631"/>
      <c r="CK66" s="631"/>
      <c r="CL66" s="631"/>
      <c r="CM66" s="631"/>
      <c r="CN66" s="631"/>
      <c r="CO66" s="631"/>
      <c r="CP66" s="631"/>
      <c r="CQ66" s="631"/>
      <c r="CR66" s="631"/>
      <c r="CS66" s="631"/>
      <c r="CT66" s="631"/>
      <c r="CU66" s="631"/>
      <c r="CV66" s="631"/>
      <c r="CW66" s="631"/>
      <c r="CX66" s="631"/>
      <c r="CY66" s="631"/>
      <c r="CZ66" s="631"/>
      <c r="DA66" s="631"/>
      <c r="DB66" s="631"/>
      <c r="DC66" s="631"/>
      <c r="DD66" s="631"/>
      <c r="DE66" s="631"/>
      <c r="DF66" s="631"/>
      <c r="DG66" s="631"/>
      <c r="DH66" s="631"/>
      <c r="DI66" s="631"/>
      <c r="DJ66" s="631"/>
      <c r="DK66" s="631"/>
      <c r="DL66" s="631"/>
      <c r="DM66" s="631"/>
      <c r="DN66" s="631"/>
      <c r="DO66" s="631"/>
      <c r="DP66" s="631"/>
      <c r="DQ66" s="631"/>
      <c r="DR66" s="631"/>
      <c r="DS66" s="631"/>
      <c r="DT66" s="631"/>
      <c r="DU66" s="631"/>
      <c r="DV66" s="631"/>
      <c r="DW66" s="631"/>
      <c r="DX66" s="631"/>
      <c r="DY66" s="631"/>
      <c r="DZ66" s="631"/>
      <c r="EA66" s="631"/>
      <c r="EB66" s="631"/>
      <c r="EC66" s="631"/>
      <c r="ED66" s="631"/>
      <c r="EE66" s="631"/>
      <c r="EF66" s="631"/>
      <c r="EG66" s="631"/>
      <c r="EH66" s="631"/>
      <c r="EI66" s="631"/>
      <c r="EJ66" s="631"/>
      <c r="EK66" s="631"/>
      <c r="EL66" s="631"/>
      <c r="EM66" s="631"/>
      <c r="EN66" s="631"/>
      <c r="EO66" s="631"/>
      <c r="EP66" s="631"/>
      <c r="EQ66" s="631"/>
    </row>
    <row r="67" spans="1:147" ht="15" hidden="1" customHeight="1" thickBot="1" x14ac:dyDescent="0.3">
      <c r="A67" s="632"/>
      <c r="B67" s="633"/>
      <c r="C67" s="633"/>
      <c r="D67" s="633"/>
      <c r="E67" s="633"/>
      <c r="F67" s="633"/>
      <c r="G67" s="633"/>
      <c r="H67" s="633"/>
      <c r="I67" s="633"/>
      <c r="J67" s="633"/>
      <c r="K67" s="636"/>
      <c r="L67" s="637"/>
      <c r="M67" s="637"/>
      <c r="N67" s="637"/>
      <c r="O67" s="637"/>
      <c r="P67" s="637"/>
      <c r="Q67" s="637"/>
      <c r="R67" s="637"/>
      <c r="S67" s="637"/>
      <c r="T67" s="637"/>
      <c r="U67" s="637"/>
      <c r="V67" s="638"/>
      <c r="W67" s="630"/>
      <c r="X67" s="631"/>
      <c r="Y67" s="631"/>
      <c r="Z67" s="631"/>
      <c r="AA67" s="631"/>
      <c r="AB67" s="631"/>
      <c r="AC67" s="631"/>
      <c r="AD67" s="631"/>
      <c r="AE67" s="631"/>
      <c r="AF67" s="631"/>
      <c r="AG67" s="631"/>
      <c r="AH67" s="631"/>
      <c r="AI67" s="631"/>
      <c r="AJ67" s="631"/>
      <c r="AK67" s="631"/>
      <c r="AL67" s="631"/>
      <c r="AM67" s="631"/>
      <c r="AN67" s="631"/>
      <c r="AO67" s="631"/>
      <c r="AP67" s="631"/>
      <c r="AQ67" s="631"/>
      <c r="AR67" s="631"/>
      <c r="AS67" s="631"/>
      <c r="AT67" s="631"/>
      <c r="AU67" s="631"/>
      <c r="AV67" s="631"/>
      <c r="AW67" s="631"/>
      <c r="AX67" s="631"/>
      <c r="AY67" s="631"/>
      <c r="AZ67" s="631"/>
      <c r="BA67" s="631"/>
      <c r="BB67" s="631"/>
      <c r="BC67" s="631"/>
      <c r="BD67" s="631"/>
      <c r="BE67" s="631"/>
      <c r="BF67" s="631"/>
      <c r="BG67" s="631"/>
      <c r="BH67" s="631"/>
      <c r="BI67" s="631"/>
      <c r="BJ67" s="631"/>
      <c r="BK67" s="631"/>
      <c r="BL67" s="631"/>
      <c r="BM67" s="631"/>
      <c r="BN67" s="631"/>
      <c r="BO67" s="631"/>
      <c r="BP67" s="631"/>
      <c r="BQ67" s="631"/>
      <c r="BR67" s="631"/>
      <c r="BS67" s="631"/>
      <c r="BT67" s="631"/>
      <c r="BU67" s="631"/>
      <c r="BV67" s="631"/>
      <c r="BW67" s="631"/>
      <c r="BX67" s="631"/>
      <c r="BY67" s="631"/>
      <c r="BZ67" s="631"/>
      <c r="CA67" s="631"/>
      <c r="CB67" s="631"/>
      <c r="CC67" s="631"/>
      <c r="CD67" s="631"/>
      <c r="CE67" s="631"/>
      <c r="CF67" s="631"/>
      <c r="CG67" s="631"/>
      <c r="CH67" s="631"/>
      <c r="CI67" s="631"/>
      <c r="CJ67" s="631"/>
      <c r="CK67" s="631"/>
      <c r="CL67" s="631"/>
      <c r="CM67" s="631"/>
      <c r="CN67" s="631"/>
      <c r="CO67" s="631"/>
      <c r="CP67" s="631"/>
      <c r="CQ67" s="631"/>
      <c r="CR67" s="631"/>
      <c r="CS67" s="631"/>
      <c r="CT67" s="631"/>
      <c r="CU67" s="631"/>
      <c r="CV67" s="631"/>
      <c r="CW67" s="631"/>
      <c r="CX67" s="631"/>
      <c r="CY67" s="631"/>
      <c r="CZ67" s="631"/>
      <c r="DA67" s="631"/>
      <c r="DB67" s="631"/>
      <c r="DC67" s="631"/>
      <c r="DD67" s="631"/>
      <c r="DE67" s="631"/>
      <c r="DF67" s="631"/>
      <c r="DG67" s="631"/>
      <c r="DH67" s="631"/>
      <c r="DI67" s="631"/>
      <c r="DJ67" s="631"/>
      <c r="DK67" s="631"/>
      <c r="DL67" s="631"/>
      <c r="DM67" s="631"/>
      <c r="DN67" s="631"/>
      <c r="DO67" s="631"/>
      <c r="DP67" s="631"/>
      <c r="DQ67" s="631"/>
      <c r="DR67" s="631"/>
      <c r="DS67" s="631"/>
      <c r="DT67" s="631"/>
      <c r="DU67" s="631"/>
      <c r="DV67" s="631"/>
      <c r="DW67" s="631"/>
      <c r="DX67" s="631"/>
      <c r="DY67" s="631"/>
      <c r="DZ67" s="631"/>
      <c r="EA67" s="631"/>
      <c r="EB67" s="631"/>
      <c r="EC67" s="631"/>
      <c r="ED67" s="631"/>
      <c r="EE67" s="631"/>
      <c r="EF67" s="631"/>
      <c r="EG67" s="631"/>
      <c r="EH67" s="631"/>
      <c r="EI67" s="631"/>
      <c r="EJ67" s="631"/>
      <c r="EK67" s="631"/>
      <c r="EL67" s="631"/>
      <c r="EM67" s="631"/>
      <c r="EN67" s="631"/>
      <c r="EO67" s="631"/>
      <c r="EP67" s="631"/>
      <c r="EQ67" s="631"/>
    </row>
    <row r="68" spans="1:147" ht="7.15" customHeight="1" thickBot="1" x14ac:dyDescent="0.3">
      <c r="A68" s="634"/>
      <c r="B68" s="635"/>
      <c r="C68" s="635"/>
      <c r="D68" s="635"/>
      <c r="E68" s="635"/>
      <c r="F68" s="635"/>
      <c r="G68" s="635"/>
      <c r="H68" s="635"/>
      <c r="I68" s="635"/>
      <c r="J68" s="635"/>
      <c r="K68" s="639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1"/>
      <c r="W68" s="630"/>
      <c r="X68" s="631"/>
      <c r="Y68" s="631"/>
      <c r="Z68" s="631"/>
      <c r="AA68" s="631"/>
      <c r="AB68" s="631"/>
      <c r="AC68" s="631"/>
      <c r="AD68" s="631"/>
      <c r="AE68" s="631"/>
      <c r="AF68" s="631"/>
      <c r="AG68" s="631"/>
      <c r="AH68" s="631"/>
      <c r="AI68" s="631"/>
      <c r="AJ68" s="631"/>
      <c r="AK68" s="631"/>
      <c r="AL68" s="631"/>
      <c r="AM68" s="631"/>
      <c r="AN68" s="631"/>
      <c r="AO68" s="631"/>
      <c r="AP68" s="631"/>
      <c r="AQ68" s="631"/>
      <c r="AR68" s="631"/>
      <c r="AS68" s="631"/>
      <c r="AT68" s="631"/>
      <c r="AU68" s="631"/>
      <c r="AV68" s="631"/>
      <c r="AW68" s="631"/>
      <c r="AX68" s="631"/>
      <c r="AY68" s="631"/>
      <c r="AZ68" s="631"/>
      <c r="BA68" s="631"/>
      <c r="BB68" s="631"/>
      <c r="BC68" s="631"/>
      <c r="BD68" s="631"/>
      <c r="BE68" s="631"/>
      <c r="BF68" s="631"/>
      <c r="BG68" s="631"/>
      <c r="BH68" s="631"/>
      <c r="BI68" s="631"/>
      <c r="BJ68" s="631"/>
      <c r="BK68" s="631"/>
      <c r="BL68" s="631"/>
      <c r="BM68" s="631"/>
      <c r="BN68" s="631"/>
      <c r="BO68" s="631"/>
      <c r="BP68" s="631"/>
      <c r="BQ68" s="631"/>
      <c r="BR68" s="631"/>
      <c r="BS68" s="631"/>
      <c r="BT68" s="631"/>
      <c r="BU68" s="631"/>
      <c r="BV68" s="631"/>
      <c r="BW68" s="631"/>
      <c r="BX68" s="631"/>
      <c r="BY68" s="631"/>
      <c r="BZ68" s="631"/>
      <c r="CA68" s="631"/>
      <c r="CB68" s="631"/>
      <c r="CC68" s="631"/>
      <c r="CD68" s="631"/>
      <c r="CE68" s="631"/>
      <c r="CF68" s="631"/>
      <c r="CG68" s="631"/>
      <c r="CH68" s="631"/>
      <c r="CI68" s="631"/>
      <c r="CJ68" s="631"/>
      <c r="CK68" s="631"/>
      <c r="CL68" s="631"/>
      <c r="CM68" s="631"/>
      <c r="CN68" s="631"/>
      <c r="CO68" s="631"/>
      <c r="CP68" s="631"/>
      <c r="CQ68" s="631"/>
      <c r="CR68" s="631"/>
      <c r="CS68" s="631"/>
      <c r="CT68" s="631"/>
      <c r="CU68" s="631"/>
      <c r="CV68" s="631"/>
      <c r="CW68" s="631"/>
      <c r="CX68" s="631"/>
      <c r="CY68" s="631"/>
      <c r="CZ68" s="631"/>
      <c r="DA68" s="631"/>
      <c r="DB68" s="631"/>
      <c r="DC68" s="631"/>
      <c r="DD68" s="631"/>
      <c r="DE68" s="631"/>
      <c r="DF68" s="631"/>
      <c r="DG68" s="631"/>
      <c r="DH68" s="631"/>
      <c r="DI68" s="631"/>
      <c r="DJ68" s="631"/>
      <c r="DK68" s="631"/>
      <c r="DL68" s="631"/>
      <c r="DM68" s="631"/>
      <c r="DN68" s="631"/>
      <c r="DO68" s="631"/>
      <c r="DP68" s="631"/>
      <c r="DQ68" s="631"/>
      <c r="DR68" s="631"/>
      <c r="DS68" s="631"/>
      <c r="DT68" s="631"/>
      <c r="DU68" s="631"/>
      <c r="DV68" s="631"/>
      <c r="DW68" s="631"/>
      <c r="DX68" s="631"/>
      <c r="DY68" s="631"/>
      <c r="DZ68" s="631"/>
      <c r="EA68" s="631"/>
      <c r="EB68" s="631"/>
      <c r="EC68" s="631"/>
      <c r="ED68" s="631"/>
      <c r="EE68" s="631"/>
      <c r="EF68" s="631"/>
      <c r="EG68" s="631"/>
      <c r="EH68" s="631"/>
      <c r="EI68" s="631"/>
      <c r="EJ68" s="631"/>
      <c r="EK68" s="631"/>
      <c r="EL68" s="631"/>
      <c r="EM68" s="631"/>
      <c r="EN68" s="631"/>
      <c r="EO68" s="631"/>
      <c r="EP68" s="631"/>
      <c r="EQ68" s="631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workbookViewId="0">
      <selection activeCell="T28" sqref="T28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662" t="s">
        <v>187</v>
      </c>
      <c r="C1" s="663"/>
      <c r="D1" s="663"/>
      <c r="E1" s="663"/>
      <c r="F1" s="663"/>
      <c r="G1" s="663"/>
      <c r="H1" s="663"/>
      <c r="I1" s="663"/>
      <c r="J1" s="663"/>
      <c r="K1" s="663"/>
      <c r="L1" s="664"/>
      <c r="M1" s="665"/>
      <c r="N1" s="666"/>
      <c r="O1" s="667"/>
      <c r="P1" s="668"/>
    </row>
    <row r="2" spans="1:18" ht="16.899999999999999" customHeight="1" x14ac:dyDescent="0.25">
      <c r="A2" s="669" t="s">
        <v>188</v>
      </c>
      <c r="B2" s="671" t="s">
        <v>189</v>
      </c>
      <c r="C2" s="672"/>
      <c r="D2" s="672"/>
      <c r="E2" s="672"/>
      <c r="F2" s="672"/>
      <c r="G2" s="672"/>
      <c r="H2" s="672"/>
      <c r="I2" s="672"/>
      <c r="J2" s="672"/>
      <c r="K2" s="672"/>
      <c r="L2" s="673"/>
      <c r="M2" s="332"/>
      <c r="N2" s="722" t="s">
        <v>188</v>
      </c>
      <c r="O2" s="722"/>
      <c r="P2" s="333"/>
    </row>
    <row r="3" spans="1:18" ht="14.45" customHeight="1" x14ac:dyDescent="0.25">
      <c r="A3" s="669"/>
      <c r="B3" s="671" t="s">
        <v>190</v>
      </c>
      <c r="C3" s="672"/>
      <c r="D3" s="672"/>
      <c r="E3" s="672"/>
      <c r="F3" s="672"/>
      <c r="G3" s="672"/>
      <c r="H3" s="672"/>
      <c r="I3" s="672"/>
      <c r="J3" s="672"/>
      <c r="K3" s="672"/>
      <c r="L3" s="673"/>
      <c r="M3" s="332"/>
      <c r="N3" s="722"/>
      <c r="O3" s="722"/>
      <c r="P3" s="333"/>
    </row>
    <row r="4" spans="1:18" ht="15.75" thickBot="1" x14ac:dyDescent="0.3">
      <c r="A4" s="670"/>
      <c r="B4" s="674" t="s">
        <v>191</v>
      </c>
      <c r="C4" s="675"/>
      <c r="D4" s="675"/>
      <c r="E4" s="675"/>
      <c r="F4" s="675"/>
      <c r="G4" s="675"/>
      <c r="H4" s="675"/>
      <c r="I4" s="675"/>
      <c r="J4" s="675"/>
      <c r="K4" s="675"/>
      <c r="L4" s="676"/>
      <c r="M4" s="334"/>
      <c r="N4" s="723"/>
      <c r="O4" s="723"/>
      <c r="P4" s="335"/>
    </row>
    <row r="5" spans="1:18" x14ac:dyDescent="0.25">
      <c r="A5" s="677"/>
      <c r="B5" s="677"/>
      <c r="C5" s="677"/>
      <c r="D5" s="677"/>
      <c r="E5" s="677"/>
      <c r="F5" s="677"/>
      <c r="G5" s="677"/>
      <c r="H5" s="677"/>
      <c r="I5" s="677"/>
      <c r="J5" s="677"/>
      <c r="K5" s="677"/>
      <c r="L5" s="677"/>
      <c r="M5" s="677"/>
      <c r="N5" s="677"/>
      <c r="O5" s="677"/>
      <c r="P5" s="677"/>
    </row>
    <row r="6" spans="1:18" ht="16.149999999999999" customHeight="1" x14ac:dyDescent="0.25">
      <c r="A6" s="336" t="s">
        <v>192</v>
      </c>
      <c r="B6" s="678">
        <v>43809</v>
      </c>
      <c r="C6" s="679"/>
      <c r="D6" s="679"/>
      <c r="E6" s="679"/>
      <c r="F6" s="679"/>
      <c r="G6" s="679"/>
      <c r="H6" s="680" t="s">
        <v>193</v>
      </c>
      <c r="I6" s="680"/>
      <c r="J6" s="680"/>
      <c r="K6" s="680"/>
      <c r="L6" s="680" t="s">
        <v>334</v>
      </c>
      <c r="M6" s="680"/>
      <c r="N6" s="680"/>
      <c r="O6" s="680"/>
      <c r="P6" s="681"/>
    </row>
    <row r="7" spans="1:18" x14ac:dyDescent="0.25">
      <c r="A7" s="337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  <c r="P7" s="682"/>
      <c r="Q7" s="319"/>
      <c r="R7" s="319"/>
    </row>
    <row r="8" spans="1:18" x14ac:dyDescent="0.25">
      <c r="A8" s="338"/>
      <c r="B8" s="683"/>
      <c r="C8" s="683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683"/>
      <c r="O8" s="683"/>
      <c r="P8" s="683"/>
    </row>
    <row r="9" spans="1:18" x14ac:dyDescent="0.25">
      <c r="A9" s="684" t="s">
        <v>194</v>
      </c>
      <c r="B9" s="685"/>
      <c r="C9" s="685"/>
      <c r="D9" s="685"/>
      <c r="E9" s="685"/>
      <c r="F9" s="685"/>
      <c r="G9" s="685"/>
      <c r="H9" s="685"/>
      <c r="I9" s="683"/>
      <c r="J9" s="683"/>
      <c r="K9" s="683"/>
      <c r="L9" s="683"/>
      <c r="M9" s="683"/>
      <c r="N9" s="683"/>
      <c r="O9" s="683"/>
      <c r="P9" s="683"/>
    </row>
    <row r="10" spans="1:18" ht="8.4499999999999993" customHeight="1" x14ac:dyDescent="0.25">
      <c r="A10" s="683"/>
      <c r="B10" s="683"/>
      <c r="C10" s="683"/>
      <c r="D10" s="683"/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</row>
    <row r="11" spans="1:18" ht="18.75" x14ac:dyDescent="0.35">
      <c r="A11" s="339" t="s">
        <v>273</v>
      </c>
      <c r="B11" s="686">
        <v>400</v>
      </c>
      <c r="C11" s="687"/>
      <c r="D11" s="688"/>
      <c r="E11" s="586">
        <v>500</v>
      </c>
      <c r="F11" s="679"/>
      <c r="G11" s="587"/>
      <c r="H11" s="586">
        <v>630</v>
      </c>
      <c r="I11" s="679"/>
      <c r="J11" s="587"/>
      <c r="K11" s="586">
        <v>800</v>
      </c>
      <c r="L11" s="679"/>
      <c r="M11" s="587"/>
      <c r="N11" s="586">
        <v>1000</v>
      </c>
      <c r="O11" s="587"/>
      <c r="P11" s="340"/>
    </row>
    <row r="12" spans="1:18" x14ac:dyDescent="0.25">
      <c r="A12" s="341" t="s">
        <v>195</v>
      </c>
      <c r="B12" s="586">
        <v>20</v>
      </c>
      <c r="C12" s="679"/>
      <c r="D12" s="587"/>
      <c r="E12" s="586">
        <v>50</v>
      </c>
      <c r="F12" s="679"/>
      <c r="G12" s="587"/>
      <c r="H12" s="586">
        <v>100</v>
      </c>
      <c r="I12" s="679"/>
      <c r="J12" s="587"/>
      <c r="K12" s="586">
        <v>150</v>
      </c>
      <c r="L12" s="679"/>
      <c r="M12" s="587"/>
      <c r="N12" s="586">
        <v>200</v>
      </c>
      <c r="O12" s="587"/>
      <c r="P12" s="340"/>
    </row>
    <row r="13" spans="1:18" x14ac:dyDescent="0.25">
      <c r="A13" s="682"/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682"/>
      <c r="O13" s="682"/>
      <c r="P13" s="340"/>
    </row>
    <row r="14" spans="1:18" ht="18.75" x14ac:dyDescent="0.35">
      <c r="A14" s="339" t="s">
        <v>274</v>
      </c>
      <c r="B14" s="341">
        <v>5</v>
      </c>
      <c r="C14" s="341" t="s">
        <v>196</v>
      </c>
      <c r="D14" s="341">
        <v>8</v>
      </c>
      <c r="E14" s="341">
        <v>10</v>
      </c>
      <c r="F14" s="341" t="s">
        <v>197</v>
      </c>
      <c r="G14" s="341">
        <v>16</v>
      </c>
      <c r="H14" s="341">
        <v>20</v>
      </c>
      <c r="I14" s="341">
        <v>25</v>
      </c>
      <c r="J14" s="341" t="s">
        <v>198</v>
      </c>
      <c r="K14" s="341">
        <v>40</v>
      </c>
      <c r="L14" s="341">
        <v>50</v>
      </c>
      <c r="M14" s="341">
        <v>63</v>
      </c>
      <c r="N14" s="341">
        <v>80</v>
      </c>
      <c r="O14" s="690" t="s">
        <v>275</v>
      </c>
      <c r="P14" s="690"/>
    </row>
    <row r="15" spans="1:18" ht="18" x14ac:dyDescent="0.25">
      <c r="A15" s="342" t="s">
        <v>195</v>
      </c>
      <c r="B15" s="341" t="s">
        <v>199</v>
      </c>
      <c r="C15" s="341" t="s">
        <v>200</v>
      </c>
      <c r="D15" s="341" t="s">
        <v>201</v>
      </c>
      <c r="E15" s="341" t="s">
        <v>202</v>
      </c>
      <c r="F15" s="341" t="s">
        <v>203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81" t="s">
        <v>276</v>
      </c>
      <c r="P15" s="581"/>
    </row>
    <row r="16" spans="1:18" x14ac:dyDescent="0.25">
      <c r="A16" s="682"/>
      <c r="B16" s="682"/>
      <c r="C16" s="682"/>
      <c r="D16" s="682"/>
      <c r="E16" s="682"/>
      <c r="F16" s="682"/>
      <c r="G16" s="682"/>
      <c r="H16" s="682"/>
      <c r="I16" s="682"/>
      <c r="J16" s="682"/>
      <c r="K16" s="682"/>
      <c r="L16" s="682"/>
      <c r="M16" s="682"/>
      <c r="N16" s="682"/>
      <c r="O16" s="682"/>
      <c r="P16" s="682"/>
    </row>
    <row r="17" spans="1:16" x14ac:dyDescent="0.25">
      <c r="A17" s="683"/>
      <c r="B17" s="683"/>
      <c r="C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</row>
    <row r="18" spans="1:16" x14ac:dyDescent="0.25">
      <c r="A18" s="685" t="s">
        <v>277</v>
      </c>
      <c r="B18" s="685"/>
      <c r="C18" s="685"/>
      <c r="D18" s="685"/>
      <c r="E18" s="685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3"/>
    </row>
    <row r="19" spans="1:16" ht="10.9" customHeight="1" thickBot="1" x14ac:dyDescent="0.3">
      <c r="A19" s="689"/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</row>
    <row r="20" spans="1:16" x14ac:dyDescent="0.25">
      <c r="A20" s="691" t="s">
        <v>271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3"/>
    </row>
    <row r="21" spans="1:16" x14ac:dyDescent="0.25">
      <c r="A21" s="694" t="s">
        <v>204</v>
      </c>
      <c r="B21" s="695"/>
      <c r="C21" s="695"/>
      <c r="D21" s="695"/>
      <c r="E21" s="695"/>
      <c r="F21" s="695"/>
      <c r="G21" s="695"/>
      <c r="H21" s="695"/>
      <c r="I21" s="695"/>
      <c r="J21" s="695"/>
      <c r="K21" s="695"/>
      <c r="L21" s="695"/>
      <c r="M21" s="695"/>
      <c r="N21" s="695"/>
      <c r="O21" s="695"/>
      <c r="P21" s="696"/>
    </row>
    <row r="22" spans="1:16" x14ac:dyDescent="0.25">
      <c r="A22" s="697"/>
      <c r="B22" s="698"/>
      <c r="C22" s="698"/>
      <c r="D22" s="698"/>
      <c r="E22" s="698"/>
      <c r="F22" s="698"/>
      <c r="G22" s="698"/>
      <c r="H22" s="698"/>
      <c r="I22" s="698"/>
      <c r="J22" s="698"/>
      <c r="K22" s="698"/>
      <c r="L22" s="698"/>
      <c r="M22" s="698"/>
      <c r="N22" s="698"/>
      <c r="O22" s="698"/>
      <c r="P22" s="699"/>
    </row>
    <row r="23" spans="1:16" x14ac:dyDescent="0.25">
      <c r="A23" s="697"/>
      <c r="B23" s="698"/>
      <c r="C23" s="700"/>
      <c r="D23" s="342"/>
      <c r="E23" s="581" t="s">
        <v>205</v>
      </c>
      <c r="F23" s="581"/>
      <c r="G23" s="701"/>
      <c r="H23" s="698"/>
      <c r="I23" s="698"/>
      <c r="J23" s="698"/>
      <c r="K23" s="700"/>
      <c r="L23" s="343"/>
      <c r="M23" s="586" t="s">
        <v>206</v>
      </c>
      <c r="N23" s="587"/>
      <c r="O23" s="701"/>
      <c r="P23" s="699"/>
    </row>
    <row r="24" spans="1:16" x14ac:dyDescent="0.25">
      <c r="A24" s="702"/>
      <c r="B24" s="703"/>
      <c r="C24" s="703"/>
      <c r="D24" s="703"/>
      <c r="E24" s="703"/>
      <c r="F24" s="703"/>
      <c r="G24" s="703"/>
      <c r="H24" s="703"/>
      <c r="I24" s="703"/>
      <c r="J24" s="703"/>
      <c r="K24" s="703"/>
      <c r="L24" s="703"/>
      <c r="M24" s="703"/>
      <c r="N24" s="703"/>
      <c r="O24" s="703"/>
      <c r="P24" s="704"/>
    </row>
    <row r="25" spans="1:16" x14ac:dyDescent="0.25">
      <c r="A25" s="344" t="s">
        <v>272</v>
      </c>
      <c r="B25" s="682"/>
      <c r="C25" s="682"/>
      <c r="D25" s="682"/>
      <c r="E25" s="682"/>
      <c r="F25" s="682"/>
      <c r="G25" s="682"/>
      <c r="H25" s="682"/>
      <c r="I25" s="682"/>
      <c r="J25" s="682"/>
      <c r="K25" s="682"/>
      <c r="L25" s="682"/>
      <c r="M25" s="682"/>
      <c r="N25" s="682"/>
      <c r="O25" s="682"/>
      <c r="P25" s="705"/>
    </row>
    <row r="26" spans="1:16" x14ac:dyDescent="0.25">
      <c r="A26" s="697"/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698"/>
      <c r="O26" s="698"/>
      <c r="P26" s="699"/>
    </row>
    <row r="27" spans="1:16" ht="16.5" x14ac:dyDescent="0.3">
      <c r="A27" s="345" t="s">
        <v>207</v>
      </c>
      <c r="B27" s="703" t="s">
        <v>335</v>
      </c>
      <c r="C27" s="703"/>
      <c r="D27" s="703"/>
      <c r="E27" s="703"/>
      <c r="F27" s="703"/>
      <c r="G27" s="703"/>
      <c r="H27" s="703" t="s">
        <v>278</v>
      </c>
      <c r="I27" s="703"/>
      <c r="J27" s="703"/>
      <c r="K27" s="703"/>
      <c r="L27" s="703"/>
      <c r="M27" s="703">
        <v>32.799999999999997</v>
      </c>
      <c r="N27" s="703"/>
      <c r="O27" s="346">
        <v>36.200000000000003</v>
      </c>
      <c r="P27" s="346" t="s">
        <v>264</v>
      </c>
    </row>
    <row r="28" spans="1:16" ht="4.1500000000000004" customHeight="1" x14ac:dyDescent="0.25">
      <c r="A28" s="706"/>
      <c r="B28" s="682"/>
      <c r="C28" s="682"/>
      <c r="D28" s="682"/>
      <c r="E28" s="682"/>
      <c r="F28" s="682"/>
      <c r="G28" s="682"/>
      <c r="H28" s="682"/>
      <c r="I28" s="682"/>
      <c r="J28" s="682"/>
      <c r="K28" s="682"/>
      <c r="L28" s="682"/>
      <c r="M28" s="682"/>
      <c r="N28" s="682"/>
      <c r="O28" s="682"/>
      <c r="P28" s="705"/>
    </row>
    <row r="29" spans="1:16" x14ac:dyDescent="0.25">
      <c r="A29" s="707" t="s">
        <v>208</v>
      </c>
      <c r="B29" s="708"/>
      <c r="C29" s="708"/>
      <c r="D29" s="708"/>
      <c r="E29" s="708"/>
      <c r="F29" s="708"/>
      <c r="G29" s="708"/>
      <c r="H29" s="709" t="s">
        <v>209</v>
      </c>
      <c r="I29" s="709"/>
      <c r="J29" s="709"/>
      <c r="K29" s="709"/>
      <c r="L29" s="709"/>
      <c r="M29" s="698">
        <v>256.5</v>
      </c>
      <c r="N29" s="698"/>
      <c r="O29" s="347">
        <v>266.89999999999998</v>
      </c>
      <c r="P29" s="347" t="s">
        <v>265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03">
        <v>193.6</v>
      </c>
      <c r="P30" s="704"/>
    </row>
    <row r="31" spans="1:16" ht="16.5" x14ac:dyDescent="0.3">
      <c r="A31" s="711" t="s">
        <v>210</v>
      </c>
      <c r="B31" s="712"/>
      <c r="C31" s="712"/>
      <c r="D31" s="712"/>
      <c r="E31" s="712"/>
      <c r="F31" s="712"/>
      <c r="G31" s="712"/>
      <c r="H31" s="682"/>
      <c r="I31" s="682"/>
      <c r="J31" s="682"/>
      <c r="K31" s="350" t="s">
        <v>279</v>
      </c>
      <c r="L31" s="350"/>
      <c r="M31" s="698">
        <v>236.2</v>
      </c>
      <c r="N31" s="698"/>
      <c r="O31" s="347">
        <v>245.7</v>
      </c>
      <c r="P31" s="347" t="s">
        <v>266</v>
      </c>
    </row>
    <row r="32" spans="1:16" ht="3.6" customHeight="1" x14ac:dyDescent="0.25">
      <c r="A32" s="702"/>
      <c r="B32" s="703"/>
      <c r="C32" s="703"/>
      <c r="D32" s="703"/>
      <c r="E32" s="703"/>
      <c r="F32" s="703"/>
      <c r="G32" s="703"/>
      <c r="H32" s="703"/>
      <c r="I32" s="703"/>
      <c r="J32" s="703"/>
      <c r="K32" s="703"/>
      <c r="L32" s="703"/>
      <c r="M32" s="703"/>
      <c r="N32" s="703"/>
      <c r="O32" s="703"/>
      <c r="P32" s="704"/>
    </row>
    <row r="33" spans="1:20" x14ac:dyDescent="0.25">
      <c r="A33" s="713" t="s">
        <v>211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5"/>
    </row>
    <row r="34" spans="1:20" x14ac:dyDescent="0.25">
      <c r="A34" s="697"/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9"/>
    </row>
    <row r="35" spans="1:20" ht="16.5" x14ac:dyDescent="0.3">
      <c r="A35" s="711" t="s">
        <v>280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30"/>
    </row>
    <row r="36" spans="1:20" ht="16.5" x14ac:dyDescent="0.3">
      <c r="A36" s="711" t="s">
        <v>281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30"/>
    </row>
    <row r="37" spans="1:20" x14ac:dyDescent="0.25">
      <c r="A37" s="697"/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9"/>
      <c r="S37" s="326">
        <f>(M29-M31)/(M31-M27)*100</f>
        <v>9.9803343166175083</v>
      </c>
      <c r="T37" s="326">
        <f>(O29-O31)/(O31-O27)*100</f>
        <v>10.119331742243432</v>
      </c>
    </row>
    <row r="38" spans="1:20" x14ac:dyDescent="0.25">
      <c r="A38" s="697"/>
      <c r="B38" s="698"/>
      <c r="C38" s="69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9"/>
    </row>
    <row r="39" spans="1:20" x14ac:dyDescent="0.25">
      <c r="A39" s="697"/>
      <c r="B39" s="698"/>
      <c r="C39" s="69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9"/>
    </row>
    <row r="40" spans="1:20" ht="30.6" customHeight="1" x14ac:dyDescent="0.25">
      <c r="A40" s="697"/>
      <c r="B40" s="698"/>
      <c r="C40" s="69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9"/>
    </row>
    <row r="41" spans="1:20" x14ac:dyDescent="0.25">
      <c r="A41" s="731" t="s">
        <v>282</v>
      </c>
      <c r="B41" s="732"/>
      <c r="C41" s="732"/>
      <c r="D41" s="732"/>
      <c r="E41" s="732"/>
      <c r="F41" s="710">
        <f>AVERAGE(S37:T37)</f>
        <v>10.04983302943047</v>
      </c>
      <c r="G41" s="710"/>
      <c r="H41" s="710"/>
      <c r="I41" s="695" t="s">
        <v>212</v>
      </c>
      <c r="J41" s="695"/>
      <c r="K41" s="698"/>
      <c r="L41" s="698"/>
      <c r="M41" s="698"/>
      <c r="N41" s="698"/>
      <c r="O41" s="698"/>
      <c r="P41" s="699"/>
    </row>
    <row r="42" spans="1:20" ht="11.45" customHeight="1" x14ac:dyDescent="0.25">
      <c r="A42" s="697"/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698"/>
      <c r="P42" s="699"/>
    </row>
    <row r="43" spans="1:20" ht="15.75" thickBot="1" x14ac:dyDescent="0.3">
      <c r="A43" s="724"/>
      <c r="B43" s="725"/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  <c r="N43" s="725"/>
      <c r="O43" s="725"/>
      <c r="P43" s="726"/>
    </row>
    <row r="44" spans="1:20" ht="8.4499999999999993" customHeight="1" x14ac:dyDescent="0.25">
      <c r="A44" s="698"/>
      <c r="B44" s="698"/>
      <c r="C44" s="698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</row>
    <row r="45" spans="1:20" ht="2.4500000000000002" customHeight="1" thickBot="1" x14ac:dyDescent="0.3">
      <c r="A45" s="698"/>
      <c r="B45" s="698"/>
      <c r="C45" s="698"/>
      <c r="D45" s="698"/>
      <c r="E45" s="698"/>
      <c r="F45" s="698"/>
      <c r="G45" s="698"/>
      <c r="H45" s="698"/>
      <c r="I45" s="698"/>
      <c r="J45" s="698"/>
      <c r="K45" s="698"/>
      <c r="L45" s="698"/>
      <c r="M45" s="698"/>
      <c r="N45" s="698"/>
      <c r="O45" s="698"/>
      <c r="P45" s="698"/>
    </row>
    <row r="46" spans="1:20" x14ac:dyDescent="0.25">
      <c r="A46" s="727" t="s">
        <v>213</v>
      </c>
      <c r="B46" s="728"/>
      <c r="C46" s="728"/>
      <c r="D46" s="728"/>
      <c r="E46" s="728"/>
      <c r="F46" s="728"/>
      <c r="G46" s="728"/>
      <c r="H46" s="729"/>
      <c r="I46" s="727" t="s">
        <v>132</v>
      </c>
      <c r="J46" s="728"/>
      <c r="K46" s="728"/>
      <c r="L46" s="728"/>
      <c r="M46" s="728"/>
      <c r="N46" s="728"/>
      <c r="O46" s="728"/>
      <c r="P46" s="729"/>
    </row>
    <row r="47" spans="1:20" x14ac:dyDescent="0.25">
      <c r="A47" s="716"/>
      <c r="B47" s="717"/>
      <c r="C47" s="717"/>
      <c r="D47" s="717"/>
      <c r="E47" s="717"/>
      <c r="F47" s="717"/>
      <c r="G47" s="717"/>
      <c r="H47" s="718"/>
      <c r="I47" s="716"/>
      <c r="J47" s="717"/>
      <c r="K47" s="717"/>
      <c r="L47" s="717"/>
      <c r="M47" s="717"/>
      <c r="N47" s="717"/>
      <c r="O47" s="717"/>
      <c r="P47" s="718"/>
    </row>
    <row r="48" spans="1:20" x14ac:dyDescent="0.25">
      <c r="A48" s="716"/>
      <c r="B48" s="717"/>
      <c r="C48" s="717"/>
      <c r="D48" s="717"/>
      <c r="E48" s="717"/>
      <c r="F48" s="717"/>
      <c r="G48" s="717"/>
      <c r="H48" s="718"/>
      <c r="I48" s="716"/>
      <c r="J48" s="717"/>
      <c r="K48" s="717"/>
      <c r="L48" s="717"/>
      <c r="M48" s="717"/>
      <c r="N48" s="717"/>
      <c r="O48" s="717"/>
      <c r="P48" s="718"/>
    </row>
    <row r="49" spans="1:16" x14ac:dyDescent="0.25">
      <c r="A49" s="716"/>
      <c r="B49" s="717"/>
      <c r="C49" s="717"/>
      <c r="D49" s="717"/>
      <c r="E49" s="717"/>
      <c r="F49" s="717"/>
      <c r="G49" s="717"/>
      <c r="H49" s="718"/>
      <c r="I49" s="716"/>
      <c r="J49" s="717"/>
      <c r="K49" s="717"/>
      <c r="L49" s="717"/>
      <c r="M49" s="717"/>
      <c r="N49" s="717"/>
      <c r="O49" s="717"/>
      <c r="P49" s="718"/>
    </row>
    <row r="50" spans="1:16" ht="15.75" thickBot="1" x14ac:dyDescent="0.3">
      <c r="A50" s="719" t="s">
        <v>269</v>
      </c>
      <c r="B50" s="720"/>
      <c r="C50" s="720"/>
      <c r="D50" s="720"/>
      <c r="E50" s="720"/>
      <c r="F50" s="720"/>
      <c r="G50" s="720"/>
      <c r="H50" s="721"/>
      <c r="I50" s="719"/>
      <c r="J50" s="720"/>
      <c r="K50" s="720"/>
      <c r="L50" s="720"/>
      <c r="M50" s="720"/>
      <c r="N50" s="720"/>
      <c r="O50" s="720"/>
      <c r="P50" s="721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33" workbookViewId="0">
      <selection activeCell="Q13" sqref="Q13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662" t="s">
        <v>214</v>
      </c>
      <c r="C1" s="663"/>
      <c r="D1" s="663"/>
      <c r="E1" s="663"/>
      <c r="F1" s="663"/>
      <c r="G1" s="663"/>
      <c r="H1" s="663"/>
      <c r="I1" s="663"/>
      <c r="J1" s="663"/>
      <c r="K1" s="663"/>
      <c r="L1" s="665" t="s">
        <v>215</v>
      </c>
      <c r="M1" s="666"/>
      <c r="N1" s="667" t="s">
        <v>216</v>
      </c>
      <c r="O1" s="668"/>
    </row>
    <row r="2" spans="1:15" ht="15" customHeight="1" x14ac:dyDescent="0.25">
      <c r="A2" s="669" t="s">
        <v>188</v>
      </c>
      <c r="B2" s="671" t="s">
        <v>263</v>
      </c>
      <c r="C2" s="672"/>
      <c r="D2" s="672"/>
      <c r="E2" s="672"/>
      <c r="F2" s="672"/>
      <c r="G2" s="672"/>
      <c r="H2" s="672"/>
      <c r="I2" s="672"/>
      <c r="J2" s="672"/>
      <c r="K2" s="672"/>
      <c r="L2" s="630" t="s">
        <v>217</v>
      </c>
      <c r="M2" s="733"/>
      <c r="N2" s="734" t="s">
        <v>218</v>
      </c>
      <c r="O2" s="734"/>
    </row>
    <row r="3" spans="1:15" ht="25.15" customHeight="1" x14ac:dyDescent="0.25">
      <c r="A3" s="669"/>
      <c r="B3" s="671"/>
      <c r="C3" s="672"/>
      <c r="D3" s="672"/>
      <c r="E3" s="672"/>
      <c r="F3" s="672"/>
      <c r="G3" s="672"/>
      <c r="H3" s="672"/>
      <c r="I3" s="672"/>
      <c r="J3" s="672"/>
      <c r="K3" s="672"/>
      <c r="L3" s="630" t="s">
        <v>219</v>
      </c>
      <c r="M3" s="733"/>
      <c r="N3" s="734" t="s">
        <v>220</v>
      </c>
      <c r="O3" s="734"/>
    </row>
    <row r="4" spans="1:15" ht="16.899999999999999" customHeight="1" thickBot="1" x14ac:dyDescent="0.3">
      <c r="A4" s="670"/>
      <c r="B4" s="674" t="s">
        <v>221</v>
      </c>
      <c r="C4" s="675"/>
      <c r="D4" s="675"/>
      <c r="E4" s="675"/>
      <c r="F4" s="675"/>
      <c r="G4" s="675"/>
      <c r="H4" s="675"/>
      <c r="I4" s="675"/>
      <c r="J4" s="675"/>
      <c r="K4" s="675"/>
      <c r="L4" s="736" t="s">
        <v>222</v>
      </c>
      <c r="M4" s="737"/>
      <c r="N4" s="738" t="s">
        <v>223</v>
      </c>
      <c r="O4" s="739"/>
    </row>
    <row r="5" spans="1:15" ht="4.9000000000000004" customHeight="1" x14ac:dyDescent="0.25">
      <c r="A5" s="740"/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</row>
    <row r="6" spans="1:15" ht="15.75" x14ac:dyDescent="0.25">
      <c r="A6" s="336" t="s">
        <v>192</v>
      </c>
      <c r="B6" s="678">
        <v>43813</v>
      </c>
      <c r="C6" s="678"/>
      <c r="D6" s="678"/>
      <c r="E6" s="678"/>
      <c r="F6" s="679" t="s">
        <v>193</v>
      </c>
      <c r="G6" s="679"/>
      <c r="H6" s="679"/>
      <c r="I6" s="679"/>
      <c r="J6" s="679"/>
      <c r="K6" s="741" t="s">
        <v>336</v>
      </c>
      <c r="L6" s="741"/>
      <c r="M6" s="741"/>
      <c r="N6" s="741"/>
      <c r="O6" s="742"/>
    </row>
    <row r="7" spans="1:15" ht="8.4499999999999993" customHeight="1" x14ac:dyDescent="0.25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</row>
    <row r="8" spans="1:15" ht="4.9000000000000004" hidden="1" customHeight="1" x14ac:dyDescent="0.25">
      <c r="A8" s="683"/>
      <c r="B8" s="683"/>
      <c r="C8" s="683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683"/>
      <c r="O8" s="683"/>
    </row>
    <row r="9" spans="1:15" x14ac:dyDescent="0.25">
      <c r="A9" s="684" t="s">
        <v>194</v>
      </c>
      <c r="B9" s="685"/>
      <c r="C9" s="685"/>
      <c r="D9" s="685"/>
      <c r="E9" s="685"/>
      <c r="F9" s="685"/>
      <c r="G9" s="685"/>
      <c r="H9" s="685"/>
      <c r="I9" s="735"/>
      <c r="J9" s="735"/>
      <c r="K9" s="735"/>
      <c r="L9" s="683"/>
      <c r="M9" s="683"/>
      <c r="N9" s="683"/>
      <c r="O9" s="683"/>
    </row>
    <row r="10" spans="1:15" ht="2.4500000000000002" customHeight="1" x14ac:dyDescent="0.25">
      <c r="A10" s="698"/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698"/>
      <c r="O10" s="698"/>
    </row>
    <row r="11" spans="1:15" ht="2.4500000000000002" customHeight="1" x14ac:dyDescent="0.25">
      <c r="A11" s="698"/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698"/>
      <c r="O11" s="340"/>
    </row>
    <row r="12" spans="1:15" ht="17.25" x14ac:dyDescent="0.3">
      <c r="A12" s="437" t="s">
        <v>285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743" t="s">
        <v>286</v>
      </c>
      <c r="O12" s="743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44" t="s">
        <v>287</v>
      </c>
      <c r="O13" s="744"/>
    </row>
    <row r="14" spans="1:15" ht="13.15" customHeight="1" x14ac:dyDescent="0.25">
      <c r="A14" s="745"/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682"/>
      <c r="O14" s="746"/>
    </row>
    <row r="15" spans="1:15" ht="14.45" customHeight="1" x14ac:dyDescent="0.25">
      <c r="A15" s="747" t="s">
        <v>224</v>
      </c>
      <c r="B15" s="749" t="s">
        <v>225</v>
      </c>
      <c r="C15" s="749"/>
      <c r="D15" s="749"/>
      <c r="E15" s="751" t="s">
        <v>175</v>
      </c>
      <c r="F15" s="752"/>
      <c r="G15" s="752"/>
      <c r="H15" s="753" t="s">
        <v>226</v>
      </c>
      <c r="I15" s="753"/>
      <c r="J15" s="753"/>
      <c r="K15" s="753"/>
      <c r="L15" s="754" t="s">
        <v>227</v>
      </c>
      <c r="M15" s="755"/>
      <c r="N15" s="760" t="s">
        <v>228</v>
      </c>
      <c r="O15" s="760"/>
    </row>
    <row r="16" spans="1:15" ht="11.45" customHeight="1" x14ac:dyDescent="0.25">
      <c r="A16" s="748"/>
      <c r="B16" s="750"/>
      <c r="C16" s="750"/>
      <c r="D16" s="750"/>
      <c r="E16" s="751"/>
      <c r="F16" s="752"/>
      <c r="G16" s="752"/>
      <c r="H16" s="753"/>
      <c r="I16" s="753"/>
      <c r="J16" s="753"/>
      <c r="K16" s="753"/>
      <c r="L16" s="756"/>
      <c r="M16" s="757"/>
      <c r="N16" s="760"/>
      <c r="O16" s="760"/>
    </row>
    <row r="17" spans="1:19" x14ac:dyDescent="0.25">
      <c r="A17" s="761" t="s">
        <v>288</v>
      </c>
      <c r="B17" s="770" t="s">
        <v>229</v>
      </c>
      <c r="C17" s="689">
        <v>300</v>
      </c>
      <c r="D17" s="771" t="s">
        <v>230</v>
      </c>
      <c r="E17" s="751" t="s">
        <v>58</v>
      </c>
      <c r="F17" s="752" t="s">
        <v>231</v>
      </c>
      <c r="G17" s="752"/>
      <c r="H17" s="752" t="s">
        <v>232</v>
      </c>
      <c r="I17" s="752"/>
      <c r="J17" s="752" t="s">
        <v>233</v>
      </c>
      <c r="K17" s="752"/>
      <c r="L17" s="756"/>
      <c r="M17" s="757"/>
      <c r="N17" s="762" t="s">
        <v>234</v>
      </c>
      <c r="O17" s="762" t="s">
        <v>235</v>
      </c>
    </row>
    <row r="18" spans="1:19" ht="7.9" customHeight="1" x14ac:dyDescent="0.25">
      <c r="A18" s="761"/>
      <c r="B18" s="770"/>
      <c r="C18" s="689"/>
      <c r="D18" s="771"/>
      <c r="E18" s="751"/>
      <c r="F18" s="752"/>
      <c r="G18" s="752"/>
      <c r="H18" s="752"/>
      <c r="I18" s="752"/>
      <c r="J18" s="752"/>
      <c r="K18" s="752"/>
      <c r="L18" s="758"/>
      <c r="M18" s="759"/>
      <c r="N18" s="762"/>
      <c r="O18" s="762"/>
    </row>
    <row r="19" spans="1:19" ht="14.45" customHeight="1" x14ac:dyDescent="0.25">
      <c r="A19" s="763" t="s">
        <v>289</v>
      </c>
      <c r="B19" s="764"/>
      <c r="C19" s="764"/>
      <c r="D19" s="767" t="s">
        <v>236</v>
      </c>
      <c r="E19" s="440">
        <v>100</v>
      </c>
      <c r="F19" s="744"/>
      <c r="G19" s="744"/>
      <c r="H19" s="581"/>
      <c r="I19" s="581"/>
      <c r="J19" s="769"/>
      <c r="K19" s="769"/>
      <c r="L19" s="581"/>
      <c r="M19" s="581"/>
      <c r="N19" s="342"/>
      <c r="O19" s="342"/>
      <c r="Q19" s="322"/>
      <c r="R19" s="322"/>
      <c r="S19" s="322"/>
    </row>
    <row r="20" spans="1:19" x14ac:dyDescent="0.25">
      <c r="A20" s="765"/>
      <c r="B20" s="766"/>
      <c r="C20" s="766"/>
      <c r="D20" s="768"/>
      <c r="E20" s="440">
        <v>80</v>
      </c>
      <c r="F20" s="744"/>
      <c r="G20" s="744"/>
      <c r="H20" s="581"/>
      <c r="I20" s="581"/>
      <c r="J20" s="769"/>
      <c r="K20" s="769"/>
      <c r="L20" s="581"/>
      <c r="M20" s="581"/>
      <c r="N20" s="342"/>
      <c r="O20" s="342"/>
      <c r="Q20" s="322"/>
      <c r="R20" s="322"/>
      <c r="S20" s="322"/>
    </row>
    <row r="21" spans="1:19" ht="14.45" customHeight="1" x14ac:dyDescent="0.3">
      <c r="A21" s="770" t="s">
        <v>290</v>
      </c>
      <c r="B21" s="772"/>
      <c r="C21" s="772"/>
      <c r="D21" s="773"/>
      <c r="E21" s="440">
        <v>63</v>
      </c>
      <c r="F21" s="744"/>
      <c r="G21" s="744"/>
      <c r="H21" s="581"/>
      <c r="I21" s="581"/>
      <c r="J21" s="769"/>
      <c r="K21" s="769"/>
      <c r="L21" s="581"/>
      <c r="M21" s="581"/>
      <c r="N21" s="342"/>
      <c r="O21" s="342"/>
    </row>
    <row r="22" spans="1:19" ht="15" customHeight="1" x14ac:dyDescent="0.25">
      <c r="A22" s="441" t="s">
        <v>237</v>
      </c>
      <c r="B22" s="774"/>
      <c r="C22" s="774"/>
      <c r="D22" s="442" t="s">
        <v>238</v>
      </c>
      <c r="E22" s="440">
        <v>50</v>
      </c>
      <c r="F22" s="744"/>
      <c r="G22" s="744"/>
      <c r="H22" s="581"/>
      <c r="I22" s="581"/>
      <c r="J22" s="769"/>
      <c r="K22" s="769"/>
      <c r="L22" s="581"/>
      <c r="M22" s="581"/>
      <c r="N22" s="342"/>
      <c r="O22" s="342"/>
    </row>
    <row r="23" spans="1:19" ht="14.45" customHeight="1" x14ac:dyDescent="0.3">
      <c r="A23" s="775" t="s">
        <v>291</v>
      </c>
      <c r="B23" s="772"/>
      <c r="C23" s="772"/>
      <c r="D23" s="776"/>
      <c r="E23" s="439">
        <v>40</v>
      </c>
      <c r="F23" s="744"/>
      <c r="G23" s="744"/>
      <c r="H23" s="581"/>
      <c r="I23" s="581"/>
      <c r="J23" s="769"/>
      <c r="K23" s="769"/>
      <c r="L23" s="586">
        <f>J23</f>
        <v>0</v>
      </c>
      <c r="M23" s="587"/>
      <c r="N23" s="341">
        <f>L23/C17*100</f>
        <v>0</v>
      </c>
      <c r="O23" s="341">
        <f>100-N23</f>
        <v>100</v>
      </c>
    </row>
    <row r="24" spans="1:19" ht="15" customHeight="1" x14ac:dyDescent="0.25">
      <c r="A24" s="443" t="s">
        <v>239</v>
      </c>
      <c r="B24" s="777"/>
      <c r="C24" s="777"/>
      <c r="D24" s="444" t="s">
        <v>238</v>
      </c>
      <c r="E24" s="439">
        <v>31.5</v>
      </c>
      <c r="F24" s="744"/>
      <c r="G24" s="744"/>
      <c r="H24" s="581"/>
      <c r="I24" s="581"/>
      <c r="J24" s="769">
        <v>0</v>
      </c>
      <c r="K24" s="769"/>
      <c r="L24" s="581">
        <f>L23+J24</f>
        <v>0</v>
      </c>
      <c r="M24" s="581"/>
      <c r="N24" s="341">
        <f>L24/C17*100</f>
        <v>0</v>
      </c>
      <c r="O24" s="445">
        <f>100-N24</f>
        <v>100</v>
      </c>
    </row>
    <row r="25" spans="1:19" x14ac:dyDescent="0.25">
      <c r="A25" s="750" t="s">
        <v>292</v>
      </c>
      <c r="B25" s="780" t="s">
        <v>240</v>
      </c>
      <c r="C25" s="714"/>
      <c r="D25" s="781"/>
      <c r="E25" s="439">
        <v>25</v>
      </c>
      <c r="F25" s="744"/>
      <c r="G25" s="744"/>
      <c r="H25" s="581"/>
      <c r="I25" s="581"/>
      <c r="J25" s="769"/>
      <c r="K25" s="769"/>
      <c r="L25" s="581"/>
      <c r="M25" s="581"/>
      <c r="N25" s="341"/>
      <c r="O25" s="445"/>
    </row>
    <row r="26" spans="1:19" ht="17.25" x14ac:dyDescent="0.3">
      <c r="A26" s="778"/>
      <c r="B26" s="446" t="s">
        <v>293</v>
      </c>
      <c r="C26" s="447"/>
      <c r="D26" s="448" t="s">
        <v>241</v>
      </c>
      <c r="E26" s="439">
        <v>20</v>
      </c>
      <c r="F26" s="744"/>
      <c r="G26" s="744"/>
      <c r="H26" s="581"/>
      <c r="I26" s="581"/>
      <c r="J26" s="769">
        <v>14.5</v>
      </c>
      <c r="K26" s="769"/>
      <c r="L26" s="769">
        <f>L24+J26</f>
        <v>14.5</v>
      </c>
      <c r="M26" s="581"/>
      <c r="N26" s="454">
        <f>L26/C17*100</f>
        <v>4.833333333333333</v>
      </c>
      <c r="O26" s="445">
        <f>100-N26</f>
        <v>95.166666666666671</v>
      </c>
    </row>
    <row r="27" spans="1:19" x14ac:dyDescent="0.25">
      <c r="A27" s="778"/>
      <c r="B27" s="780" t="s">
        <v>242</v>
      </c>
      <c r="C27" s="714"/>
      <c r="D27" s="781"/>
      <c r="E27" s="439">
        <v>16</v>
      </c>
      <c r="F27" s="744"/>
      <c r="G27" s="744"/>
      <c r="H27" s="581"/>
      <c r="I27" s="581"/>
      <c r="J27" s="769"/>
      <c r="K27" s="769"/>
      <c r="L27" s="581"/>
      <c r="M27" s="581"/>
      <c r="N27" s="454"/>
      <c r="O27" s="445"/>
    </row>
    <row r="28" spans="1:19" x14ac:dyDescent="0.25">
      <c r="A28" s="779"/>
      <c r="B28" s="449" t="s">
        <v>243</v>
      </c>
      <c r="C28" s="449"/>
      <c r="D28" s="450" t="s">
        <v>244</v>
      </c>
      <c r="E28" s="439">
        <v>12.5</v>
      </c>
      <c r="F28" s="744"/>
      <c r="G28" s="744"/>
      <c r="H28" s="581"/>
      <c r="I28" s="581"/>
      <c r="J28" s="769"/>
      <c r="K28" s="769"/>
      <c r="L28" s="581"/>
      <c r="M28" s="581"/>
      <c r="N28" s="454"/>
      <c r="O28" s="445"/>
    </row>
    <row r="29" spans="1:19" x14ac:dyDescent="0.25">
      <c r="A29" s="750" t="s">
        <v>294</v>
      </c>
      <c r="B29" s="780" t="s">
        <v>240</v>
      </c>
      <c r="C29" s="714"/>
      <c r="D29" s="781"/>
      <c r="E29" s="439">
        <v>10</v>
      </c>
      <c r="F29" s="744"/>
      <c r="G29" s="744"/>
      <c r="H29" s="581"/>
      <c r="I29" s="581"/>
      <c r="J29" s="769">
        <v>20.2</v>
      </c>
      <c r="K29" s="769"/>
      <c r="L29" s="581">
        <f>J29+L26</f>
        <v>34.700000000000003</v>
      </c>
      <c r="M29" s="581"/>
      <c r="N29" s="454">
        <f>L29/C17*100</f>
        <v>11.566666666666668</v>
      </c>
      <c r="O29" s="445">
        <f>100-N29</f>
        <v>88.433333333333337</v>
      </c>
    </row>
    <row r="30" spans="1:19" x14ac:dyDescent="0.25">
      <c r="A30" s="778"/>
      <c r="B30" s="451" t="s">
        <v>245</v>
      </c>
      <c r="C30" s="449"/>
      <c r="D30" s="450" t="s">
        <v>241</v>
      </c>
      <c r="E30" s="439">
        <v>8</v>
      </c>
      <c r="F30" s="744"/>
      <c r="G30" s="744"/>
      <c r="H30" s="581"/>
      <c r="I30" s="581"/>
      <c r="J30" s="769"/>
      <c r="K30" s="769"/>
      <c r="L30" s="581"/>
      <c r="M30" s="581"/>
      <c r="N30" s="454"/>
      <c r="O30" s="445"/>
    </row>
    <row r="31" spans="1:19" x14ac:dyDescent="0.25">
      <c r="A31" s="778"/>
      <c r="B31" s="782" t="s">
        <v>242</v>
      </c>
      <c r="C31" s="689"/>
      <c r="D31" s="783"/>
      <c r="E31" s="439">
        <v>6.3</v>
      </c>
      <c r="F31" s="744"/>
      <c r="G31" s="744"/>
      <c r="H31" s="581"/>
      <c r="I31" s="581"/>
      <c r="J31" s="769"/>
      <c r="K31" s="769"/>
      <c r="L31" s="581"/>
      <c r="M31" s="581"/>
      <c r="N31" s="454"/>
      <c r="O31" s="445"/>
    </row>
    <row r="32" spans="1:19" x14ac:dyDescent="0.25">
      <c r="A32" s="779"/>
      <c r="B32" s="451" t="s">
        <v>246</v>
      </c>
      <c r="C32" s="449"/>
      <c r="D32" s="450" t="s">
        <v>241</v>
      </c>
      <c r="E32" s="439">
        <v>5</v>
      </c>
      <c r="F32" s="744"/>
      <c r="G32" s="744"/>
      <c r="H32" s="581"/>
      <c r="I32" s="581"/>
      <c r="J32" s="769">
        <v>9.8000000000000007</v>
      </c>
      <c r="K32" s="769"/>
      <c r="L32" s="581">
        <f>J32+L29</f>
        <v>44.5</v>
      </c>
      <c r="M32" s="581"/>
      <c r="N32" s="454">
        <f>L32/C17*100</f>
        <v>14.833333333333334</v>
      </c>
      <c r="O32" s="445">
        <f>100-N32</f>
        <v>85.166666666666671</v>
      </c>
    </row>
    <row r="33" spans="1:15" x14ac:dyDescent="0.25">
      <c r="A33" s="784" t="s">
        <v>247</v>
      </c>
      <c r="B33" s="785"/>
      <c r="C33" s="785"/>
      <c r="D33" s="786"/>
      <c r="E33" s="439">
        <v>4</v>
      </c>
      <c r="F33" s="744"/>
      <c r="G33" s="744"/>
      <c r="H33" s="581"/>
      <c r="I33" s="581"/>
      <c r="J33" s="769"/>
      <c r="K33" s="769"/>
      <c r="L33" s="581"/>
      <c r="M33" s="581"/>
      <c r="N33" s="341"/>
      <c r="O33" s="341"/>
    </row>
    <row r="34" spans="1:15" ht="13.15" customHeight="1" x14ac:dyDescent="0.3">
      <c r="A34" s="787" t="s">
        <v>295</v>
      </c>
      <c r="B34" s="788"/>
      <c r="C34" s="449"/>
      <c r="D34" s="450" t="s">
        <v>241</v>
      </c>
      <c r="E34" s="439">
        <v>3.15</v>
      </c>
      <c r="F34" s="744"/>
      <c r="G34" s="744"/>
      <c r="H34" s="581"/>
      <c r="I34" s="581"/>
      <c r="J34" s="769"/>
      <c r="K34" s="769"/>
      <c r="L34" s="581"/>
      <c r="M34" s="581"/>
      <c r="N34" s="341"/>
      <c r="O34" s="341"/>
    </row>
    <row r="35" spans="1:15" x14ac:dyDescent="0.25">
      <c r="A35" s="789" t="s">
        <v>248</v>
      </c>
      <c r="B35" s="790"/>
      <c r="C35" s="790"/>
      <c r="D35" s="791"/>
      <c r="E35" s="439">
        <v>2.5</v>
      </c>
      <c r="F35" s="744"/>
      <c r="G35" s="744"/>
      <c r="H35" s="581"/>
      <c r="I35" s="581"/>
      <c r="J35" s="769"/>
      <c r="K35" s="769"/>
      <c r="L35" s="581"/>
      <c r="M35" s="581"/>
      <c r="N35" s="341"/>
      <c r="O35" s="341"/>
    </row>
    <row r="36" spans="1:15" x14ac:dyDescent="0.25">
      <c r="A36" s="792"/>
      <c r="B36" s="793"/>
      <c r="C36" s="793"/>
      <c r="D36" s="794"/>
      <c r="E36" s="439">
        <v>2</v>
      </c>
      <c r="F36" s="744"/>
      <c r="G36" s="744"/>
      <c r="H36" s="581"/>
      <c r="I36" s="581"/>
      <c r="J36" s="769">
        <v>8.9</v>
      </c>
      <c r="K36" s="769"/>
      <c r="L36" s="581">
        <f>J36+L32</f>
        <v>53.4</v>
      </c>
      <c r="M36" s="581"/>
      <c r="N36" s="341">
        <f>L36/C17*100</f>
        <v>17.8</v>
      </c>
      <c r="O36" s="445">
        <f>100-N36</f>
        <v>82.2</v>
      </c>
    </row>
    <row r="37" spans="1:15" x14ac:dyDescent="0.25">
      <c r="A37" s="795" t="s">
        <v>249</v>
      </c>
      <c r="B37" s="796"/>
      <c r="C37" s="452"/>
      <c r="D37" s="453" t="s">
        <v>250</v>
      </c>
      <c r="E37" s="439">
        <v>1.6</v>
      </c>
      <c r="F37" s="744"/>
      <c r="G37" s="744"/>
      <c r="H37" s="581"/>
      <c r="I37" s="581"/>
      <c r="J37" s="769"/>
      <c r="K37" s="769"/>
      <c r="L37" s="581"/>
      <c r="M37" s="581"/>
      <c r="N37" s="341"/>
      <c r="O37" s="341"/>
    </row>
    <row r="38" spans="1:15" ht="13.15" customHeight="1" x14ac:dyDescent="0.3">
      <c r="A38" s="797" t="s">
        <v>296</v>
      </c>
      <c r="B38" s="798"/>
      <c r="C38" s="798"/>
      <c r="D38" s="799"/>
      <c r="E38" s="439">
        <v>1.25</v>
      </c>
      <c r="F38" s="744"/>
      <c r="G38" s="744"/>
      <c r="H38" s="581"/>
      <c r="I38" s="581"/>
      <c r="J38" s="769"/>
      <c r="K38" s="769"/>
      <c r="L38" s="581"/>
      <c r="M38" s="581"/>
      <c r="N38" s="341"/>
      <c r="O38" s="445"/>
    </row>
    <row r="39" spans="1:15" ht="13.15" customHeight="1" x14ac:dyDescent="0.25">
      <c r="A39" s="800" t="s">
        <v>297</v>
      </c>
      <c r="B39" s="801"/>
      <c r="C39" s="804"/>
      <c r="D39" s="805" t="s">
        <v>241</v>
      </c>
      <c r="E39" s="439">
        <v>1</v>
      </c>
      <c r="F39" s="744"/>
      <c r="G39" s="744"/>
      <c r="H39" s="581"/>
      <c r="I39" s="581"/>
      <c r="J39" s="769">
        <v>8.5</v>
      </c>
      <c r="K39" s="769"/>
      <c r="L39" s="581">
        <f>J39+L36</f>
        <v>61.9</v>
      </c>
      <c r="M39" s="581"/>
      <c r="N39" s="454">
        <f>L39/C17*100</f>
        <v>20.633333333333333</v>
      </c>
      <c r="O39" s="445">
        <f>100-N39</f>
        <v>79.366666666666674</v>
      </c>
    </row>
    <row r="40" spans="1:15" ht="15" customHeight="1" x14ac:dyDescent="0.25">
      <c r="A40" s="802"/>
      <c r="B40" s="803"/>
      <c r="C40" s="717"/>
      <c r="D40" s="806"/>
      <c r="E40" s="455">
        <v>0.8</v>
      </c>
      <c r="F40" s="744">
        <v>800</v>
      </c>
      <c r="G40" s="744"/>
      <c r="H40" s="581"/>
      <c r="I40" s="581"/>
      <c r="J40" s="769"/>
      <c r="K40" s="769"/>
      <c r="L40" s="581"/>
      <c r="M40" s="581"/>
      <c r="N40" s="341"/>
      <c r="O40" s="445"/>
    </row>
    <row r="41" spans="1:15" ht="15.6" customHeight="1" x14ac:dyDescent="0.25">
      <c r="A41" s="789" t="s">
        <v>298</v>
      </c>
      <c r="B41" s="790"/>
      <c r="C41" s="790"/>
      <c r="D41" s="791"/>
      <c r="E41" s="456">
        <v>0.63</v>
      </c>
      <c r="F41" s="744">
        <v>630</v>
      </c>
      <c r="G41" s="744"/>
      <c r="H41" s="581"/>
      <c r="I41" s="581"/>
      <c r="J41" s="769"/>
      <c r="K41" s="769"/>
      <c r="L41" s="581"/>
      <c r="M41" s="581"/>
      <c r="N41" s="341"/>
      <c r="O41" s="445"/>
    </row>
    <row r="42" spans="1:15" x14ac:dyDescent="0.25">
      <c r="A42" s="792"/>
      <c r="B42" s="793"/>
      <c r="C42" s="793"/>
      <c r="D42" s="794"/>
      <c r="E42" s="456">
        <v>0.5</v>
      </c>
      <c r="F42" s="744">
        <v>500</v>
      </c>
      <c r="G42" s="744"/>
      <c r="H42" s="581"/>
      <c r="I42" s="581"/>
      <c r="J42" s="769"/>
      <c r="K42" s="769"/>
      <c r="L42" s="581"/>
      <c r="M42" s="581"/>
      <c r="N42" s="341"/>
      <c r="O42" s="445"/>
    </row>
    <row r="43" spans="1:15" ht="14.45" customHeight="1" x14ac:dyDescent="0.25">
      <c r="A43" s="809" t="s">
        <v>299</v>
      </c>
      <c r="B43" s="810"/>
      <c r="C43" s="813"/>
      <c r="D43" s="814" t="s">
        <v>251</v>
      </c>
      <c r="E43" s="456">
        <v>0.4</v>
      </c>
      <c r="F43" s="744">
        <v>400</v>
      </c>
      <c r="G43" s="744"/>
      <c r="H43" s="581"/>
      <c r="I43" s="581"/>
      <c r="J43" s="769">
        <v>50.1</v>
      </c>
      <c r="K43" s="769"/>
      <c r="L43" s="581">
        <f>J43+L39</f>
        <v>112</v>
      </c>
      <c r="M43" s="581"/>
      <c r="N43" s="454">
        <f>L43/C17*100</f>
        <v>37.333333333333336</v>
      </c>
      <c r="O43" s="445">
        <f>100-N43</f>
        <v>62.666666666666664</v>
      </c>
    </row>
    <row r="44" spans="1:15" x14ac:dyDescent="0.25">
      <c r="A44" s="811"/>
      <c r="B44" s="812"/>
      <c r="C44" s="813"/>
      <c r="D44" s="814"/>
      <c r="E44" s="456">
        <v>0.315</v>
      </c>
      <c r="F44" s="744">
        <v>315</v>
      </c>
      <c r="G44" s="744"/>
      <c r="H44" s="581"/>
      <c r="I44" s="581"/>
      <c r="J44" s="769"/>
      <c r="K44" s="769"/>
      <c r="L44" s="581"/>
      <c r="M44" s="581"/>
      <c r="N44" s="341"/>
      <c r="O44" s="445"/>
    </row>
    <row r="45" spans="1:15" ht="15" customHeight="1" x14ac:dyDescent="0.25">
      <c r="A45" s="807" t="s">
        <v>252</v>
      </c>
      <c r="B45" s="808"/>
      <c r="C45" s="457" t="s">
        <v>253</v>
      </c>
      <c r="D45" s="458"/>
      <c r="E45" s="456">
        <v>0.25</v>
      </c>
      <c r="F45" s="744">
        <v>250</v>
      </c>
      <c r="G45" s="744"/>
      <c r="H45" s="581"/>
      <c r="I45" s="581"/>
      <c r="J45" s="769"/>
      <c r="K45" s="769"/>
      <c r="L45" s="581"/>
      <c r="M45" s="581"/>
      <c r="N45" s="341"/>
      <c r="O45" s="445"/>
    </row>
    <row r="46" spans="1:15" ht="13.15" customHeight="1" x14ac:dyDescent="0.25">
      <c r="A46" s="809"/>
      <c r="B46" s="810"/>
      <c r="C46" s="802" t="s">
        <v>300</v>
      </c>
      <c r="D46" s="815"/>
      <c r="E46" s="456">
        <v>0.2</v>
      </c>
      <c r="F46" s="744">
        <v>200</v>
      </c>
      <c r="G46" s="744"/>
      <c r="H46" s="581"/>
      <c r="I46" s="581"/>
      <c r="J46" s="769">
        <v>76</v>
      </c>
      <c r="K46" s="769"/>
      <c r="L46" s="581">
        <f>J46+L43</f>
        <v>188</v>
      </c>
      <c r="M46" s="581"/>
      <c r="N46" s="454">
        <f>L46/C17*100</f>
        <v>62.666666666666671</v>
      </c>
      <c r="O46" s="445">
        <f>100-N46</f>
        <v>37.333333333333329</v>
      </c>
    </row>
    <row r="47" spans="1:15" x14ac:dyDescent="0.25">
      <c r="A47" s="809"/>
      <c r="B47" s="810"/>
      <c r="C47" s="784" t="s">
        <v>254</v>
      </c>
      <c r="D47" s="786"/>
      <c r="E47" s="456">
        <v>0.16</v>
      </c>
      <c r="F47" s="744">
        <v>160</v>
      </c>
      <c r="G47" s="744"/>
      <c r="H47" s="581"/>
      <c r="I47" s="581"/>
      <c r="J47" s="769"/>
      <c r="K47" s="769"/>
      <c r="L47" s="581"/>
      <c r="M47" s="581"/>
      <c r="N47" s="341"/>
      <c r="O47" s="445"/>
    </row>
    <row r="48" spans="1:15" ht="13.9" customHeight="1" x14ac:dyDescent="0.3">
      <c r="A48" s="811"/>
      <c r="B48" s="812"/>
      <c r="C48" s="818" t="s">
        <v>301</v>
      </c>
      <c r="D48" s="819"/>
      <c r="E48" s="456">
        <v>0.125</v>
      </c>
      <c r="F48" s="744">
        <v>125</v>
      </c>
      <c r="G48" s="744"/>
      <c r="H48" s="581"/>
      <c r="I48" s="581"/>
      <c r="J48" s="769"/>
      <c r="K48" s="769"/>
      <c r="L48" s="581"/>
      <c r="M48" s="581"/>
      <c r="N48" s="341"/>
      <c r="O48" s="445"/>
    </row>
    <row r="49" spans="1:15" ht="12.6" customHeight="1" x14ac:dyDescent="0.25">
      <c r="A49" s="820" t="s">
        <v>255</v>
      </c>
      <c r="B49" s="821"/>
      <c r="C49" s="821"/>
      <c r="D49" s="822"/>
      <c r="E49" s="455">
        <v>0.1</v>
      </c>
      <c r="F49" s="744">
        <v>100</v>
      </c>
      <c r="G49" s="744"/>
      <c r="H49" s="581"/>
      <c r="I49" s="581"/>
      <c r="J49" s="769">
        <v>51.4</v>
      </c>
      <c r="K49" s="769"/>
      <c r="L49" s="769">
        <f>L46+J49</f>
        <v>239.4</v>
      </c>
      <c r="M49" s="581"/>
      <c r="N49" s="454">
        <f>L49/C17*100</f>
        <v>79.800000000000011</v>
      </c>
      <c r="O49" s="445">
        <f>100-N49</f>
        <v>20.199999999999989</v>
      </c>
    </row>
    <row r="50" spans="1:15" ht="12.6" customHeight="1" x14ac:dyDescent="0.25">
      <c r="A50" s="787" t="s">
        <v>256</v>
      </c>
      <c r="B50" s="788"/>
      <c r="C50" s="346"/>
      <c r="D50" s="448" t="s">
        <v>257</v>
      </c>
      <c r="E50" s="459">
        <v>0.08</v>
      </c>
      <c r="F50" s="744">
        <v>80</v>
      </c>
      <c r="G50" s="744"/>
      <c r="H50" s="581"/>
      <c r="I50" s="581"/>
      <c r="J50" s="769">
        <v>7.7</v>
      </c>
      <c r="K50" s="769"/>
      <c r="L50" s="816">
        <f>J50+L49</f>
        <v>247.1</v>
      </c>
      <c r="M50" s="587"/>
      <c r="N50" s="454">
        <f>L50/C17*100</f>
        <v>82.36666666666666</v>
      </c>
      <c r="O50" s="445">
        <f>100-N50</f>
        <v>17.63333333333334</v>
      </c>
    </row>
    <row r="51" spans="1:15" ht="34.9" customHeight="1" x14ac:dyDescent="0.25">
      <c r="A51" s="817" t="s">
        <v>258</v>
      </c>
      <c r="B51" s="817"/>
      <c r="C51" s="817"/>
      <c r="D51" s="817"/>
      <c r="E51" s="581"/>
      <c r="F51" s="581"/>
      <c r="G51" s="581"/>
      <c r="H51" s="581"/>
      <c r="I51" s="581"/>
      <c r="J51" s="581"/>
      <c r="K51" s="581"/>
      <c r="L51" s="581"/>
      <c r="M51" s="581"/>
      <c r="N51" s="581"/>
      <c r="O51" s="581"/>
    </row>
    <row r="52" spans="1:15" ht="9.6" customHeight="1" x14ac:dyDescent="0.25">
      <c r="A52" s="682"/>
      <c r="B52" s="682"/>
      <c r="C52" s="682"/>
      <c r="D52" s="682"/>
      <c r="E52" s="682"/>
      <c r="F52" s="682"/>
      <c r="G52" s="682"/>
      <c r="H52" s="682"/>
      <c r="I52" s="682"/>
      <c r="J52" s="682"/>
      <c r="K52" s="682"/>
      <c r="L52" s="682"/>
      <c r="M52" s="682"/>
      <c r="N52" s="682"/>
      <c r="O52" s="682"/>
    </row>
    <row r="53" spans="1:15" ht="15" customHeight="1" x14ac:dyDescent="0.25">
      <c r="A53" s="824" t="s">
        <v>165</v>
      </c>
      <c r="B53" s="825"/>
      <c r="C53" s="825"/>
      <c r="D53" s="825"/>
      <c r="E53" s="825"/>
      <c r="F53" s="825"/>
      <c r="G53" s="780" t="s">
        <v>213</v>
      </c>
      <c r="H53" s="714"/>
      <c r="I53" s="714"/>
      <c r="J53" s="714"/>
      <c r="K53" s="714"/>
      <c r="L53" s="460"/>
      <c r="M53" s="460"/>
      <c r="N53" s="460"/>
      <c r="O53" s="461"/>
    </row>
    <row r="54" spans="1:15" ht="7.9" customHeight="1" x14ac:dyDescent="0.25">
      <c r="A54" s="826"/>
      <c r="B54" s="827"/>
      <c r="C54" s="827"/>
      <c r="D54" s="827"/>
      <c r="E54" s="827"/>
      <c r="F54" s="827"/>
      <c r="G54" s="464"/>
      <c r="H54" s="462"/>
      <c r="I54" s="689"/>
      <c r="J54" s="689"/>
      <c r="K54" s="689"/>
      <c r="L54" s="689"/>
      <c r="M54" s="689"/>
      <c r="N54" s="462"/>
      <c r="O54" s="463"/>
    </row>
    <row r="55" spans="1:15" ht="10.9" customHeight="1" x14ac:dyDescent="0.25">
      <c r="A55" s="826"/>
      <c r="B55" s="827"/>
      <c r="C55" s="827"/>
      <c r="D55" s="827"/>
      <c r="E55" s="827"/>
      <c r="F55" s="827"/>
      <c r="G55" s="782" t="s">
        <v>259</v>
      </c>
      <c r="H55" s="689"/>
      <c r="I55" s="689"/>
      <c r="J55" s="689"/>
      <c r="K55" s="689"/>
      <c r="L55" s="689"/>
      <c r="M55" s="689"/>
      <c r="N55" s="462"/>
      <c r="O55" s="463"/>
    </row>
    <row r="56" spans="1:15" ht="2.4500000000000002" customHeight="1" x14ac:dyDescent="0.25">
      <c r="A56" s="826"/>
      <c r="B56" s="827"/>
      <c r="C56" s="827"/>
      <c r="D56" s="827"/>
      <c r="E56" s="827"/>
      <c r="F56" s="827"/>
      <c r="G56" s="782"/>
      <c r="H56" s="689"/>
      <c r="I56" s="689"/>
      <c r="J56" s="689"/>
      <c r="K56" s="689"/>
      <c r="L56" s="689"/>
      <c r="M56" s="689"/>
      <c r="N56" s="689"/>
      <c r="O56" s="783"/>
    </row>
    <row r="57" spans="1:15" ht="24.6" customHeight="1" x14ac:dyDescent="0.25">
      <c r="A57" s="828"/>
      <c r="B57" s="829"/>
      <c r="C57" s="829"/>
      <c r="D57" s="829"/>
      <c r="E57" s="829"/>
      <c r="F57" s="829"/>
      <c r="G57" s="818" t="s">
        <v>260</v>
      </c>
      <c r="H57" s="823"/>
      <c r="I57" s="823"/>
      <c r="J57" s="823"/>
      <c r="K57" s="823"/>
      <c r="L57" s="823"/>
      <c r="M57" s="823"/>
      <c r="N57" s="823"/>
      <c r="O57" s="819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R13" sqref="R13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0" t="s">
        <v>261</v>
      </c>
      <c r="C1" s="831"/>
      <c r="D1" s="831"/>
      <c r="E1" s="831"/>
      <c r="F1" s="831"/>
      <c r="G1" s="831"/>
      <c r="H1" s="831"/>
      <c r="I1" s="831"/>
      <c r="J1" s="831"/>
      <c r="K1" s="831"/>
      <c r="L1" s="665" t="s">
        <v>215</v>
      </c>
      <c r="M1" s="666"/>
      <c r="N1" s="667" t="s">
        <v>216</v>
      </c>
      <c r="O1" s="668"/>
    </row>
    <row r="2" spans="1:15" x14ac:dyDescent="0.25">
      <c r="A2" s="669" t="s">
        <v>188</v>
      </c>
      <c r="B2" s="671" t="s">
        <v>302</v>
      </c>
      <c r="C2" s="672"/>
      <c r="D2" s="672"/>
      <c r="E2" s="672"/>
      <c r="F2" s="672"/>
      <c r="G2" s="672"/>
      <c r="H2" s="672"/>
      <c r="I2" s="672"/>
      <c r="J2" s="672"/>
      <c r="K2" s="672"/>
      <c r="L2" s="630" t="s">
        <v>217</v>
      </c>
      <c r="M2" s="733"/>
      <c r="N2" s="734" t="s">
        <v>218</v>
      </c>
      <c r="O2" s="734"/>
    </row>
    <row r="3" spans="1:15" x14ac:dyDescent="0.25">
      <c r="A3" s="669"/>
      <c r="B3" s="671"/>
      <c r="C3" s="672"/>
      <c r="D3" s="672"/>
      <c r="E3" s="672"/>
      <c r="F3" s="672"/>
      <c r="G3" s="672"/>
      <c r="H3" s="672"/>
      <c r="I3" s="672"/>
      <c r="J3" s="672"/>
      <c r="K3" s="672"/>
      <c r="L3" s="630" t="s">
        <v>219</v>
      </c>
      <c r="M3" s="733"/>
      <c r="N3" s="734" t="s">
        <v>220</v>
      </c>
      <c r="O3" s="734"/>
    </row>
    <row r="4" spans="1:15" ht="15.75" thickBot="1" x14ac:dyDescent="0.3">
      <c r="A4" s="670"/>
      <c r="B4" s="832" t="s">
        <v>262</v>
      </c>
      <c r="C4" s="833"/>
      <c r="D4" s="833"/>
      <c r="E4" s="833"/>
      <c r="F4" s="833"/>
      <c r="G4" s="833"/>
      <c r="H4" s="833"/>
      <c r="I4" s="833"/>
      <c r="J4" s="833"/>
      <c r="K4" s="833"/>
      <c r="L4" s="736" t="s">
        <v>222</v>
      </c>
      <c r="M4" s="737"/>
      <c r="N4" s="738" t="s">
        <v>223</v>
      </c>
      <c r="O4" s="739"/>
    </row>
    <row r="5" spans="1:15" x14ac:dyDescent="0.25">
      <c r="A5" s="740"/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</row>
    <row r="6" spans="1:15" x14ac:dyDescent="0.25">
      <c r="A6" s="336" t="s">
        <v>192</v>
      </c>
      <c r="B6" s="678">
        <f>'Granulo P1'!B6:E6</f>
        <v>43813</v>
      </c>
      <c r="C6" s="679"/>
      <c r="D6" s="679"/>
      <c r="E6" s="679"/>
      <c r="F6" s="679"/>
      <c r="G6" s="834" t="s">
        <v>193</v>
      </c>
      <c r="H6" s="834"/>
      <c r="I6" s="834"/>
      <c r="J6" s="834"/>
      <c r="K6" s="834"/>
      <c r="L6" s="679" t="str">
        <f>'Granulo P1'!K6</f>
        <v>Sable Gréseux - P 5 -1ère couche</v>
      </c>
      <c r="M6" s="679"/>
      <c r="N6" s="679"/>
      <c r="O6" s="587"/>
    </row>
    <row r="7" spans="1:15" ht="13.9" customHeight="1" x14ac:dyDescent="0.25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</row>
    <row r="8" spans="1:15" ht="4.1500000000000004" hidden="1" customHeight="1" x14ac:dyDescent="0.25">
      <c r="A8" s="683"/>
      <c r="B8" s="683"/>
      <c r="C8" s="683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683"/>
      <c r="O8" s="683"/>
    </row>
    <row r="9" spans="1:15" x14ac:dyDescent="0.25">
      <c r="A9" s="684" t="s">
        <v>194</v>
      </c>
      <c r="B9" s="685"/>
      <c r="C9" s="685"/>
      <c r="D9" s="685"/>
      <c r="E9" s="685"/>
      <c r="F9" s="685"/>
      <c r="G9" s="685"/>
      <c r="H9" s="685"/>
      <c r="I9" s="683"/>
      <c r="J9" s="683"/>
      <c r="K9" s="683"/>
      <c r="L9" s="683"/>
      <c r="M9" s="683"/>
      <c r="N9" s="683"/>
      <c r="O9" s="683"/>
    </row>
    <row r="10" spans="1:15" ht="7.15" customHeight="1" x14ac:dyDescent="0.25">
      <c r="A10" s="698"/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698"/>
      <c r="O10" s="698"/>
    </row>
    <row r="11" spans="1:15" ht="3.6" hidden="1" customHeight="1" x14ac:dyDescent="0.25">
      <c r="A11" s="698"/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698"/>
      <c r="O11" s="340"/>
    </row>
    <row r="12" spans="1:15" ht="17.25" x14ac:dyDescent="0.3">
      <c r="A12" s="437" t="s">
        <v>285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743" t="s">
        <v>286</v>
      </c>
      <c r="O12" s="743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44" t="s">
        <v>287</v>
      </c>
      <c r="O13" s="744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7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5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5">
        <f>'Granulo P1'!O26</f>
        <v>95.166666666666671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5">
        <f>'Granulo P1'!O29</f>
        <v>88.433333333333337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5">
        <f>'Granulo P1'!O32</f>
        <v>85.166666666666671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5">
        <f>'Granulo P1'!O36</f>
        <v>82.2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5">
        <f>'Granulo P1'!O39</f>
        <v>79.366666666666674</v>
      </c>
      <c r="W25" s="445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5">
        <f>'Granulo P1'!O43</f>
        <v>62.666666666666664</v>
      </c>
      <c r="W26" s="445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5">
        <f>'Granulo P1'!O46</f>
        <v>37.333333333333329</v>
      </c>
      <c r="W27" s="445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5">
        <f>'Granulo P1'!O49</f>
        <v>20.199999999999989</v>
      </c>
      <c r="W28" s="445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5">
        <f>'Granulo P1'!O50</f>
        <v>17.63333333333334</v>
      </c>
      <c r="W29" s="445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9" zoomScale="99" zoomScaleNormal="99" workbookViewId="0">
      <selection activeCell="H24" sqref="H24:H25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65"/>
      <c r="B1" s="666"/>
      <c r="C1" s="666"/>
      <c r="D1" s="666"/>
      <c r="E1" s="666"/>
      <c r="F1" s="666"/>
      <c r="G1" s="666"/>
      <c r="H1" s="666"/>
      <c r="I1" s="838"/>
    </row>
    <row r="2" spans="1:9" x14ac:dyDescent="0.25">
      <c r="A2" s="630"/>
      <c r="B2" s="733"/>
      <c r="C2" s="733"/>
      <c r="D2" s="733"/>
      <c r="E2" s="733"/>
      <c r="F2" s="733"/>
      <c r="G2" s="733"/>
      <c r="H2" s="733"/>
      <c r="I2" s="839"/>
    </row>
    <row r="3" spans="1:9" x14ac:dyDescent="0.25">
      <c r="A3" s="630"/>
      <c r="B3" s="733"/>
      <c r="C3" s="733"/>
      <c r="D3" s="733"/>
      <c r="E3" s="733"/>
      <c r="F3" s="733"/>
      <c r="G3" s="733"/>
      <c r="H3" s="733"/>
      <c r="I3" s="839"/>
    </row>
    <row r="4" spans="1:9" x14ac:dyDescent="0.25">
      <c r="A4" s="630"/>
      <c r="B4" s="733"/>
      <c r="C4" s="733"/>
      <c r="D4" s="733"/>
      <c r="E4" s="733"/>
      <c r="F4" s="733"/>
      <c r="G4" s="733"/>
      <c r="H4" s="733"/>
      <c r="I4" s="839"/>
    </row>
    <row r="5" spans="1:9" x14ac:dyDescent="0.25">
      <c r="A5" s="630"/>
      <c r="B5" s="733"/>
      <c r="C5" s="733"/>
      <c r="D5" s="733"/>
      <c r="E5" s="733"/>
      <c r="F5" s="733"/>
      <c r="G5" s="733"/>
      <c r="H5" s="733"/>
      <c r="I5" s="839"/>
    </row>
    <row r="6" spans="1:9" x14ac:dyDescent="0.25">
      <c r="A6" s="630"/>
      <c r="B6" s="733"/>
      <c r="C6" s="733"/>
      <c r="D6" s="733"/>
      <c r="E6" s="733"/>
      <c r="F6" s="733"/>
      <c r="G6" s="733"/>
      <c r="H6" s="733"/>
      <c r="I6" s="839"/>
    </row>
    <row r="7" spans="1:9" x14ac:dyDescent="0.25">
      <c r="A7" s="630"/>
      <c r="B7" s="733"/>
      <c r="C7" s="733"/>
      <c r="D7" s="733"/>
      <c r="E7" s="733"/>
      <c r="F7" s="733"/>
      <c r="G7" s="733"/>
      <c r="H7" s="733"/>
      <c r="I7" s="839"/>
    </row>
    <row r="8" spans="1:9" x14ac:dyDescent="0.25">
      <c r="A8" s="630"/>
      <c r="B8" s="733"/>
      <c r="C8" s="733"/>
      <c r="D8" s="733"/>
      <c r="E8" s="733"/>
      <c r="F8" s="733"/>
      <c r="G8" s="733"/>
      <c r="H8" s="733"/>
      <c r="I8" s="839"/>
    </row>
    <row r="9" spans="1:9" x14ac:dyDescent="0.25">
      <c r="A9" s="630"/>
      <c r="B9" s="733"/>
      <c r="C9" s="733"/>
      <c r="D9" s="733"/>
      <c r="E9" s="733"/>
      <c r="F9" s="733"/>
      <c r="G9" s="733"/>
      <c r="H9" s="733"/>
      <c r="I9" s="839"/>
    </row>
    <row r="10" spans="1:9" x14ac:dyDescent="0.25">
      <c r="A10" s="630"/>
      <c r="B10" s="733"/>
      <c r="C10" s="733"/>
      <c r="D10" s="733"/>
      <c r="E10" s="733"/>
      <c r="F10" s="733"/>
      <c r="G10" s="733"/>
      <c r="H10" s="733"/>
      <c r="I10" s="839"/>
    </row>
    <row r="11" spans="1:9" ht="27" x14ac:dyDescent="0.5">
      <c r="A11" s="840" t="s">
        <v>339</v>
      </c>
      <c r="B11" s="841"/>
      <c r="C11" s="841"/>
      <c r="D11" s="841"/>
      <c r="E11" s="841"/>
      <c r="F11" s="841"/>
      <c r="G11" s="841"/>
      <c r="H11" s="841"/>
      <c r="I11" s="842"/>
    </row>
    <row r="12" spans="1:9" x14ac:dyDescent="0.25">
      <c r="A12" s="843"/>
      <c r="B12" s="844"/>
      <c r="C12" s="844"/>
      <c r="D12" s="844"/>
      <c r="E12" s="844"/>
      <c r="F12" s="844"/>
      <c r="G12" s="844"/>
      <c r="H12" s="844"/>
      <c r="I12" s="845"/>
    </row>
    <row r="13" spans="1:9" x14ac:dyDescent="0.25">
      <c r="A13" s="835"/>
      <c r="B13" s="836"/>
      <c r="C13" s="836"/>
      <c r="D13" s="836"/>
      <c r="E13" s="836"/>
      <c r="F13" s="836"/>
      <c r="G13" s="846" t="s">
        <v>356</v>
      </c>
      <c r="H13" s="846"/>
      <c r="I13" s="847"/>
    </row>
    <row r="14" spans="1:9" x14ac:dyDescent="0.25">
      <c r="A14" s="835"/>
      <c r="B14" s="836"/>
      <c r="C14" s="836"/>
      <c r="D14" s="836"/>
      <c r="E14" s="836"/>
      <c r="F14" s="836"/>
      <c r="G14" s="836"/>
      <c r="H14" s="836"/>
      <c r="I14" s="837"/>
    </row>
    <row r="15" spans="1:9" x14ac:dyDescent="0.25">
      <c r="A15" s="835"/>
      <c r="B15" s="836"/>
      <c r="C15" s="836"/>
      <c r="D15" s="836"/>
      <c r="E15" s="846" t="s">
        <v>357</v>
      </c>
      <c r="F15" s="846"/>
      <c r="G15" s="846"/>
      <c r="H15" s="846"/>
      <c r="I15" s="847"/>
    </row>
    <row r="16" spans="1:9" x14ac:dyDescent="0.25">
      <c r="A16" s="848" t="s">
        <v>355</v>
      </c>
      <c r="B16" s="849"/>
      <c r="C16" s="849"/>
      <c r="D16" s="849"/>
      <c r="E16" s="849"/>
      <c r="F16" s="849"/>
      <c r="G16" s="849"/>
      <c r="H16" s="849"/>
      <c r="I16" s="850"/>
    </row>
    <row r="17" spans="1:9" ht="31.9" customHeight="1" x14ac:dyDescent="0.25">
      <c r="A17" s="851" t="s">
        <v>340</v>
      </c>
      <c r="B17" s="852"/>
      <c r="C17" s="852"/>
      <c r="D17" s="852"/>
      <c r="E17" s="852"/>
      <c r="F17" s="853"/>
      <c r="G17" s="490">
        <v>7</v>
      </c>
      <c r="H17" s="491">
        <v>5</v>
      </c>
      <c r="I17" s="492"/>
    </row>
    <row r="18" spans="1:9" x14ac:dyDescent="0.25">
      <c r="A18" s="854" t="s">
        <v>341</v>
      </c>
      <c r="B18" s="855"/>
      <c r="C18" s="855"/>
      <c r="D18" s="855"/>
      <c r="E18" s="855"/>
      <c r="F18" s="856"/>
      <c r="G18" s="857">
        <v>253.4</v>
      </c>
      <c r="H18" s="857">
        <v>283.10000000000002</v>
      </c>
      <c r="I18" s="859"/>
    </row>
    <row r="19" spans="1:9" x14ac:dyDescent="0.25">
      <c r="A19" s="854"/>
      <c r="B19" s="855"/>
      <c r="C19" s="855"/>
      <c r="D19" s="855"/>
      <c r="E19" s="855"/>
      <c r="F19" s="856"/>
      <c r="G19" s="858"/>
      <c r="H19" s="858"/>
      <c r="I19" s="860"/>
    </row>
    <row r="20" spans="1:9" x14ac:dyDescent="0.25">
      <c r="A20" s="854" t="s">
        <v>342</v>
      </c>
      <c r="B20" s="855"/>
      <c r="C20" s="855"/>
      <c r="D20" s="855"/>
      <c r="E20" s="855"/>
      <c r="F20" s="856"/>
      <c r="G20" s="857">
        <v>503.1</v>
      </c>
      <c r="H20" s="857">
        <v>533.20000000000005</v>
      </c>
      <c r="I20" s="859"/>
    </row>
    <row r="21" spans="1:9" x14ac:dyDescent="0.25">
      <c r="A21" s="854"/>
      <c r="B21" s="855"/>
      <c r="C21" s="855"/>
      <c r="D21" s="855"/>
      <c r="E21" s="855"/>
      <c r="F21" s="856"/>
      <c r="G21" s="858"/>
      <c r="H21" s="858"/>
      <c r="I21" s="860"/>
    </row>
    <row r="22" spans="1:9" x14ac:dyDescent="0.25">
      <c r="A22" s="854" t="s">
        <v>343</v>
      </c>
      <c r="B22" s="855"/>
      <c r="C22" s="855"/>
      <c r="D22" s="855"/>
      <c r="E22" s="855"/>
      <c r="F22" s="856"/>
      <c r="G22" s="857">
        <v>952.5</v>
      </c>
      <c r="H22" s="857">
        <v>967.5</v>
      </c>
      <c r="I22" s="859"/>
    </row>
    <row r="23" spans="1:9" x14ac:dyDescent="0.25">
      <c r="A23" s="854"/>
      <c r="B23" s="855"/>
      <c r="C23" s="855"/>
      <c r="D23" s="855"/>
      <c r="E23" s="855"/>
      <c r="F23" s="856"/>
      <c r="G23" s="858"/>
      <c r="H23" s="858"/>
      <c r="I23" s="860"/>
    </row>
    <row r="24" spans="1:9" x14ac:dyDescent="0.25">
      <c r="A24" s="854" t="s">
        <v>344</v>
      </c>
      <c r="B24" s="855"/>
      <c r="C24" s="855"/>
      <c r="D24" s="855"/>
      <c r="E24" s="855"/>
      <c r="F24" s="856"/>
      <c r="G24" s="857">
        <v>799.9</v>
      </c>
      <c r="H24" s="857">
        <v>815.3</v>
      </c>
      <c r="I24" s="859"/>
    </row>
    <row r="25" spans="1:9" x14ac:dyDescent="0.25">
      <c r="A25" s="854"/>
      <c r="B25" s="855"/>
      <c r="C25" s="855"/>
      <c r="D25" s="855"/>
      <c r="E25" s="855"/>
      <c r="F25" s="856"/>
      <c r="G25" s="858"/>
      <c r="H25" s="858"/>
      <c r="I25" s="860"/>
    </row>
    <row r="26" spans="1:9" ht="31.9" customHeight="1" x14ac:dyDescent="0.25">
      <c r="A26" s="854"/>
      <c r="B26" s="855"/>
      <c r="C26" s="855"/>
      <c r="D26" s="855"/>
      <c r="E26" s="855"/>
      <c r="F26" s="856"/>
      <c r="G26" s="861"/>
      <c r="H26" s="862"/>
      <c r="I26" s="863"/>
    </row>
    <row r="27" spans="1:9" x14ac:dyDescent="0.25">
      <c r="A27" s="854"/>
      <c r="B27" s="855"/>
      <c r="C27" s="855"/>
      <c r="D27" s="855"/>
      <c r="E27" s="855"/>
      <c r="F27" s="856"/>
      <c r="G27" s="864"/>
      <c r="H27" s="865"/>
      <c r="I27" s="866"/>
    </row>
    <row r="28" spans="1:9" x14ac:dyDescent="0.25">
      <c r="A28" s="854" t="s">
        <v>345</v>
      </c>
      <c r="B28" s="855"/>
      <c r="C28" s="855"/>
      <c r="D28" s="855"/>
      <c r="E28" s="855"/>
      <c r="F28" s="856"/>
      <c r="G28" s="857">
        <f>G24-G18</f>
        <v>546.5</v>
      </c>
      <c r="H28" s="857">
        <f>H24-H18</f>
        <v>532.19999999999993</v>
      </c>
      <c r="I28" s="867"/>
    </row>
    <row r="29" spans="1:9" x14ac:dyDescent="0.25">
      <c r="A29" s="854"/>
      <c r="B29" s="855"/>
      <c r="C29" s="855"/>
      <c r="D29" s="855"/>
      <c r="E29" s="855"/>
      <c r="F29" s="856"/>
      <c r="G29" s="858"/>
      <c r="H29" s="858"/>
      <c r="I29" s="868"/>
    </row>
    <row r="30" spans="1:9" x14ac:dyDescent="0.25">
      <c r="A30" s="854" t="s">
        <v>346</v>
      </c>
      <c r="B30" s="855"/>
      <c r="C30" s="855"/>
      <c r="D30" s="855"/>
      <c r="E30" s="855"/>
      <c r="F30" s="856"/>
      <c r="G30" s="857">
        <f>G20-G18</f>
        <v>249.70000000000002</v>
      </c>
      <c r="H30" s="869">
        <f>H20-H18</f>
        <v>250.10000000000002</v>
      </c>
      <c r="I30" s="859"/>
    </row>
    <row r="31" spans="1:9" x14ac:dyDescent="0.25">
      <c r="A31" s="854"/>
      <c r="B31" s="855"/>
      <c r="C31" s="855"/>
      <c r="D31" s="855"/>
      <c r="E31" s="855"/>
      <c r="F31" s="856"/>
      <c r="G31" s="858"/>
      <c r="H31" s="870"/>
      <c r="I31" s="860"/>
    </row>
    <row r="32" spans="1:9" x14ac:dyDescent="0.25">
      <c r="A32" s="854" t="s">
        <v>347</v>
      </c>
      <c r="B32" s="855"/>
      <c r="C32" s="855"/>
      <c r="D32" s="855"/>
      <c r="E32" s="855"/>
      <c r="F32" s="856"/>
      <c r="G32" s="857">
        <f>G22-G20</f>
        <v>449.4</v>
      </c>
      <c r="H32" s="857">
        <f>H22-H20</f>
        <v>434.29999999999995</v>
      </c>
      <c r="I32" s="859"/>
    </row>
    <row r="33" spans="1:9" x14ac:dyDescent="0.25">
      <c r="A33" s="854"/>
      <c r="B33" s="855"/>
      <c r="C33" s="855"/>
      <c r="D33" s="855"/>
      <c r="E33" s="855"/>
      <c r="F33" s="856"/>
      <c r="G33" s="858"/>
      <c r="H33" s="858"/>
      <c r="I33" s="860"/>
    </row>
    <row r="34" spans="1:9" x14ac:dyDescent="0.25">
      <c r="A34" s="854" t="s">
        <v>348</v>
      </c>
      <c r="B34" s="855"/>
      <c r="C34" s="855"/>
      <c r="D34" s="855"/>
      <c r="E34" s="855"/>
      <c r="F34" s="856"/>
      <c r="G34" s="857">
        <f>G28-G32</f>
        <v>97.100000000000023</v>
      </c>
      <c r="H34" s="857">
        <f>H28-H32</f>
        <v>97.899999999999977</v>
      </c>
      <c r="I34" s="859"/>
    </row>
    <row r="35" spans="1:9" x14ac:dyDescent="0.25">
      <c r="A35" s="854"/>
      <c r="B35" s="855"/>
      <c r="C35" s="855"/>
      <c r="D35" s="855"/>
      <c r="E35" s="855"/>
      <c r="F35" s="856"/>
      <c r="G35" s="858"/>
      <c r="H35" s="858"/>
      <c r="I35" s="860"/>
    </row>
    <row r="36" spans="1:9" ht="38.450000000000003" customHeight="1" x14ac:dyDescent="0.25">
      <c r="A36" s="854" t="s">
        <v>349</v>
      </c>
      <c r="B36" s="855"/>
      <c r="C36" s="855"/>
      <c r="D36" s="855"/>
      <c r="E36" s="855"/>
      <c r="F36" s="856"/>
      <c r="G36" s="861"/>
      <c r="H36" s="862"/>
      <c r="I36" s="863"/>
    </row>
    <row r="37" spans="1:9" x14ac:dyDescent="0.25">
      <c r="A37" s="854"/>
      <c r="B37" s="855"/>
      <c r="C37" s="855"/>
      <c r="D37" s="855"/>
      <c r="E37" s="855"/>
      <c r="F37" s="856"/>
      <c r="G37" s="864"/>
      <c r="H37" s="865"/>
      <c r="I37" s="866"/>
    </row>
    <row r="38" spans="1:9" x14ac:dyDescent="0.25">
      <c r="A38" s="883" t="s">
        <v>350</v>
      </c>
      <c r="B38" s="884"/>
      <c r="C38" s="884"/>
      <c r="D38" s="884"/>
      <c r="E38" s="884"/>
      <c r="F38" s="885"/>
      <c r="G38" s="886">
        <f>G30/G34</f>
        <v>2.5715756951596287</v>
      </c>
      <c r="H38" s="886">
        <f>H30/H34</f>
        <v>2.5546475995914206</v>
      </c>
      <c r="I38" s="888"/>
    </row>
    <row r="39" spans="1:9" x14ac:dyDescent="0.25">
      <c r="A39" s="883"/>
      <c r="B39" s="884"/>
      <c r="C39" s="884"/>
      <c r="D39" s="884"/>
      <c r="E39" s="884"/>
      <c r="F39" s="885"/>
      <c r="G39" s="887"/>
      <c r="H39" s="887"/>
      <c r="I39" s="889"/>
    </row>
    <row r="40" spans="1:9" ht="40.9" customHeight="1" x14ac:dyDescent="0.25">
      <c r="A40" s="854"/>
      <c r="B40" s="855"/>
      <c r="C40" s="855"/>
      <c r="D40" s="855"/>
      <c r="E40" s="855"/>
      <c r="F40" s="856"/>
      <c r="G40" s="861"/>
      <c r="H40" s="862"/>
      <c r="I40" s="863"/>
    </row>
    <row r="41" spans="1:9" x14ac:dyDescent="0.25">
      <c r="A41" s="854"/>
      <c r="B41" s="855"/>
      <c r="C41" s="855"/>
      <c r="D41" s="855"/>
      <c r="E41" s="855"/>
      <c r="F41" s="856"/>
      <c r="G41" s="864"/>
      <c r="H41" s="865"/>
      <c r="I41" s="866"/>
    </row>
    <row r="42" spans="1:9" x14ac:dyDescent="0.25">
      <c r="A42" s="890" t="s">
        <v>351</v>
      </c>
      <c r="B42" s="891"/>
      <c r="C42" s="891"/>
      <c r="D42" s="891"/>
      <c r="E42" s="891"/>
      <c r="F42" s="892"/>
      <c r="G42" s="896">
        <f>AVERAGE(G38,H38,I38)</f>
        <v>2.5631116473755249</v>
      </c>
      <c r="H42" s="897"/>
      <c r="I42" s="898"/>
    </row>
    <row r="43" spans="1:9" x14ac:dyDescent="0.25">
      <c r="A43" s="893"/>
      <c r="B43" s="894"/>
      <c r="C43" s="894"/>
      <c r="D43" s="894"/>
      <c r="E43" s="894"/>
      <c r="F43" s="895"/>
      <c r="G43" s="899"/>
      <c r="H43" s="900"/>
      <c r="I43" s="901"/>
    </row>
    <row r="44" spans="1:9" x14ac:dyDescent="0.25">
      <c r="A44" s="902" t="s">
        <v>352</v>
      </c>
      <c r="B44" s="903"/>
      <c r="C44" s="903"/>
      <c r="D44" s="903"/>
      <c r="E44" s="903"/>
      <c r="F44" s="903"/>
      <c r="G44" s="903"/>
      <c r="H44" s="903"/>
      <c r="I44" s="904"/>
    </row>
    <row r="45" spans="1:9" ht="19.149999999999999" customHeight="1" thickBot="1" x14ac:dyDescent="0.3">
      <c r="A45" s="905"/>
      <c r="B45" s="906"/>
      <c r="C45" s="906"/>
      <c r="D45" s="906"/>
      <c r="E45" s="906"/>
      <c r="F45" s="906"/>
      <c r="G45" s="906"/>
      <c r="H45" s="906"/>
      <c r="I45" s="907"/>
    </row>
    <row r="46" spans="1:9" ht="14.45" customHeight="1" x14ac:dyDescent="0.25">
      <c r="A46" s="871" t="s">
        <v>353</v>
      </c>
      <c r="B46" s="872"/>
      <c r="C46" s="872"/>
      <c r="D46" s="873"/>
      <c r="E46" s="877" t="s">
        <v>354</v>
      </c>
      <c r="F46" s="878"/>
      <c r="G46" s="878"/>
      <c r="H46" s="878"/>
      <c r="I46" s="879"/>
    </row>
    <row r="47" spans="1:9" ht="36" customHeight="1" thickBot="1" x14ac:dyDescent="0.3">
      <c r="A47" s="874"/>
      <c r="B47" s="875"/>
      <c r="C47" s="875"/>
      <c r="D47" s="876"/>
      <c r="E47" s="880"/>
      <c r="F47" s="881"/>
      <c r="G47" s="881"/>
      <c r="H47" s="881"/>
      <c r="I47" s="882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1" zoomScale="136" zoomScaleNormal="136" workbookViewId="0">
      <selection activeCell="M19" sqref="M19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11"/>
      <c r="B1" s="914" t="s">
        <v>0</v>
      </c>
      <c r="C1" s="915"/>
      <c r="D1" s="915"/>
      <c r="E1" s="915"/>
      <c r="F1" s="915"/>
      <c r="G1" s="915"/>
      <c r="H1" s="915"/>
      <c r="I1" s="915"/>
      <c r="J1" s="916" t="s">
        <v>49</v>
      </c>
      <c r="K1" s="917"/>
    </row>
    <row r="2" spans="1:11" x14ac:dyDescent="0.25">
      <c r="A2" s="912"/>
      <c r="B2" s="918" t="s">
        <v>1</v>
      </c>
      <c r="C2" s="919"/>
      <c r="D2" s="919"/>
      <c r="E2" s="919"/>
      <c r="F2" s="919"/>
      <c r="G2" s="919"/>
      <c r="H2" s="919"/>
      <c r="I2" s="920"/>
      <c r="J2" s="924" t="s">
        <v>50</v>
      </c>
      <c r="K2" s="925"/>
    </row>
    <row r="3" spans="1:11" ht="11.45" customHeight="1" thickBot="1" x14ac:dyDescent="0.3">
      <c r="A3" s="913"/>
      <c r="B3" s="921"/>
      <c r="C3" s="922"/>
      <c r="D3" s="922"/>
      <c r="E3" s="922"/>
      <c r="F3" s="922"/>
      <c r="G3" s="922"/>
      <c r="H3" s="922"/>
      <c r="I3" s="923"/>
      <c r="J3" s="926" t="s">
        <v>2</v>
      </c>
      <c r="K3" s="927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928" t="s">
        <v>3</v>
      </c>
      <c r="B5" s="930" t="s">
        <v>4</v>
      </c>
      <c r="C5" s="931"/>
      <c r="D5" s="931"/>
      <c r="E5" s="931"/>
      <c r="F5" s="931"/>
      <c r="G5" s="931"/>
      <c r="H5" s="931"/>
      <c r="I5" s="931"/>
      <c r="J5" s="931"/>
      <c r="K5" s="932"/>
    </row>
    <row r="6" spans="1:11" ht="11.45" customHeight="1" x14ac:dyDescent="0.25">
      <c r="A6" s="929"/>
      <c r="B6" s="933" t="s">
        <v>5</v>
      </c>
      <c r="C6" s="855"/>
      <c r="D6" s="855"/>
      <c r="E6" s="855"/>
      <c r="F6" s="855"/>
      <c r="G6" s="855"/>
      <c r="H6" s="855"/>
      <c r="I6" s="855"/>
      <c r="J6" s="855"/>
      <c r="K6" s="934"/>
    </row>
    <row r="7" spans="1:11" ht="16.899999999999999" customHeight="1" thickBot="1" x14ac:dyDescent="0.3">
      <c r="A7" s="24"/>
      <c r="B7" s="935" t="s">
        <v>6</v>
      </c>
      <c r="C7" s="936"/>
      <c r="D7" s="936"/>
      <c r="E7" s="936"/>
      <c r="F7" s="936"/>
      <c r="G7" s="936"/>
      <c r="H7" s="936"/>
      <c r="I7" s="936"/>
      <c r="J7" s="936"/>
      <c r="K7" s="937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938" t="s">
        <v>7</v>
      </c>
      <c r="B10" s="939"/>
      <c r="C10" s="939"/>
      <c r="D10" s="939"/>
      <c r="E10" s="939"/>
      <c r="F10" s="939"/>
      <c r="G10" s="939"/>
      <c r="H10" s="939"/>
      <c r="I10" s="939"/>
      <c r="J10" s="939"/>
      <c r="K10" s="940"/>
    </row>
    <row r="11" spans="1:11" x14ac:dyDescent="0.25">
      <c r="A11" s="908" t="s">
        <v>320</v>
      </c>
      <c r="B11" s="909"/>
      <c r="C11" s="909"/>
      <c r="D11" s="909"/>
      <c r="E11" s="909"/>
      <c r="F11" s="909"/>
      <c r="G11" s="909"/>
      <c r="H11" s="909"/>
      <c r="I11" s="909"/>
      <c r="J11" s="909"/>
      <c r="K11" s="910"/>
    </row>
    <row r="12" spans="1:11" ht="13.15" customHeight="1" x14ac:dyDescent="0.25">
      <c r="A12" s="908" t="s">
        <v>56</v>
      </c>
      <c r="B12" s="941"/>
      <c r="C12" s="941"/>
      <c r="D12" s="942"/>
      <c r="E12" s="943" t="s">
        <v>337</v>
      </c>
      <c r="F12" s="944"/>
      <c r="G12" s="944"/>
      <c r="H12" s="944"/>
      <c r="I12" s="944"/>
      <c r="J12" s="944"/>
      <c r="K12" s="945"/>
    </row>
    <row r="13" spans="1:11" ht="13.15" customHeight="1" x14ac:dyDescent="0.25">
      <c r="A13" s="908" t="s">
        <v>317</v>
      </c>
      <c r="B13" s="941"/>
      <c r="C13" s="941"/>
      <c r="D13" s="942"/>
      <c r="E13" s="943" t="s">
        <v>8</v>
      </c>
      <c r="F13" s="944"/>
      <c r="G13" s="944"/>
      <c r="H13" s="944"/>
      <c r="I13" s="944"/>
      <c r="J13" s="944"/>
      <c r="K13" s="945"/>
    </row>
    <row r="14" spans="1:11" ht="13.9" customHeight="1" x14ac:dyDescent="0.25">
      <c r="A14" s="908" t="s">
        <v>59</v>
      </c>
      <c r="B14" s="941"/>
      <c r="C14" s="941"/>
      <c r="D14" s="941"/>
      <c r="E14" s="946" t="s">
        <v>9</v>
      </c>
      <c r="F14" s="941"/>
      <c r="G14" s="941"/>
      <c r="H14" s="941"/>
      <c r="I14" s="941"/>
      <c r="J14" s="941"/>
      <c r="K14" s="947"/>
    </row>
    <row r="15" spans="1:11" ht="15.6" customHeight="1" thickBot="1" x14ac:dyDescent="0.3">
      <c r="A15" s="948" t="s">
        <v>321</v>
      </c>
      <c r="B15" s="949"/>
      <c r="C15" s="949"/>
      <c r="D15" s="949"/>
      <c r="E15" s="950" t="s">
        <v>304</v>
      </c>
      <c r="F15" s="949"/>
      <c r="G15" s="949"/>
      <c r="H15" s="949"/>
      <c r="I15" s="949"/>
      <c r="J15" s="949"/>
      <c r="K15" s="951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52" t="s">
        <v>10</v>
      </c>
      <c r="B17" s="26"/>
      <c r="C17" s="954" t="s">
        <v>11</v>
      </c>
      <c r="D17" s="939"/>
      <c r="E17" s="955"/>
      <c r="F17" s="27"/>
      <c r="G17" s="26"/>
      <c r="H17" s="956" t="s">
        <v>12</v>
      </c>
      <c r="I17" s="957"/>
      <c r="J17" s="958"/>
      <c r="K17" s="28" t="s">
        <v>13</v>
      </c>
    </row>
    <row r="18" spans="1:11" ht="13.9" customHeight="1" x14ac:dyDescent="0.25">
      <c r="A18" s="953"/>
      <c r="B18" s="29"/>
      <c r="C18" s="959" t="s">
        <v>14</v>
      </c>
      <c r="D18" s="960"/>
      <c r="E18" s="959" t="s">
        <v>15</v>
      </c>
      <c r="F18" s="960"/>
      <c r="G18" s="29"/>
      <c r="H18" s="961" t="s">
        <v>14</v>
      </c>
      <c r="I18" s="962"/>
      <c r="J18" s="961" t="s">
        <v>15</v>
      </c>
      <c r="K18" s="963"/>
    </row>
    <row r="19" spans="1:11" ht="12" customHeight="1" x14ac:dyDescent="0.25">
      <c r="A19" s="30" t="s">
        <v>16</v>
      </c>
      <c r="B19" s="1"/>
      <c r="C19" s="964" t="s">
        <v>51</v>
      </c>
      <c r="D19" s="965"/>
      <c r="E19" s="965"/>
      <c r="F19" s="966"/>
      <c r="G19" s="1"/>
      <c r="H19" s="967" t="s">
        <v>52</v>
      </c>
      <c r="I19" s="968"/>
      <c r="J19" s="968"/>
      <c r="K19" s="969"/>
    </row>
    <row r="20" spans="1:11" ht="13.15" customHeight="1" x14ac:dyDescent="0.25">
      <c r="A20" s="30" t="s">
        <v>17</v>
      </c>
      <c r="B20" s="1"/>
      <c r="C20" s="964" t="s">
        <v>18</v>
      </c>
      <c r="D20" s="965"/>
      <c r="E20" s="965"/>
      <c r="F20" s="966"/>
      <c r="G20" s="1"/>
      <c r="H20" s="967" t="s">
        <v>18</v>
      </c>
      <c r="I20" s="968"/>
      <c r="J20" s="968"/>
      <c r="K20" s="969"/>
    </row>
    <row r="21" spans="1:11" x14ac:dyDescent="0.25">
      <c r="A21" s="30" t="s">
        <v>19</v>
      </c>
      <c r="B21" s="2"/>
      <c r="C21" s="964" t="s">
        <v>20</v>
      </c>
      <c r="D21" s="965"/>
      <c r="E21" s="965"/>
      <c r="F21" s="966"/>
      <c r="G21" s="2"/>
      <c r="H21" s="967" t="s">
        <v>21</v>
      </c>
      <c r="I21" s="968"/>
      <c r="J21" s="968"/>
      <c r="K21" s="969"/>
    </row>
    <row r="22" spans="1:11" ht="13.15" customHeight="1" x14ac:dyDescent="0.25">
      <c r="A22" s="30" t="s">
        <v>22</v>
      </c>
      <c r="B22" s="3"/>
      <c r="C22" s="970">
        <v>3</v>
      </c>
      <c r="D22" s="971"/>
      <c r="E22" s="971"/>
      <c r="F22" s="972"/>
      <c r="G22" s="4"/>
      <c r="H22" s="973">
        <v>5</v>
      </c>
      <c r="I22" s="974"/>
      <c r="J22" s="974"/>
      <c r="K22" s="975"/>
    </row>
    <row r="23" spans="1:11" ht="15.75" thickBot="1" x14ac:dyDescent="0.3">
      <c r="A23" s="31" t="s">
        <v>23</v>
      </c>
      <c r="B23" s="32"/>
      <c r="C23" s="976">
        <v>25</v>
      </c>
      <c r="D23" s="977"/>
      <c r="E23" s="978">
        <v>56</v>
      </c>
      <c r="F23" s="979"/>
      <c r="G23" s="5"/>
      <c r="H23" s="980">
        <v>25</v>
      </c>
      <c r="I23" s="981"/>
      <c r="J23" s="980">
        <v>56</v>
      </c>
      <c r="K23" s="982"/>
    </row>
    <row r="24" spans="1:11" ht="16.5" thickTop="1" thickBot="1" x14ac:dyDescent="0.3">
      <c r="A24" s="33" t="s">
        <v>24</v>
      </c>
      <c r="B24" s="983">
        <v>1</v>
      </c>
      <c r="C24" s="984"/>
      <c r="D24" s="480"/>
      <c r="E24" s="985" t="s">
        <v>53</v>
      </c>
      <c r="F24" s="986"/>
      <c r="G24" s="986"/>
      <c r="H24" s="987"/>
      <c r="I24" s="988">
        <v>0</v>
      </c>
      <c r="J24" s="989"/>
      <c r="K24" s="6"/>
    </row>
    <row r="25" spans="1:11" ht="12.6" customHeight="1" thickBot="1" x14ac:dyDescent="0.3">
      <c r="A25" s="990" t="s">
        <v>25</v>
      </c>
      <c r="B25" s="991"/>
      <c r="C25" s="991"/>
      <c r="D25" s="991"/>
      <c r="E25" s="991"/>
      <c r="F25" s="991"/>
      <c r="G25" s="991"/>
      <c r="H25" s="991"/>
      <c r="I25" s="991"/>
      <c r="J25" s="991"/>
      <c r="K25" s="992"/>
    </row>
    <row r="26" spans="1:11" ht="13.9" customHeight="1" thickTop="1" x14ac:dyDescent="0.25">
      <c r="A26" s="34" t="s">
        <v>26</v>
      </c>
      <c r="B26" s="993" t="s">
        <v>303</v>
      </c>
      <c r="C26" s="994"/>
      <c r="D26" s="993" t="s">
        <v>303</v>
      </c>
      <c r="E26" s="994"/>
      <c r="F26" s="993" t="s">
        <v>303</v>
      </c>
      <c r="G26" s="994"/>
      <c r="H26" s="993" t="s">
        <v>303</v>
      </c>
      <c r="I26" s="994"/>
      <c r="J26" s="995" t="s">
        <v>303</v>
      </c>
      <c r="K26" s="996"/>
    </row>
    <row r="27" spans="1:11" ht="13.9" customHeight="1" x14ac:dyDescent="0.25">
      <c r="A27" s="35" t="s">
        <v>54</v>
      </c>
      <c r="B27" s="997">
        <v>4</v>
      </c>
      <c r="C27" s="998"/>
      <c r="D27" s="997">
        <v>6</v>
      </c>
      <c r="E27" s="998"/>
      <c r="F27" s="997">
        <v>8</v>
      </c>
      <c r="G27" s="998"/>
      <c r="H27" s="997">
        <v>10</v>
      </c>
      <c r="I27" s="998"/>
      <c r="J27" s="986">
        <v>12</v>
      </c>
      <c r="K27" s="999"/>
    </row>
    <row r="28" spans="1:11" ht="10.9" customHeight="1" x14ac:dyDescent="0.25">
      <c r="A28" s="35" t="s">
        <v>27</v>
      </c>
      <c r="B28" s="997">
        <v>4032</v>
      </c>
      <c r="C28" s="998"/>
      <c r="D28" s="997">
        <v>4032</v>
      </c>
      <c r="E28" s="998"/>
      <c r="F28" s="997">
        <v>4032</v>
      </c>
      <c r="G28" s="998"/>
      <c r="H28" s="997">
        <v>4032</v>
      </c>
      <c r="I28" s="998"/>
      <c r="J28" s="997">
        <v>4032</v>
      </c>
      <c r="K28" s="998"/>
    </row>
    <row r="29" spans="1:11" ht="13.9" customHeight="1" x14ac:dyDescent="0.25">
      <c r="A29" s="35" t="s">
        <v>28</v>
      </c>
      <c r="B29" s="997">
        <v>5975</v>
      </c>
      <c r="C29" s="998"/>
      <c r="D29" s="997">
        <v>6132</v>
      </c>
      <c r="E29" s="998"/>
      <c r="F29" s="997">
        <v>6174</v>
      </c>
      <c r="G29" s="998"/>
      <c r="H29" s="997">
        <v>6124</v>
      </c>
      <c r="I29" s="998"/>
      <c r="J29" s="986">
        <v>6074</v>
      </c>
      <c r="K29" s="999"/>
    </row>
    <row r="30" spans="1:11" ht="12" customHeight="1" x14ac:dyDescent="0.25">
      <c r="A30" s="36" t="s">
        <v>29</v>
      </c>
      <c r="B30" s="997">
        <f>B29-B28</f>
        <v>1943</v>
      </c>
      <c r="C30" s="998"/>
      <c r="D30" s="997">
        <f>D29-D28</f>
        <v>2100</v>
      </c>
      <c r="E30" s="998"/>
      <c r="F30" s="997">
        <f>F29-F28</f>
        <v>2142</v>
      </c>
      <c r="G30" s="998"/>
      <c r="H30" s="997">
        <f>H29-H28</f>
        <v>2092</v>
      </c>
      <c r="I30" s="998"/>
      <c r="J30" s="1000">
        <f>J29-J28</f>
        <v>2042</v>
      </c>
      <c r="K30" s="1001"/>
    </row>
    <row r="31" spans="1:11" ht="12.6" customHeight="1" x14ac:dyDescent="0.25">
      <c r="A31" s="37" t="s">
        <v>30</v>
      </c>
      <c r="B31" s="1005">
        <v>947</v>
      </c>
      <c r="C31" s="1006"/>
      <c r="D31" s="1005">
        <v>947</v>
      </c>
      <c r="E31" s="1006"/>
      <c r="F31" s="1005">
        <v>947</v>
      </c>
      <c r="G31" s="1006"/>
      <c r="H31" s="1005">
        <v>947</v>
      </c>
      <c r="I31" s="1006"/>
      <c r="J31" s="1005">
        <v>947</v>
      </c>
      <c r="K31" s="1006"/>
    </row>
    <row r="32" spans="1:11" ht="13.9" customHeight="1" x14ac:dyDescent="0.25">
      <c r="A32" s="38" t="s">
        <v>31</v>
      </c>
      <c r="B32" s="1007">
        <f>B30*1/B31</f>
        <v>2.051742344244984</v>
      </c>
      <c r="C32" s="1008"/>
      <c r="D32" s="1007">
        <f>D30*1/D31</f>
        <v>2.2175290390707496</v>
      </c>
      <c r="E32" s="1008"/>
      <c r="F32" s="1007">
        <f>F30*1/F31</f>
        <v>2.2618796198521647</v>
      </c>
      <c r="G32" s="1008"/>
      <c r="H32" s="1007">
        <f>H30*1/H31</f>
        <v>2.2090813093980994</v>
      </c>
      <c r="I32" s="1008"/>
      <c r="J32" s="1009">
        <f>J30*1/J31</f>
        <v>2.1562829989440337</v>
      </c>
      <c r="K32" s="1010"/>
    </row>
    <row r="33" spans="1:11" ht="12" customHeight="1" thickBot="1" x14ac:dyDescent="0.3">
      <c r="A33" s="39" t="s">
        <v>32</v>
      </c>
      <c r="B33" s="578">
        <f>(B32)*100/(100+B41)</f>
        <v>1.9713938627874381</v>
      </c>
      <c r="C33" s="594"/>
      <c r="D33" s="578">
        <f>(D32)*100/(100+D41)</f>
        <v>2.0889524510037445</v>
      </c>
      <c r="E33" s="594"/>
      <c r="F33" s="578">
        <f>(F32)*100/(100+F41)</f>
        <v>2.0916241739539396</v>
      </c>
      <c r="G33" s="594"/>
      <c r="H33" s="578">
        <f>(H32)*100/(100+H41)</f>
        <v>2.0055835099308439</v>
      </c>
      <c r="I33" s="594"/>
      <c r="J33" s="578">
        <f>(J32)*100/(100+J41)</f>
        <v>1.9245185577208863</v>
      </c>
      <c r="K33" s="579"/>
    </row>
    <row r="34" spans="1:11" ht="11.45" customHeight="1" thickTop="1" thickBot="1" x14ac:dyDescent="0.3">
      <c r="A34" s="1002" t="s">
        <v>33</v>
      </c>
      <c r="B34" s="1003"/>
      <c r="C34" s="1003"/>
      <c r="D34" s="1003"/>
      <c r="E34" s="1003"/>
      <c r="F34" s="1003"/>
      <c r="G34" s="1003"/>
      <c r="H34" s="1003"/>
      <c r="I34" s="1003"/>
      <c r="J34" s="1003"/>
      <c r="K34" s="1004"/>
    </row>
    <row r="35" spans="1:11" ht="15.75" thickTop="1" x14ac:dyDescent="0.25">
      <c r="A35" s="40" t="s">
        <v>34</v>
      </c>
      <c r="B35" s="41" t="s">
        <v>310</v>
      </c>
      <c r="C35" s="42">
        <v>10</v>
      </c>
      <c r="D35" s="41">
        <v>23</v>
      </c>
      <c r="E35" s="42">
        <v>40</v>
      </c>
      <c r="F35" s="41">
        <v>43</v>
      </c>
      <c r="G35" s="42" t="s">
        <v>314</v>
      </c>
      <c r="H35" s="41">
        <v>33</v>
      </c>
      <c r="I35" s="42" t="s">
        <v>315</v>
      </c>
      <c r="J35" s="41">
        <v>88</v>
      </c>
      <c r="K35" s="43">
        <v>4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33.200000000000003</v>
      </c>
      <c r="F36" s="45">
        <v>35.5</v>
      </c>
      <c r="G36" s="46">
        <v>34.700000000000003</v>
      </c>
      <c r="H36" s="45">
        <v>23.2</v>
      </c>
      <c r="I36" s="46">
        <v>15.3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171.4</v>
      </c>
      <c r="C37" s="46">
        <v>254.4</v>
      </c>
      <c r="D37" s="45">
        <v>268.89999999999998</v>
      </c>
      <c r="E37" s="46">
        <v>256.2</v>
      </c>
      <c r="F37" s="45">
        <v>213.4</v>
      </c>
      <c r="G37" s="46">
        <v>231.6</v>
      </c>
      <c r="H37" s="45">
        <v>167.8</v>
      </c>
      <c r="I37" s="46">
        <v>143.19999999999999</v>
      </c>
      <c r="J37" s="45">
        <v>264.8</v>
      </c>
      <c r="K37" s="47">
        <v>270.10000000000002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255.4</v>
      </c>
      <c r="E38" s="46">
        <v>243.2</v>
      </c>
      <c r="F38" s="45">
        <v>199.9</v>
      </c>
      <c r="G38" s="46">
        <v>216.9</v>
      </c>
      <c r="H38" s="45">
        <v>154.5</v>
      </c>
      <c r="I38" s="46">
        <v>131.4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220.60000000000002</v>
      </c>
      <c r="E39" s="46">
        <f t="shared" si="0"/>
        <v>210</v>
      </c>
      <c r="F39" s="45">
        <f t="shared" si="0"/>
        <v>164.4</v>
      </c>
      <c r="G39" s="46">
        <f t="shared" si="0"/>
        <v>182.2</v>
      </c>
      <c r="H39" s="45">
        <f t="shared" si="0"/>
        <v>131.30000000000001</v>
      </c>
      <c r="I39" s="46">
        <f t="shared" si="0"/>
        <v>116.10000000000001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4.0775401069518669</v>
      </c>
      <c r="C40" s="50">
        <f>((C37)-(C38))*100/C39</f>
        <v>4.0738986262434835</v>
      </c>
      <c r="D40" s="49">
        <f t="shared" ref="D40:K40" si="1">((D37)-(D38))*100/D39</f>
        <v>6.1196736174070585</v>
      </c>
      <c r="E40" s="50">
        <f t="shared" si="1"/>
        <v>6.1904761904761907</v>
      </c>
      <c r="F40" s="49">
        <f t="shared" si="1"/>
        <v>8.2116788321167888</v>
      </c>
      <c r="G40" s="50">
        <f t="shared" si="1"/>
        <v>8.0680570801317177</v>
      </c>
      <c r="H40" s="49">
        <f t="shared" si="1"/>
        <v>10.129474485910137</v>
      </c>
      <c r="I40" s="50">
        <f t="shared" si="1"/>
        <v>10.163652024117123</v>
      </c>
      <c r="J40" s="49">
        <f t="shared" si="1"/>
        <v>12.058111380145281</v>
      </c>
      <c r="K40" s="51">
        <f t="shared" si="1"/>
        <v>12.027334851936235</v>
      </c>
    </row>
    <row r="41" spans="1:11" ht="13.9" customHeight="1" thickBot="1" x14ac:dyDescent="0.3">
      <c r="A41" s="52" t="s">
        <v>40</v>
      </c>
      <c r="B41" s="580">
        <f>AVERAGE(B40:C40)</f>
        <v>4.0757193665976752</v>
      </c>
      <c r="C41" s="580"/>
      <c r="D41" s="580">
        <f>AVERAGE(D40:E40)</f>
        <v>6.1550749039416246</v>
      </c>
      <c r="E41" s="580"/>
      <c r="F41" s="580">
        <f>AVERAGE(F40:G40)</f>
        <v>8.1398679561242524</v>
      </c>
      <c r="G41" s="580"/>
      <c r="H41" s="580">
        <f>AVERAGE(H40:I40)</f>
        <v>10.14656325501363</v>
      </c>
      <c r="I41" s="580"/>
      <c r="J41" s="580">
        <f>AVERAGE(J40:K40)</f>
        <v>12.042723116040758</v>
      </c>
      <c r="K41" s="591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11">
        <f>O52</f>
        <v>2.1030000000000002</v>
      </c>
      <c r="C43" s="1012"/>
      <c r="D43" s="54"/>
      <c r="E43" s="54"/>
      <c r="F43" s="1013" t="s">
        <v>41</v>
      </c>
      <c r="G43" s="1014"/>
      <c r="H43" s="1015"/>
      <c r="I43" s="1019">
        <f>B43</f>
        <v>2.1030000000000002</v>
      </c>
      <c r="J43" s="1020"/>
      <c r="K43" s="54" t="s">
        <v>42</v>
      </c>
    </row>
    <row r="44" spans="1:11" ht="13.9" customHeight="1" x14ac:dyDescent="0.25">
      <c r="A44" s="55" t="s">
        <v>43</v>
      </c>
      <c r="B44" s="1021">
        <f>N52</f>
        <v>7.2</v>
      </c>
      <c r="C44" s="1022"/>
      <c r="D44" s="54"/>
      <c r="E44" s="54"/>
      <c r="F44" s="1016"/>
      <c r="G44" s="1017"/>
      <c r="H44" s="1018"/>
      <c r="I44" s="1023">
        <f>B44</f>
        <v>7.2</v>
      </c>
      <c r="J44" s="1024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7.2</v>
      </c>
      <c r="O52" s="9">
        <v>2.1030000000000002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7.2</v>
      </c>
      <c r="O53" s="9">
        <v>1.96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2.1030000000000002</v>
      </c>
      <c r="O55" s="9">
        <v>9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2.1030000000000002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38" zoomScale="160" zoomScaleNormal="160" workbookViewId="0">
      <selection activeCell="H29" sqref="H29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134" t="s">
        <v>60</v>
      </c>
      <c r="H1" s="1135"/>
      <c r="I1" s="1135"/>
      <c r="J1" s="1135"/>
      <c r="K1" s="1135"/>
      <c r="L1" s="1136"/>
      <c r="M1" s="61"/>
      <c r="N1" s="1140" t="s">
        <v>61</v>
      </c>
      <c r="O1" s="1141"/>
      <c r="P1" s="1141"/>
      <c r="Q1" s="1142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137"/>
      <c r="H2" s="1138"/>
      <c r="I2" s="1138"/>
      <c r="J2" s="1138"/>
      <c r="K2" s="1138"/>
      <c r="L2" s="1139"/>
      <c r="M2" s="66"/>
      <c r="N2" s="1143" t="s">
        <v>309</v>
      </c>
      <c r="O2" s="1144"/>
      <c r="P2" s="1144"/>
      <c r="Q2" s="1145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146" t="s">
        <v>62</v>
      </c>
      <c r="H3" s="1147"/>
      <c r="I3" s="1147"/>
      <c r="J3" s="1147"/>
      <c r="K3" s="1147"/>
      <c r="L3" s="1148"/>
      <c r="M3" s="63"/>
      <c r="N3" s="70"/>
      <c r="O3" s="70"/>
      <c r="P3" s="70"/>
      <c r="Q3" s="71"/>
      <c r="R3" s="65"/>
    </row>
    <row r="4" spans="1:18" ht="15.75" thickBot="1" x14ac:dyDescent="0.3">
      <c r="A4" s="1126" t="s">
        <v>63</v>
      </c>
      <c r="B4" s="1121"/>
      <c r="C4" s="1122"/>
      <c r="D4" s="1149" t="s">
        <v>327</v>
      </c>
      <c r="E4" s="1150"/>
      <c r="F4" s="1150"/>
      <c r="G4" s="1150"/>
      <c r="H4" s="1150"/>
      <c r="I4" s="1151"/>
      <c r="J4" s="1121" t="s">
        <v>64</v>
      </c>
      <c r="K4" s="1121"/>
      <c r="L4" s="1121"/>
      <c r="M4" s="1122"/>
      <c r="N4" s="1152"/>
      <c r="O4" s="1150"/>
      <c r="P4" s="1150"/>
      <c r="Q4" s="1151"/>
      <c r="R4" s="72"/>
    </row>
    <row r="5" spans="1:18" ht="15.75" thickBot="1" x14ac:dyDescent="0.3">
      <c r="A5" s="1126" t="s">
        <v>65</v>
      </c>
      <c r="B5" s="1121"/>
      <c r="C5" s="1122"/>
      <c r="D5" s="1127"/>
      <c r="E5" s="1128"/>
      <c r="F5" s="1128"/>
      <c r="G5" s="1128"/>
      <c r="H5" s="1128"/>
      <c r="I5" s="1129"/>
      <c r="J5" s="1121" t="s">
        <v>66</v>
      </c>
      <c r="K5" s="1121"/>
      <c r="L5" s="1121"/>
      <c r="M5" s="1122"/>
      <c r="N5" s="1130" t="s">
        <v>329</v>
      </c>
      <c r="O5" s="1131"/>
      <c r="P5" s="1131"/>
      <c r="Q5" s="1132"/>
      <c r="R5" s="72"/>
    </row>
    <row r="6" spans="1:18" ht="12.6" customHeight="1" thickBot="1" x14ac:dyDescent="0.3">
      <c r="A6" s="1126" t="s">
        <v>67</v>
      </c>
      <c r="B6" s="1121"/>
      <c r="C6" s="1122"/>
      <c r="D6" s="1133"/>
      <c r="E6" s="1128"/>
      <c r="F6" s="1128"/>
      <c r="G6" s="1128"/>
      <c r="H6" s="1128"/>
      <c r="I6" s="1129"/>
      <c r="J6" s="1121" t="s">
        <v>68</v>
      </c>
      <c r="K6" s="1121"/>
      <c r="L6" s="1121"/>
      <c r="M6" s="1122"/>
      <c r="N6" s="1133"/>
      <c r="O6" s="1128"/>
      <c r="P6" s="1128"/>
      <c r="Q6" s="1129"/>
      <c r="R6" s="72"/>
    </row>
    <row r="7" spans="1:18" ht="12.6" customHeight="1" thickBot="1" x14ac:dyDescent="0.3">
      <c r="A7" s="1126" t="s">
        <v>69</v>
      </c>
      <c r="B7" s="1121"/>
      <c r="C7" s="1121"/>
      <c r="D7" s="1152" t="s">
        <v>328</v>
      </c>
      <c r="E7" s="1153"/>
      <c r="F7" s="1153"/>
      <c r="G7" s="1153"/>
      <c r="H7" s="1153"/>
      <c r="I7" s="1154"/>
      <c r="J7" s="1121" t="s">
        <v>70</v>
      </c>
      <c r="K7" s="1121"/>
      <c r="L7" s="1121"/>
      <c r="M7" s="1122"/>
      <c r="N7" s="1155"/>
      <c r="O7" s="1128"/>
      <c r="P7" s="1128"/>
      <c r="Q7" s="1129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21" t="s">
        <v>71</v>
      </c>
      <c r="K8" s="1121"/>
      <c r="L8" s="1121"/>
      <c r="M8" s="1122"/>
      <c r="N8" s="1123" t="s">
        <v>330</v>
      </c>
      <c r="O8" s="1124"/>
      <c r="P8" s="1124"/>
      <c r="Q8" s="1125"/>
      <c r="R8" s="72"/>
    </row>
    <row r="9" spans="1:18" ht="15.75" thickBot="1" x14ac:dyDescent="0.3">
      <c r="A9" s="1101" t="s">
        <v>72</v>
      </c>
      <c r="B9" s="1104" t="s">
        <v>73</v>
      </c>
      <c r="C9" s="1105"/>
      <c r="D9" s="1106"/>
      <c r="E9" s="76"/>
      <c r="F9" s="77"/>
      <c r="G9" s="78"/>
      <c r="H9" s="1107" t="s">
        <v>74</v>
      </c>
      <c r="I9" s="1096" t="s">
        <v>75</v>
      </c>
      <c r="J9" s="1097"/>
      <c r="K9" s="76" t="s">
        <v>76</v>
      </c>
      <c r="L9" s="78"/>
      <c r="M9" s="1109" t="s">
        <v>77</v>
      </c>
      <c r="N9" s="1110"/>
      <c r="O9" s="1096" t="s">
        <v>78</v>
      </c>
      <c r="P9" s="1097"/>
      <c r="Q9" s="79" t="s">
        <v>76</v>
      </c>
      <c r="R9" s="72"/>
    </row>
    <row r="10" spans="1:18" ht="19.149999999999999" customHeight="1" thickBot="1" x14ac:dyDescent="0.3">
      <c r="A10" s="1102"/>
      <c r="B10" s="1096" t="s">
        <v>79</v>
      </c>
      <c r="C10" s="1115"/>
      <c r="D10" s="1097"/>
      <c r="E10" s="80" t="s">
        <v>76</v>
      </c>
      <c r="F10" s="77"/>
      <c r="G10" s="78"/>
      <c r="H10" s="1108"/>
      <c r="I10" s="1116" t="s">
        <v>80</v>
      </c>
      <c r="J10" s="1117"/>
      <c r="K10" s="80">
        <v>2</v>
      </c>
      <c r="L10" s="78"/>
      <c r="M10" s="1111"/>
      <c r="N10" s="1112"/>
      <c r="O10" s="1096" t="s">
        <v>81</v>
      </c>
      <c r="P10" s="1097"/>
      <c r="Q10" s="81"/>
      <c r="R10" s="72"/>
    </row>
    <row r="11" spans="1:18" ht="12" customHeight="1" thickBot="1" x14ac:dyDescent="0.3">
      <c r="A11" s="1102"/>
      <c r="B11" s="1118" t="s">
        <v>82</v>
      </c>
      <c r="C11" s="1119"/>
      <c r="D11" s="1120"/>
      <c r="E11" s="82"/>
      <c r="F11" s="77"/>
      <c r="G11" s="77"/>
      <c r="H11" s="83"/>
      <c r="I11" s="1090"/>
      <c r="J11" s="1090"/>
      <c r="K11" s="83"/>
      <c r="L11" s="78"/>
      <c r="M11" s="1113"/>
      <c r="N11" s="1114"/>
      <c r="O11" s="84" t="s">
        <v>83</v>
      </c>
      <c r="P11" s="1091" t="s">
        <v>84</v>
      </c>
      <c r="Q11" s="1092"/>
      <c r="R11" s="72"/>
    </row>
    <row r="12" spans="1:18" ht="15.75" thickBot="1" x14ac:dyDescent="0.3">
      <c r="A12" s="1103"/>
      <c r="B12" s="1093" t="s">
        <v>85</v>
      </c>
      <c r="C12" s="1094"/>
      <c r="D12" s="1095"/>
      <c r="E12" s="85" t="s">
        <v>86</v>
      </c>
      <c r="F12" s="77"/>
      <c r="G12" s="78"/>
      <c r="H12" s="1096" t="s">
        <v>87</v>
      </c>
      <c r="I12" s="1097"/>
      <c r="J12" s="310">
        <f>'Proctor C01 (2)'!B43</f>
        <v>2.1030000000000002</v>
      </c>
      <c r="K12" s="86" t="s">
        <v>88</v>
      </c>
      <c r="L12" s="78"/>
      <c r="M12" s="1098" t="s">
        <v>89</v>
      </c>
      <c r="N12" s="1099"/>
      <c r="O12" s="1100"/>
      <c r="P12" s="312">
        <f>J12</f>
        <v>2.1030000000000002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93" t="s">
        <v>91</v>
      </c>
      <c r="I13" s="1095"/>
      <c r="J13" s="311">
        <f>'Proctor C01 (2)'!B44</f>
        <v>7.2</v>
      </c>
      <c r="K13" s="86" t="s">
        <v>44</v>
      </c>
      <c r="L13" s="77"/>
      <c r="M13" s="1096" t="s">
        <v>92</v>
      </c>
      <c r="N13" s="1097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76" t="s">
        <v>94</v>
      </c>
      <c r="B14" s="1077"/>
      <c r="C14" s="1077"/>
      <c r="D14" s="1077"/>
      <c r="E14" s="1077"/>
      <c r="F14" s="1077"/>
      <c r="G14" s="1077"/>
      <c r="H14" s="1077"/>
      <c r="I14" s="1077"/>
      <c r="J14" s="1077"/>
      <c r="K14" s="1077"/>
      <c r="L14" s="1077"/>
      <c r="M14" s="1077"/>
      <c r="N14" s="1077"/>
      <c r="O14" s="1077"/>
      <c r="P14" s="1077"/>
      <c r="Q14" s="1077"/>
      <c r="R14" s="1078"/>
    </row>
    <row r="15" spans="1:18" ht="15.75" thickBot="1" x14ac:dyDescent="0.3">
      <c r="A15" s="1079" t="s">
        <v>95</v>
      </c>
      <c r="B15" s="1080"/>
      <c r="C15" s="1080"/>
      <c r="D15" s="1080"/>
      <c r="E15" s="1080"/>
      <c r="F15" s="1080"/>
      <c r="G15" s="1080"/>
      <c r="H15" s="1080"/>
      <c r="I15" s="1080"/>
      <c r="J15" s="1080"/>
      <c r="K15" s="1079" t="s">
        <v>96</v>
      </c>
      <c r="L15" s="1080"/>
      <c r="M15" s="1080"/>
      <c r="N15" s="1080"/>
      <c r="O15" s="1080"/>
      <c r="P15" s="1080"/>
      <c r="Q15" s="1080"/>
      <c r="R15" s="1081"/>
    </row>
    <row r="16" spans="1:18" x14ac:dyDescent="0.25">
      <c r="A16" s="1082" t="s">
        <v>97</v>
      </c>
      <c r="B16" s="1083"/>
      <c r="C16" s="1084">
        <v>56</v>
      </c>
      <c r="D16" s="1085"/>
      <c r="E16" s="1086">
        <v>25</v>
      </c>
      <c r="F16" s="1087"/>
      <c r="G16" s="1084">
        <v>10</v>
      </c>
      <c r="H16" s="1085"/>
      <c r="I16" s="91"/>
      <c r="J16" s="1083" t="s">
        <v>98</v>
      </c>
      <c r="K16" s="1083"/>
      <c r="L16" s="1083"/>
      <c r="M16" s="1088" t="s">
        <v>99</v>
      </c>
      <c r="N16" s="1088"/>
      <c r="O16" s="1088"/>
      <c r="P16" s="1083" t="s">
        <v>100</v>
      </c>
      <c r="Q16" s="1083"/>
      <c r="R16" s="1089"/>
    </row>
    <row r="17" spans="1:18" ht="18.75" thickBot="1" x14ac:dyDescent="0.3">
      <c r="A17" s="1074" t="s">
        <v>101</v>
      </c>
      <c r="B17" s="1075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58" t="s">
        <v>105</v>
      </c>
      <c r="B18" s="1059"/>
      <c r="C18" s="489" t="s">
        <v>322</v>
      </c>
      <c r="D18" s="99" t="s">
        <v>323</v>
      </c>
      <c r="E18" s="98" t="s">
        <v>324</v>
      </c>
      <c r="F18" s="99" t="s">
        <v>325</v>
      </c>
      <c r="G18" s="99" t="s">
        <v>316</v>
      </c>
      <c r="H18" s="99" t="s">
        <v>326</v>
      </c>
      <c r="I18" s="100"/>
      <c r="J18" s="101">
        <v>0</v>
      </c>
      <c r="K18" s="469">
        <v>0</v>
      </c>
      <c r="L18" s="468">
        <v>0</v>
      </c>
      <c r="M18" s="92">
        <v>0</v>
      </c>
      <c r="N18" s="469">
        <v>0</v>
      </c>
      <c r="O18" s="468">
        <v>0</v>
      </c>
      <c r="P18" s="92">
        <v>0</v>
      </c>
      <c r="Q18" s="471">
        <v>0</v>
      </c>
      <c r="R18" s="468">
        <v>0</v>
      </c>
    </row>
    <row r="19" spans="1:18" x14ac:dyDescent="0.25">
      <c r="A19" s="1058" t="s">
        <v>106</v>
      </c>
      <c r="B19" s="1059"/>
      <c r="C19" s="102">
        <v>24.4</v>
      </c>
      <c r="D19" s="103">
        <v>37.200000000000003</v>
      </c>
      <c r="E19" s="102">
        <v>35.299999999999997</v>
      </c>
      <c r="F19" s="103">
        <v>35.4</v>
      </c>
      <c r="G19" s="103">
        <v>23.4</v>
      </c>
      <c r="H19" s="103">
        <v>34.700000000000003</v>
      </c>
      <c r="I19" s="104"/>
      <c r="J19" s="105">
        <v>0.5</v>
      </c>
      <c r="K19" s="128">
        <v>0.22</v>
      </c>
      <c r="L19" s="468">
        <f t="shared" ref="L19:L26" si="0">((K19*9.8977)-0.3056)*10</f>
        <v>18.718940000000003</v>
      </c>
      <c r="M19" s="106">
        <v>0.5</v>
      </c>
      <c r="N19" s="128">
        <v>0.12</v>
      </c>
      <c r="O19" s="468">
        <f t="shared" ref="O19:O26" si="1">((N19*9.8977)-0.3056)*10</f>
        <v>8.8212399999999995</v>
      </c>
      <c r="P19" s="106">
        <v>0.5</v>
      </c>
      <c r="Q19" s="472">
        <v>7.0000000000000007E-2</v>
      </c>
      <c r="R19" s="468">
        <f t="shared" ref="R19:R26" si="2">((Q19*9.8977)-0.3056)*10</f>
        <v>3.8723900000000011</v>
      </c>
    </row>
    <row r="20" spans="1:18" x14ac:dyDescent="0.25">
      <c r="A20" s="1058" t="s">
        <v>107</v>
      </c>
      <c r="B20" s="1059"/>
      <c r="C20" s="476">
        <v>199.9</v>
      </c>
      <c r="D20" s="107">
        <v>213.2</v>
      </c>
      <c r="E20" s="476">
        <v>246.8</v>
      </c>
      <c r="F20" s="103">
        <v>242</v>
      </c>
      <c r="G20" s="107">
        <v>140</v>
      </c>
      <c r="H20" s="107">
        <v>197.8</v>
      </c>
      <c r="I20" s="100"/>
      <c r="J20" s="108">
        <v>1</v>
      </c>
      <c r="K20" s="128">
        <v>1.6</v>
      </c>
      <c r="L20" s="468">
        <f t="shared" si="0"/>
        <v>155.30719999999999</v>
      </c>
      <c r="M20" s="93">
        <v>1</v>
      </c>
      <c r="N20" s="128">
        <v>0.87</v>
      </c>
      <c r="O20" s="468">
        <f t="shared" si="1"/>
        <v>83.053989999999999</v>
      </c>
      <c r="P20" s="93">
        <v>1</v>
      </c>
      <c r="Q20" s="472">
        <v>0.43</v>
      </c>
      <c r="R20" s="468">
        <f t="shared" si="2"/>
        <v>39.504109999999997</v>
      </c>
    </row>
    <row r="21" spans="1:18" x14ac:dyDescent="0.25">
      <c r="A21" s="1058" t="s">
        <v>108</v>
      </c>
      <c r="B21" s="1059"/>
      <c r="C21" s="98">
        <v>188.1</v>
      </c>
      <c r="D21" s="99">
        <v>201.4</v>
      </c>
      <c r="E21" s="98">
        <v>232.6</v>
      </c>
      <c r="F21" s="99">
        <v>228.1</v>
      </c>
      <c r="G21" s="99">
        <v>132.19999999999999</v>
      </c>
      <c r="H21" s="99">
        <v>186.9</v>
      </c>
      <c r="I21" s="100"/>
      <c r="J21" s="109">
        <v>1.5</v>
      </c>
      <c r="K21" s="128">
        <v>2.75</v>
      </c>
      <c r="L21" s="468">
        <f t="shared" si="0"/>
        <v>269.13075000000003</v>
      </c>
      <c r="M21" s="110">
        <v>1.5</v>
      </c>
      <c r="N21" s="128">
        <v>1.89</v>
      </c>
      <c r="O21" s="468">
        <f t="shared" si="1"/>
        <v>184.01053000000002</v>
      </c>
      <c r="P21" s="110">
        <v>1.5</v>
      </c>
      <c r="Q21" s="128">
        <v>0.93</v>
      </c>
      <c r="R21" s="468">
        <f t="shared" si="2"/>
        <v>88.992610000000013</v>
      </c>
    </row>
    <row r="22" spans="1:18" x14ac:dyDescent="0.25">
      <c r="A22" s="1058" t="s">
        <v>109</v>
      </c>
      <c r="B22" s="1059"/>
      <c r="C22" s="111">
        <f>IF(C21&lt;&gt;0, (C20-C21)/(C21-C19)*100, "")</f>
        <v>7.2083078802687925</v>
      </c>
      <c r="D22" s="112">
        <f>(D20-D21)/(D21-D19)*100</f>
        <v>7.1863580998781877</v>
      </c>
      <c r="E22" s="111">
        <f>IF(E21&lt;&gt;0, (E20-E21)/(E21-E19)*100, "")</f>
        <v>7.1971616827166836</v>
      </c>
      <c r="F22" s="112">
        <f>(F20-F21)/(F21-F19)*100</f>
        <v>7.213284898806438</v>
      </c>
      <c r="G22" s="112">
        <f>(G20-G21)/(G21-G19)*100</f>
        <v>7.1691176470588358</v>
      </c>
      <c r="H22" s="112">
        <f>(H20-H21)/(H21-H19)*100</f>
        <v>7.1616294349540119</v>
      </c>
      <c r="I22" s="113"/>
      <c r="J22" s="109">
        <v>2</v>
      </c>
      <c r="K22" s="488">
        <v>3.55</v>
      </c>
      <c r="L22" s="468">
        <f t="shared" si="0"/>
        <v>348.31234999999998</v>
      </c>
      <c r="M22" s="110">
        <v>2</v>
      </c>
      <c r="N22" s="488">
        <v>2.5299999999999998</v>
      </c>
      <c r="O22" s="468">
        <f t="shared" si="1"/>
        <v>247.35580999999999</v>
      </c>
      <c r="P22" s="110">
        <v>2</v>
      </c>
      <c r="Q22" s="128">
        <v>1.27</v>
      </c>
      <c r="R22" s="468">
        <f t="shared" si="2"/>
        <v>122.64479</v>
      </c>
    </row>
    <row r="23" spans="1:18" x14ac:dyDescent="0.25">
      <c r="A23" s="1058" t="s">
        <v>110</v>
      </c>
      <c r="B23" s="1059"/>
      <c r="C23" s="647">
        <f>AVERAGE(C22:D22)</f>
        <v>7.1973329900734901</v>
      </c>
      <c r="D23" s="648"/>
      <c r="E23" s="647">
        <f>AVERAGE(E22:F22)</f>
        <v>7.2052232907615608</v>
      </c>
      <c r="F23" s="648"/>
      <c r="G23" s="647">
        <f>AVERAGE(G22:H22)</f>
        <v>7.1653735410064243</v>
      </c>
      <c r="H23" s="648"/>
      <c r="I23" s="114"/>
      <c r="J23" s="109">
        <v>2.5</v>
      </c>
      <c r="K23" s="128">
        <v>4.2</v>
      </c>
      <c r="L23" s="468">
        <f t="shared" si="0"/>
        <v>412.64740000000006</v>
      </c>
      <c r="M23" s="110">
        <v>2.5</v>
      </c>
      <c r="N23" s="128">
        <v>2.96</v>
      </c>
      <c r="O23" s="468">
        <f t="shared" si="1"/>
        <v>289.91592000000003</v>
      </c>
      <c r="P23" s="110">
        <v>2.5</v>
      </c>
      <c r="Q23" s="128">
        <v>1.68</v>
      </c>
      <c r="R23" s="468">
        <f t="shared" si="2"/>
        <v>163.22536000000002</v>
      </c>
    </row>
    <row r="24" spans="1:18" x14ac:dyDescent="0.25">
      <c r="A24" s="1071" t="s">
        <v>111</v>
      </c>
      <c r="B24" s="1072"/>
      <c r="C24" s="1073">
        <f>C23/J13*100</f>
        <v>99.962958195465134</v>
      </c>
      <c r="D24" s="1073"/>
      <c r="E24" s="1073">
        <f>E23/J13*100</f>
        <v>100.07254570502167</v>
      </c>
      <c r="F24" s="1073"/>
      <c r="G24" s="647">
        <f>G23/J13*100</f>
        <v>99.519076958422559</v>
      </c>
      <c r="H24" s="648"/>
      <c r="I24" s="114"/>
      <c r="J24" s="109">
        <v>5</v>
      </c>
      <c r="K24" s="128">
        <v>4.9400000000000004</v>
      </c>
      <c r="L24" s="468">
        <f t="shared" si="0"/>
        <v>485.89038000000011</v>
      </c>
      <c r="M24" s="110">
        <v>5</v>
      </c>
      <c r="N24" s="128">
        <v>3.69</v>
      </c>
      <c r="O24" s="468">
        <f t="shared" si="1"/>
        <v>362.16913000000005</v>
      </c>
      <c r="P24" s="110">
        <v>5</v>
      </c>
      <c r="Q24" s="128">
        <v>2.0299999999999998</v>
      </c>
      <c r="R24" s="468">
        <f t="shared" si="2"/>
        <v>197.86731</v>
      </c>
    </row>
    <row r="25" spans="1:18" x14ac:dyDescent="0.25">
      <c r="A25" s="1063" t="s">
        <v>112</v>
      </c>
      <c r="B25" s="1064"/>
      <c r="C25" s="1064"/>
      <c r="D25" s="1064"/>
      <c r="E25" s="1064"/>
      <c r="F25" s="1064"/>
      <c r="G25" s="1064"/>
      <c r="H25" s="1065"/>
      <c r="I25" s="115"/>
      <c r="J25" s="109">
        <v>6</v>
      </c>
      <c r="K25" s="128">
        <v>5.2</v>
      </c>
      <c r="L25" s="468">
        <f t="shared" si="0"/>
        <v>511.62440000000004</v>
      </c>
      <c r="M25" s="110">
        <v>6</v>
      </c>
      <c r="N25" s="128">
        <v>3.75</v>
      </c>
      <c r="O25" s="468">
        <f t="shared" si="1"/>
        <v>368.10775000000007</v>
      </c>
      <c r="P25" s="110">
        <v>6</v>
      </c>
      <c r="Q25" s="128">
        <v>2.27</v>
      </c>
      <c r="R25" s="468">
        <f t="shared" si="2"/>
        <v>221.62179000000003</v>
      </c>
    </row>
    <row r="26" spans="1:18" ht="15.75" thickBot="1" x14ac:dyDescent="0.3">
      <c r="A26" s="1061" t="s">
        <v>113</v>
      </c>
      <c r="B26" s="1062"/>
      <c r="C26" s="1062"/>
      <c r="D26" s="99" t="s">
        <v>331</v>
      </c>
      <c r="E26" s="116"/>
      <c r="F26" s="99" t="s">
        <v>332</v>
      </c>
      <c r="G26" s="117"/>
      <c r="H26" s="99" t="s">
        <v>319</v>
      </c>
      <c r="I26" s="100"/>
      <c r="J26" s="118">
        <v>10</v>
      </c>
      <c r="K26" s="470">
        <v>5.93</v>
      </c>
      <c r="L26" s="468">
        <f t="shared" si="0"/>
        <v>583.87761</v>
      </c>
      <c r="M26" s="119">
        <v>10</v>
      </c>
      <c r="N26" s="470">
        <v>3.92</v>
      </c>
      <c r="O26" s="468">
        <f t="shared" si="1"/>
        <v>384.93384000000003</v>
      </c>
      <c r="P26" s="119">
        <v>10</v>
      </c>
      <c r="Q26" s="470">
        <v>2.65</v>
      </c>
      <c r="R26" s="468">
        <f t="shared" si="2"/>
        <v>259.23305000000005</v>
      </c>
    </row>
    <row r="27" spans="1:18" ht="15.75" thickBot="1" x14ac:dyDescent="0.3">
      <c r="A27" s="1061" t="s">
        <v>114</v>
      </c>
      <c r="B27" s="1062"/>
      <c r="C27" s="1062"/>
      <c r="D27" s="120">
        <v>3770</v>
      </c>
      <c r="E27" s="121"/>
      <c r="F27" s="120">
        <v>3742</v>
      </c>
      <c r="G27" s="122"/>
      <c r="H27" s="120">
        <v>3854</v>
      </c>
      <c r="I27" s="122"/>
      <c r="J27" s="1066"/>
      <c r="K27" s="1066"/>
      <c r="L27" s="1066"/>
      <c r="M27" s="1066"/>
      <c r="N27" s="1066"/>
      <c r="O27" s="1066"/>
      <c r="P27" s="1066"/>
      <c r="Q27" s="1066"/>
      <c r="R27" s="1067"/>
    </row>
    <row r="28" spans="1:18" x14ac:dyDescent="0.25">
      <c r="A28" s="1061" t="s">
        <v>115</v>
      </c>
      <c r="B28" s="1062"/>
      <c r="C28" s="1062"/>
      <c r="D28" s="120">
        <v>8955</v>
      </c>
      <c r="E28" s="121"/>
      <c r="F28" s="120">
        <v>8668</v>
      </c>
      <c r="G28" s="122"/>
      <c r="H28" s="120">
        <v>8521</v>
      </c>
      <c r="I28" s="123"/>
      <c r="J28" s="1068" t="s">
        <v>98</v>
      </c>
      <c r="K28" s="1069"/>
      <c r="L28" s="1069"/>
      <c r="M28" s="1069" t="s">
        <v>99</v>
      </c>
      <c r="N28" s="1069"/>
      <c r="O28" s="1069"/>
      <c r="P28" s="1069" t="s">
        <v>100</v>
      </c>
      <c r="Q28" s="1069"/>
      <c r="R28" s="1070"/>
    </row>
    <row r="29" spans="1:18" x14ac:dyDescent="0.25">
      <c r="A29" s="1061" t="s">
        <v>116</v>
      </c>
      <c r="B29" s="1062"/>
      <c r="C29" s="1062"/>
      <c r="D29" s="120">
        <v>2300</v>
      </c>
      <c r="E29" s="121"/>
      <c r="F29" s="120">
        <v>2300</v>
      </c>
      <c r="G29" s="124"/>
      <c r="H29" s="120">
        <v>2300</v>
      </c>
      <c r="I29" s="125"/>
      <c r="J29" s="1060" t="s">
        <v>105</v>
      </c>
      <c r="K29" s="1059"/>
      <c r="L29" s="99">
        <v>25</v>
      </c>
      <c r="M29" s="1059" t="s">
        <v>105</v>
      </c>
      <c r="N29" s="1059"/>
      <c r="O29" s="126">
        <v>43</v>
      </c>
      <c r="P29" s="1059" t="s">
        <v>105</v>
      </c>
      <c r="Q29" s="1059"/>
      <c r="R29" s="127" t="s">
        <v>314</v>
      </c>
    </row>
    <row r="30" spans="1:18" x14ac:dyDescent="0.25">
      <c r="A30" s="1058" t="s">
        <v>117</v>
      </c>
      <c r="B30" s="1059"/>
      <c r="C30" s="1059"/>
      <c r="D30" s="128">
        <f>IF(D28&lt;&gt;0, (D28-D27)/D29, "")</f>
        <v>2.2543478260869567</v>
      </c>
      <c r="E30" s="121"/>
      <c r="F30" s="128">
        <f>IF(F28&lt;&gt;0, (F28-F27)/F29*1, "")</f>
        <v>2.1417391304347828</v>
      </c>
      <c r="G30" s="122"/>
      <c r="H30" s="128">
        <f>IF(H28&lt;&gt;0, (H28-H27)/H29*1, "")</f>
        <v>2.0291304347826089</v>
      </c>
      <c r="I30" s="123"/>
      <c r="J30" s="1060" t="s">
        <v>118</v>
      </c>
      <c r="K30" s="1059"/>
      <c r="L30" s="99">
        <v>34.799999999999997</v>
      </c>
      <c r="M30" s="1059" t="s">
        <v>118</v>
      </c>
      <c r="N30" s="1059"/>
      <c r="O30" s="99">
        <v>23.6</v>
      </c>
      <c r="P30" s="1059" t="s">
        <v>118</v>
      </c>
      <c r="Q30" s="1059"/>
      <c r="R30" s="127">
        <v>40.5</v>
      </c>
    </row>
    <row r="31" spans="1:18" x14ac:dyDescent="0.25">
      <c r="A31" s="1058" t="s">
        <v>119</v>
      </c>
      <c r="B31" s="1059"/>
      <c r="C31" s="1059"/>
      <c r="D31" s="128">
        <f>IF(D28&lt;&gt;0, D30/(1+C23*0.01), "")</f>
        <v>2.1029887248180978</v>
      </c>
      <c r="E31" s="129"/>
      <c r="F31" s="128">
        <f>IF(F28&lt;&gt;0, F30/(1+E23*0.01), "")</f>
        <v>1.9977936379330761</v>
      </c>
      <c r="G31" s="130"/>
      <c r="H31" s="128">
        <f>IF(H28&lt;&gt;0, H30/(1+G23*0.01), "")</f>
        <v>1.8934571566683991</v>
      </c>
      <c r="I31" s="123"/>
      <c r="J31" s="1060" t="s">
        <v>107</v>
      </c>
      <c r="K31" s="1059"/>
      <c r="L31" s="107">
        <v>183.74</v>
      </c>
      <c r="M31" s="1059" t="s">
        <v>107</v>
      </c>
      <c r="N31" s="1059"/>
      <c r="O31" s="99">
        <v>143.9</v>
      </c>
      <c r="P31" s="1059" t="s">
        <v>107</v>
      </c>
      <c r="Q31" s="1059"/>
      <c r="R31" s="127">
        <v>183.4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060" t="s">
        <v>120</v>
      </c>
      <c r="K32" s="1059"/>
      <c r="L32" s="99">
        <v>171.5</v>
      </c>
      <c r="M32" s="1059" t="s">
        <v>120</v>
      </c>
      <c r="N32" s="1059"/>
      <c r="O32" s="99">
        <v>133.69999999999999</v>
      </c>
      <c r="P32" s="1059" t="s">
        <v>120</v>
      </c>
      <c r="Q32" s="1059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047" t="s">
        <v>109</v>
      </c>
      <c r="K33" s="1048"/>
      <c r="L33" s="136">
        <f>(L31-L32)/(L32-L30)*100</f>
        <v>8.953913679590352</v>
      </c>
      <c r="M33" s="1048" t="s">
        <v>109</v>
      </c>
      <c r="N33" s="1048"/>
      <c r="O33" s="136">
        <f>(O31-O32)/(O32-O30)*100</f>
        <v>9.2643051771117335</v>
      </c>
      <c r="P33" s="1048" t="s">
        <v>109</v>
      </c>
      <c r="Q33" s="1048"/>
      <c r="R33" s="136">
        <f>(R31-R32)/(R32-R30)*100</f>
        <v>9.3343534812547944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049" t="s">
        <v>121</v>
      </c>
      <c r="K34" s="1050"/>
      <c r="L34" s="1050"/>
      <c r="M34" s="1050"/>
      <c r="N34" s="1050"/>
      <c r="O34" s="1050"/>
      <c r="P34" s="1050"/>
      <c r="Q34" s="1050"/>
      <c r="R34" s="1051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052" t="s">
        <v>122</v>
      </c>
      <c r="K35" s="1053"/>
      <c r="L35" s="1054" t="s">
        <v>99</v>
      </c>
      <c r="M35" s="1053"/>
      <c r="N35" s="1054" t="s">
        <v>100</v>
      </c>
      <c r="O35" s="1053"/>
      <c r="P35" s="1055" t="s">
        <v>123</v>
      </c>
      <c r="Q35" s="1056"/>
      <c r="R35" s="1057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040" t="e">
        <f>AVERAGE(K37,K38,M37,M38,O37,O38)</f>
        <v>#DIV/0!</v>
      </c>
      <c r="Q36" s="1027"/>
      <c r="R36" s="1041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040"/>
      <c r="Q37" s="1027"/>
      <c r="R37" s="1041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042"/>
      <c r="Q38" s="1043"/>
      <c r="R38" s="1044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045" t="s">
        <v>125</v>
      </c>
      <c r="K40" s="1045"/>
      <c r="L40" s="1045"/>
      <c r="M40" s="1045"/>
      <c r="N40" s="1045"/>
      <c r="O40" s="1045"/>
      <c r="P40" s="1045"/>
      <c r="Q40" s="1045"/>
      <c r="R40" s="1046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038" t="s">
        <v>98</v>
      </c>
      <c r="K41" s="1038"/>
      <c r="L41" s="1038"/>
      <c r="M41" s="1038"/>
      <c r="N41" s="1038"/>
      <c r="O41" s="1038"/>
      <c r="P41" s="1038"/>
      <c r="Q41" s="1038"/>
      <c r="R41" s="1039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412.64740000000006</v>
      </c>
      <c r="L42" s="156" t="s">
        <v>127</v>
      </c>
      <c r="M42" s="157"/>
      <c r="N42" s="1028" t="s">
        <v>128</v>
      </c>
      <c r="O42" s="1029"/>
      <c r="P42" s="158">
        <f>(((K42)/13.58))</f>
        <v>30.386406480117824</v>
      </c>
      <c r="Q42" s="1030" t="s">
        <v>129</v>
      </c>
      <c r="R42" s="1032">
        <f>MAX(P42:P43)</f>
        <v>30.386406480117824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485.89038000000011</v>
      </c>
      <c r="L43" s="161" t="s">
        <v>127</v>
      </c>
      <c r="M43" s="157"/>
      <c r="N43" s="1034" t="s">
        <v>131</v>
      </c>
      <c r="O43" s="1035"/>
      <c r="P43" s="162">
        <f>(((K43)/20.58))</f>
        <v>23.609833819241988</v>
      </c>
      <c r="Q43" s="1031"/>
      <c r="R43" s="1033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038" t="s">
        <v>99</v>
      </c>
      <c r="K45" s="1038"/>
      <c r="L45" s="1038"/>
      <c r="M45" s="1038"/>
      <c r="N45" s="1038"/>
      <c r="O45" s="1038"/>
      <c r="P45" s="1038"/>
      <c r="Q45" s="1038"/>
      <c r="R45" s="1039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289.91592000000003</v>
      </c>
      <c r="L46" s="156" t="s">
        <v>127</v>
      </c>
      <c r="M46" s="165"/>
      <c r="N46" s="1028" t="s">
        <v>128</v>
      </c>
      <c r="O46" s="1029"/>
      <c r="P46" s="158">
        <f>(((K46)/13.58))</f>
        <v>21.348742268041239</v>
      </c>
      <c r="Q46" s="1030" t="s">
        <v>129</v>
      </c>
      <c r="R46" s="1032">
        <f>MAX(P46:P47)</f>
        <v>21.348742268041239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362.16913000000005</v>
      </c>
      <c r="L47" s="161" t="s">
        <v>127</v>
      </c>
      <c r="M47" s="165"/>
      <c r="N47" s="1034" t="s">
        <v>131</v>
      </c>
      <c r="O47" s="1035"/>
      <c r="P47" s="162">
        <f>(((K47)/20.58))</f>
        <v>17.598111273080665</v>
      </c>
      <c r="Q47" s="1031"/>
      <c r="R47" s="1033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038" t="s">
        <v>100</v>
      </c>
      <c r="K49" s="1038"/>
      <c r="L49" s="1038"/>
      <c r="M49" s="1038"/>
      <c r="N49" s="1038"/>
      <c r="O49" s="1038"/>
      <c r="P49" s="1038"/>
      <c r="Q49" s="1038"/>
      <c r="R49" s="1039"/>
    </row>
    <row r="50" spans="1:18" ht="15.75" thickBot="1" x14ac:dyDescent="0.3">
      <c r="A50" s="141"/>
      <c r="B50" s="1027"/>
      <c r="C50" s="1027"/>
      <c r="D50" s="1027"/>
      <c r="E50" s="1027"/>
      <c r="F50" s="1027"/>
      <c r="G50" s="1027"/>
      <c r="H50" s="1027"/>
      <c r="I50" s="140"/>
      <c r="J50" s="154" t="s">
        <v>126</v>
      </c>
      <c r="K50" s="155">
        <f>R23</f>
        <v>163.22536000000002</v>
      </c>
      <c r="L50" s="156" t="s">
        <v>127</v>
      </c>
      <c r="M50" s="165"/>
      <c r="N50" s="1028" t="s">
        <v>128</v>
      </c>
      <c r="O50" s="1029"/>
      <c r="P50" s="158">
        <f>(((K50)/13.58))</f>
        <v>12.019540500736378</v>
      </c>
      <c r="Q50" s="1030" t="s">
        <v>129</v>
      </c>
      <c r="R50" s="1032">
        <f>MAX(P50:P51)</f>
        <v>12.019540500736378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197.86731</v>
      </c>
      <c r="L51" s="161" t="s">
        <v>127</v>
      </c>
      <c r="M51" s="167"/>
      <c r="N51" s="1034" t="s">
        <v>131</v>
      </c>
      <c r="O51" s="1035"/>
      <c r="P51" s="162">
        <f>(((K51)/20.58))</f>
        <v>9.6145437317784275</v>
      </c>
      <c r="Q51" s="1031"/>
      <c r="R51" s="1033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036" t="s">
        <v>132</v>
      </c>
      <c r="K52" s="1036"/>
      <c r="L52" s="1036"/>
      <c r="M52" s="1037" t="s">
        <v>267</v>
      </c>
      <c r="N52" s="1037"/>
      <c r="O52" s="1037"/>
      <c r="P52" s="1037"/>
      <c r="Q52" s="1037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025" t="s">
        <v>134</v>
      </c>
      <c r="I53" s="1025"/>
      <c r="J53" s="1025"/>
      <c r="K53" s="1025"/>
      <c r="L53" s="1025"/>
      <c r="M53" s="1026" t="s">
        <v>268</v>
      </c>
      <c r="N53" s="1026"/>
      <c r="O53" s="1026"/>
      <c r="P53" s="1026"/>
      <c r="Q53" s="1026"/>
      <c r="R53" s="170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B1" zoomScale="142" zoomScaleNormal="142" workbookViewId="0">
      <selection activeCell="S28" sqref="S28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89" t="s">
        <v>75</v>
      </c>
      <c r="H1" s="1289"/>
      <c r="I1" s="1289"/>
      <c r="J1" s="1289"/>
      <c r="K1" s="1289"/>
      <c r="L1" s="1290"/>
      <c r="M1" s="175"/>
      <c r="N1" s="1293" t="s">
        <v>61</v>
      </c>
      <c r="O1" s="1294"/>
      <c r="P1" s="1294"/>
      <c r="Q1" s="1295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91"/>
      <c r="H2" s="1291"/>
      <c r="I2" s="1291"/>
      <c r="J2" s="1291"/>
      <c r="K2" s="1291"/>
      <c r="L2" s="1292"/>
      <c r="M2" s="180"/>
      <c r="N2" s="1296" t="s">
        <v>311</v>
      </c>
      <c r="O2" s="1297"/>
      <c r="P2" s="1297"/>
      <c r="Q2" s="1298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299" t="s">
        <v>135</v>
      </c>
      <c r="H3" s="1299"/>
      <c r="I3" s="1299"/>
      <c r="J3" s="1299"/>
      <c r="K3" s="1299"/>
      <c r="L3" s="1300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6" t="s">
        <v>63</v>
      </c>
      <c r="B5" s="1121"/>
      <c r="C5" s="1121"/>
      <c r="D5" s="1301" t="str">
        <f>' CBR Poinc'!D4:I4</f>
        <v>Corniche Pont du Djoué</v>
      </c>
      <c r="E5" s="1131"/>
      <c r="F5" s="1131"/>
      <c r="G5" s="1131"/>
      <c r="H5" s="1131"/>
      <c r="I5" s="1132"/>
      <c r="J5" s="1121" t="s">
        <v>64</v>
      </c>
      <c r="K5" s="1121"/>
      <c r="L5" s="1121"/>
      <c r="M5" s="1122"/>
      <c r="N5" s="1127" t="s">
        <v>136</v>
      </c>
      <c r="O5" s="1128"/>
      <c r="P5" s="1128"/>
      <c r="Q5" s="1129"/>
      <c r="R5" s="179"/>
    </row>
    <row r="6" spans="1:18" ht="12" customHeight="1" thickBot="1" x14ac:dyDescent="0.3">
      <c r="A6" s="1126" t="s">
        <v>65</v>
      </c>
      <c r="B6" s="1121"/>
      <c r="C6" s="1121"/>
      <c r="D6" s="1127"/>
      <c r="E6" s="1128"/>
      <c r="F6" s="1128"/>
      <c r="G6" s="1128"/>
      <c r="H6" s="1128"/>
      <c r="I6" s="1129"/>
      <c r="J6" s="1121" t="s">
        <v>66</v>
      </c>
      <c r="K6" s="1121"/>
      <c r="L6" s="1121"/>
      <c r="M6" s="1122"/>
      <c r="N6" s="1281" t="str">
        <f>' CBR Poinc'!N5:Q5</f>
        <v>Puit 5 - 1ère couche</v>
      </c>
      <c r="O6" s="1026"/>
      <c r="P6" s="1026"/>
      <c r="Q6" s="1282"/>
      <c r="R6" s="179"/>
    </row>
    <row r="7" spans="1:18" ht="10.9" customHeight="1" thickBot="1" x14ac:dyDescent="0.3">
      <c r="A7" s="1126" t="s">
        <v>67</v>
      </c>
      <c r="B7" s="1121"/>
      <c r="C7" s="1121"/>
      <c r="D7" s="1283"/>
      <c r="E7" s="1284"/>
      <c r="F7" s="1284"/>
      <c r="G7" s="1284"/>
      <c r="H7" s="1284"/>
      <c r="I7" s="1285"/>
      <c r="J7" s="1121" t="s">
        <v>137</v>
      </c>
      <c r="K7" s="1121"/>
      <c r="L7" s="1121"/>
      <c r="M7" s="1122"/>
      <c r="N7" s="1286"/>
      <c r="O7" s="1287"/>
      <c r="P7" s="1287"/>
      <c r="Q7" s="1288"/>
      <c r="R7" s="179"/>
    </row>
    <row r="8" spans="1:18" ht="11.45" customHeight="1" thickBot="1" x14ac:dyDescent="0.3">
      <c r="A8" s="1126" t="s">
        <v>69</v>
      </c>
      <c r="B8" s="1121"/>
      <c r="C8" s="1121"/>
      <c r="D8" s="1152" t="str">
        <f>' CBR Poinc'!D7:I7</f>
        <v>Du 20/12/2019 au 24/12/2019</v>
      </c>
      <c r="E8" s="1153"/>
      <c r="F8" s="1153"/>
      <c r="G8" s="1153"/>
      <c r="H8" s="1153"/>
      <c r="I8" s="1154"/>
      <c r="J8" s="1121" t="s">
        <v>70</v>
      </c>
      <c r="K8" s="1121"/>
      <c r="L8" s="1121"/>
      <c r="M8" s="1122"/>
      <c r="N8" s="1133" t="s">
        <v>136</v>
      </c>
      <c r="O8" s="1128"/>
      <c r="P8" s="1128"/>
      <c r="Q8" s="1129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21" t="s">
        <v>71</v>
      </c>
      <c r="K9" s="1121"/>
      <c r="L9" s="1121"/>
      <c r="M9" s="1122"/>
      <c r="N9" s="1133" t="str">
        <f>' CBR Poinc'!N8:Q8</f>
        <v>Sable Gréseux</v>
      </c>
      <c r="O9" s="1128"/>
      <c r="P9" s="1128"/>
      <c r="Q9" s="1129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61" t="s">
        <v>72</v>
      </c>
      <c r="B11" s="1264" t="s">
        <v>73</v>
      </c>
      <c r="C11" s="1265"/>
      <c r="D11" s="1266"/>
      <c r="E11" s="193"/>
      <c r="F11" s="177"/>
      <c r="G11" s="194"/>
      <c r="H11" s="1267" t="s">
        <v>74</v>
      </c>
      <c r="I11" s="1269" t="s">
        <v>75</v>
      </c>
      <c r="J11" s="1266"/>
      <c r="K11" s="195" t="s">
        <v>76</v>
      </c>
      <c r="L11" s="194"/>
      <c r="M11" s="1270" t="s">
        <v>77</v>
      </c>
      <c r="N11" s="1271"/>
      <c r="O11" s="1276" t="s">
        <v>78</v>
      </c>
      <c r="P11" s="1260"/>
      <c r="Q11" s="196" t="s">
        <v>76</v>
      </c>
      <c r="R11" s="179"/>
    </row>
    <row r="12" spans="1:18" ht="16.5" thickBot="1" x14ac:dyDescent="0.3">
      <c r="A12" s="1262"/>
      <c r="B12" s="1264" t="s">
        <v>79</v>
      </c>
      <c r="C12" s="1265"/>
      <c r="D12" s="1266"/>
      <c r="E12" s="193" t="s">
        <v>76</v>
      </c>
      <c r="F12" s="177"/>
      <c r="G12" s="194"/>
      <c r="H12" s="1268"/>
      <c r="I12" s="1277" t="s">
        <v>80</v>
      </c>
      <c r="J12" s="1278"/>
      <c r="K12" s="197">
        <v>2</v>
      </c>
      <c r="L12" s="194"/>
      <c r="M12" s="1272"/>
      <c r="N12" s="1273"/>
      <c r="O12" s="1279" t="s">
        <v>81</v>
      </c>
      <c r="P12" s="1280"/>
      <c r="Q12" s="198"/>
      <c r="R12" s="179"/>
    </row>
    <row r="13" spans="1:18" ht="16.5" thickBot="1" x14ac:dyDescent="0.3">
      <c r="A13" s="1262"/>
      <c r="B13" s="1249" t="s">
        <v>82</v>
      </c>
      <c r="C13" s="1250"/>
      <c r="D13" s="1251"/>
      <c r="E13" s="199"/>
      <c r="F13" s="177"/>
      <c r="G13" s="177"/>
      <c r="H13" s="200"/>
      <c r="I13" s="1246"/>
      <c r="J13" s="1246"/>
      <c r="K13" s="201"/>
      <c r="L13" s="194"/>
      <c r="M13" s="1274"/>
      <c r="N13" s="1275"/>
      <c r="O13" s="202" t="s">
        <v>83</v>
      </c>
      <c r="P13" s="1247" t="s">
        <v>84</v>
      </c>
      <c r="Q13" s="1248"/>
      <c r="R13" s="179"/>
    </row>
    <row r="14" spans="1:18" ht="16.5" thickBot="1" x14ac:dyDescent="0.3">
      <c r="A14" s="1263"/>
      <c r="B14" s="1249" t="s">
        <v>138</v>
      </c>
      <c r="C14" s="1250"/>
      <c r="D14" s="1251"/>
      <c r="E14" s="199"/>
      <c r="F14" s="177"/>
      <c r="G14" s="177"/>
      <c r="H14" s="1252" t="s">
        <v>139</v>
      </c>
      <c r="I14" s="1253"/>
      <c r="J14" s="327">
        <f>' CBR Poinc'!J12</f>
        <v>2.1030000000000002</v>
      </c>
      <c r="K14" s="203" t="str">
        <f>[1]CBR!K15</f>
        <v>t/m3</v>
      </c>
      <c r="L14" s="194"/>
      <c r="M14" s="1254" t="s">
        <v>140</v>
      </c>
      <c r="N14" s="1255"/>
      <c r="O14" s="1256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57" t="s">
        <v>142</v>
      </c>
      <c r="I15" s="1258"/>
      <c r="J15" s="328">
        <f>' CBR Poinc'!J13</f>
        <v>7.2</v>
      </c>
      <c r="K15" s="86" t="s">
        <v>44</v>
      </c>
      <c r="L15" s="177"/>
      <c r="M15" s="1259" t="s">
        <v>92</v>
      </c>
      <c r="N15" s="1260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34" t="s">
        <v>145</v>
      </c>
      <c r="N18" s="1234"/>
      <c r="O18" s="223" t="s">
        <v>146</v>
      </c>
      <c r="P18" s="223"/>
      <c r="Q18" s="1235" t="s">
        <v>147</v>
      </c>
      <c r="R18" s="1236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37"/>
      <c r="R19" s="1238"/>
    </row>
    <row r="20" spans="1:21" x14ac:dyDescent="0.25">
      <c r="A20" s="1239" t="s">
        <v>153</v>
      </c>
      <c r="B20" s="1227"/>
      <c r="C20" s="1227"/>
      <c r="D20" s="1240">
        <f>J14</f>
        <v>2.1030000000000002</v>
      </c>
      <c r="E20" s="1240"/>
      <c r="F20" s="1240"/>
      <c r="G20" s="1241"/>
      <c r="H20" s="1242"/>
      <c r="I20" s="1243"/>
      <c r="J20" s="231">
        <v>56</v>
      </c>
      <c r="K20" s="232"/>
      <c r="L20" s="232"/>
      <c r="M20" s="1228">
        <f>C27</f>
        <v>2.1029887248180978</v>
      </c>
      <c r="N20" s="1228"/>
      <c r="O20" s="1244">
        <f>' CBR Poinc'!C23</f>
        <v>7.1973329900734901</v>
      </c>
      <c r="P20" s="1245"/>
      <c r="Q20" s="1232"/>
      <c r="R20" s="1233"/>
    </row>
    <row r="21" spans="1:21" x14ac:dyDescent="0.25">
      <c r="A21" s="1226" t="s">
        <v>154</v>
      </c>
      <c r="B21" s="1227"/>
      <c r="C21" s="1227"/>
      <c r="D21" s="1228">
        <f>J15</f>
        <v>7.2</v>
      </c>
      <c r="E21" s="1228"/>
      <c r="F21" s="1228"/>
      <c r="G21" s="1229"/>
      <c r="H21" s="1230"/>
      <c r="I21" s="1231"/>
      <c r="J21" s="233">
        <v>25</v>
      </c>
      <c r="K21" s="234"/>
      <c r="L21" s="234"/>
      <c r="M21" s="1228">
        <f>D27</f>
        <v>1.9977936379330761</v>
      </c>
      <c r="N21" s="1228"/>
      <c r="O21" s="1228">
        <f>' CBR Poinc'!E23</f>
        <v>7.2052232907615608</v>
      </c>
      <c r="P21" s="1228"/>
      <c r="Q21" s="1232"/>
      <c r="R21" s="1233"/>
    </row>
    <row r="22" spans="1:21" ht="15.75" thickBot="1" x14ac:dyDescent="0.3">
      <c r="A22" s="1220" t="s">
        <v>155</v>
      </c>
      <c r="B22" s="1221"/>
      <c r="C22" s="1221"/>
      <c r="D22" s="1222"/>
      <c r="E22" s="1222"/>
      <c r="F22" s="1222"/>
      <c r="G22" s="1223"/>
      <c r="H22" s="1223"/>
      <c r="I22" s="1223"/>
      <c r="J22" s="235">
        <v>10</v>
      </c>
      <c r="K22" s="236"/>
      <c r="L22" s="236"/>
      <c r="M22" s="1193">
        <f>E27</f>
        <v>1.8934571566683991</v>
      </c>
      <c r="N22" s="1193"/>
      <c r="O22" s="1193">
        <f>' CBR Poinc'!G23</f>
        <v>7.1653735410064243</v>
      </c>
      <c r="P22" s="1193"/>
      <c r="Q22" s="1224"/>
      <c r="R22" s="1225"/>
    </row>
    <row r="23" spans="1:21" x14ac:dyDescent="0.25">
      <c r="A23" s="1212"/>
      <c r="B23" s="1213"/>
      <c r="C23" s="237"/>
      <c r="D23" s="237"/>
      <c r="E23" s="238"/>
      <c r="F23" s="239"/>
      <c r="G23" s="238"/>
      <c r="H23" s="240"/>
      <c r="I23" s="238"/>
      <c r="J23" s="1213"/>
      <c r="K23" s="1213"/>
      <c r="L23" s="237"/>
      <c r="M23" s="237"/>
      <c r="N23" s="238"/>
      <c r="O23" s="239"/>
      <c r="P23" s="241"/>
      <c r="Q23" s="1214"/>
      <c r="R23" s="1215"/>
    </row>
    <row r="24" spans="1:21" ht="15.75" thickBot="1" x14ac:dyDescent="0.3">
      <c r="A24" s="1216"/>
      <c r="B24" s="1217"/>
      <c r="C24" s="242"/>
      <c r="D24" s="243"/>
      <c r="E24" s="244"/>
      <c r="F24" s="245"/>
      <c r="G24" s="246"/>
      <c r="H24" s="240"/>
      <c r="I24" s="244"/>
      <c r="J24" s="1217"/>
      <c r="K24" s="1217"/>
      <c r="L24" s="242"/>
      <c r="M24" s="242"/>
      <c r="N24" s="244"/>
      <c r="O24" s="247"/>
      <c r="P24" s="248"/>
      <c r="Q24" s="1218"/>
      <c r="R24" s="1219"/>
    </row>
    <row r="25" spans="1:21" x14ac:dyDescent="0.25">
      <c r="A25" s="1197" t="s">
        <v>156</v>
      </c>
      <c r="B25" s="1198"/>
      <c r="C25" s="249">
        <v>56</v>
      </c>
      <c r="D25" s="249">
        <v>25</v>
      </c>
      <c r="E25" s="250">
        <v>10</v>
      </c>
      <c r="F25" s="245"/>
      <c r="G25" s="246"/>
      <c r="H25" s="251"/>
      <c r="I25" s="1199" t="s">
        <v>157</v>
      </c>
      <c r="J25" s="1200"/>
      <c r="K25" s="1201">
        <v>0.98</v>
      </c>
      <c r="L25" s="1201"/>
      <c r="M25" s="1202">
        <v>0.95</v>
      </c>
      <c r="N25" s="1202"/>
      <c r="O25" s="252">
        <v>0.94</v>
      </c>
      <c r="P25" s="252">
        <v>0.92</v>
      </c>
      <c r="Q25" s="1201">
        <v>0.9</v>
      </c>
      <c r="R25" s="1203"/>
    </row>
    <row r="26" spans="1:21" x14ac:dyDescent="0.25">
      <c r="A26" s="1204" t="s">
        <v>158</v>
      </c>
      <c r="B26" s="1205"/>
      <c r="C26" s="253">
        <f>' CBR Poinc'!R42</f>
        <v>30.386406480117824</v>
      </c>
      <c r="D26" s="253">
        <f>' CBR Poinc'!R46</f>
        <v>21.348742268041239</v>
      </c>
      <c r="E26" s="254">
        <f>' CBR Poinc'!R50</f>
        <v>12.019540500736378</v>
      </c>
      <c r="F26" s="245"/>
      <c r="G26" s="246"/>
      <c r="H26" s="251"/>
      <c r="I26" s="1206" t="s">
        <v>75</v>
      </c>
      <c r="J26" s="1207"/>
      <c r="K26" s="1208"/>
      <c r="L26" s="1208"/>
      <c r="M26" s="1209">
        <f>T28</f>
        <v>21.4</v>
      </c>
      <c r="N26" s="1209"/>
      <c r="O26" s="255"/>
      <c r="P26" s="256"/>
      <c r="Q26" s="1210"/>
      <c r="R26" s="1211"/>
    </row>
    <row r="27" spans="1:21" ht="16.5" thickBot="1" x14ac:dyDescent="0.3">
      <c r="A27" s="1190" t="s">
        <v>159</v>
      </c>
      <c r="B27" s="1191"/>
      <c r="C27" s="257">
        <f>' CBR Poinc'!D31</f>
        <v>2.1029887248180978</v>
      </c>
      <c r="D27" s="257">
        <f>' CBR Poinc'!F31</f>
        <v>1.9977936379330761</v>
      </c>
      <c r="E27" s="258">
        <f>' CBR Poinc'!H31</f>
        <v>1.8934571566683991</v>
      </c>
      <c r="F27" s="245"/>
      <c r="G27" s="246"/>
      <c r="H27" s="251"/>
      <c r="I27" s="1192" t="s">
        <v>159</v>
      </c>
      <c r="J27" s="1191"/>
      <c r="K27" s="1193"/>
      <c r="L27" s="1193"/>
      <c r="M27" s="1194">
        <f>J14*0.95</f>
        <v>1.9978500000000001</v>
      </c>
      <c r="N27" s="1194"/>
      <c r="O27" s="259"/>
      <c r="P27" s="259"/>
      <c r="Q27" s="1195"/>
      <c r="R27" s="1196"/>
      <c r="T27" s="592" t="s">
        <v>160</v>
      </c>
      <c r="U27" s="593"/>
    </row>
    <row r="28" spans="1:21" x14ac:dyDescent="0.25">
      <c r="A28" s="1183"/>
      <c r="B28" s="1184"/>
      <c r="C28" s="1184"/>
      <c r="D28" s="260"/>
      <c r="E28" s="261"/>
      <c r="F28" s="262"/>
      <c r="G28" s="263"/>
      <c r="H28" s="264"/>
      <c r="I28" s="261"/>
      <c r="J28" s="1184"/>
      <c r="K28" s="1184"/>
      <c r="L28" s="1184"/>
      <c r="M28" s="260"/>
      <c r="N28" s="265"/>
      <c r="O28" s="262"/>
      <c r="P28" s="212"/>
      <c r="Q28" s="1185"/>
      <c r="R28" s="1186"/>
      <c r="T28" s="266">
        <v>21.4</v>
      </c>
      <c r="U28" s="267">
        <f>M27</f>
        <v>1.9978500000000001</v>
      </c>
    </row>
    <row r="29" spans="1:21" x14ac:dyDescent="0.25">
      <c r="A29" s="1187"/>
      <c r="B29" s="1180"/>
      <c r="C29" s="1180"/>
      <c r="D29" s="268"/>
      <c r="E29" s="261"/>
      <c r="F29" s="261"/>
      <c r="G29" s="261"/>
      <c r="H29" s="261"/>
      <c r="I29" s="261"/>
      <c r="J29" s="1188"/>
      <c r="K29" s="1189"/>
      <c r="L29" s="1189"/>
      <c r="M29" s="269"/>
      <c r="N29" s="1180"/>
      <c r="O29" s="1180"/>
      <c r="P29" s="1180"/>
      <c r="Q29" s="1180"/>
      <c r="R29" s="270"/>
      <c r="T29" s="271">
        <f>T28</f>
        <v>21.4</v>
      </c>
      <c r="U29" s="272">
        <v>1.88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180"/>
      <c r="O30" s="1180"/>
      <c r="P30" s="1180"/>
      <c r="Q30" s="1180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181"/>
      <c r="K31" s="1181"/>
      <c r="L31" s="1181"/>
      <c r="M31" s="261"/>
      <c r="N31" s="1180"/>
      <c r="O31" s="1180"/>
      <c r="P31" s="1180"/>
      <c r="Q31" s="1180"/>
      <c r="R31" s="270"/>
      <c r="T31" s="271">
        <f>T28</f>
        <v>21.4</v>
      </c>
      <c r="U31" s="272">
        <f>U28</f>
        <v>1.9978500000000001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182"/>
      <c r="K32" s="1182"/>
      <c r="L32" s="281"/>
      <c r="M32" s="265"/>
      <c r="N32" s="1180"/>
      <c r="O32" s="1180"/>
      <c r="P32" s="1180"/>
      <c r="Q32" s="1180"/>
      <c r="R32" s="270"/>
      <c r="T32" s="282">
        <v>10</v>
      </c>
      <c r="U32" s="283">
        <f>U31</f>
        <v>1.9978500000000001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169"/>
      <c r="K33" s="1170"/>
      <c r="L33" s="287"/>
      <c r="M33" s="280"/>
      <c r="N33" s="1171"/>
      <c r="O33" s="1172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173"/>
      <c r="K34" s="1174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173"/>
      <c r="K35" s="1174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175"/>
      <c r="K36" s="1176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177"/>
      <c r="K38" s="1178"/>
      <c r="L38" s="1178"/>
      <c r="M38" s="1178"/>
      <c r="N38" s="1178"/>
      <c r="O38" s="1178"/>
      <c r="P38" s="1178"/>
      <c r="Q38" s="1178"/>
      <c r="R38" s="1179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159"/>
      <c r="K39" s="1160"/>
      <c r="L39" s="1160"/>
      <c r="M39" s="1160"/>
      <c r="N39" s="1160"/>
      <c r="O39" s="1160"/>
      <c r="P39" s="1160"/>
      <c r="Q39" s="1160"/>
      <c r="R39" s="1161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162"/>
      <c r="O41" s="1163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159"/>
      <c r="K43" s="1160"/>
      <c r="L43" s="1160"/>
      <c r="M43" s="1160"/>
      <c r="N43" s="1160"/>
      <c r="O43" s="1160"/>
      <c r="P43" s="1160"/>
      <c r="Q43" s="1160"/>
      <c r="R43" s="1161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164"/>
      <c r="O44" s="1165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166"/>
      <c r="O45" s="1166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167" t="s">
        <v>132</v>
      </c>
      <c r="K46" s="1167"/>
      <c r="L46" s="1167"/>
      <c r="M46" s="1168" t="s">
        <v>268</v>
      </c>
      <c r="N46" s="1168"/>
      <c r="O46" s="1168"/>
      <c r="P46" s="1168"/>
      <c r="Q46" s="1168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156" t="s">
        <v>333</v>
      </c>
      <c r="I47" s="1157"/>
      <c r="J47" s="1157"/>
      <c r="K47" s="1157"/>
      <c r="L47" s="1157"/>
      <c r="M47" s="1158"/>
      <c r="N47" s="1158"/>
      <c r="O47" s="1158"/>
      <c r="P47" s="1158"/>
      <c r="Q47" s="1158"/>
      <c r="R47" s="217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 (2)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2020-01-10T06:02:02Z</cp:lastPrinted>
  <dcterms:created xsi:type="dcterms:W3CDTF">2018-08-30T08:30:49Z</dcterms:created>
  <dcterms:modified xsi:type="dcterms:W3CDTF">2020-01-10T06:03:46Z</dcterms:modified>
</cp:coreProperties>
</file>