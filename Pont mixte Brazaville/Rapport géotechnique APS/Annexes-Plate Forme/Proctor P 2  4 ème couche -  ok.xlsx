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theme/themeOverride1.xml" ContentType="application/vnd.openxmlformats-officedocument.themeOverride+xml"/>
  <Override PartName="/xl/drawings/drawing5.xml" ContentType="application/vnd.openxmlformats-officedocument.drawingml.chartshapes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charts/chart5.xml" ContentType="application/vnd.openxmlformats-officedocument.drawingml.chart+xml"/>
  <Override PartName="/xl/drawings/drawing8.xml" ContentType="application/vnd.openxmlformats-officedocument.drawingml.chartshapes+xml"/>
  <Override PartName="/xl/drawings/drawing9.xml" ContentType="application/vnd.openxmlformats-officedocument.drawing+xml"/>
  <Override PartName="/xl/charts/chart6.xml" ContentType="application/vnd.openxmlformats-officedocument.drawingml.chart+xml"/>
  <Override PartName="/xl/drawings/drawing10.xml" ContentType="application/vnd.openxmlformats-officedocument.drawing+xml"/>
  <Override PartName="/xl/charts/chart7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charts/style1.xml" ContentType="application/vnd.ms-office.chartstyle+xml"/>
  <Override PartName="/xl/charts/colors1.xml" ContentType="application/vnd.ms-office.chartcolorsty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2"/>
  <workbookPr/>
  <bookViews>
    <workbookView xWindow="0" yWindow="0" windowWidth="20205" windowHeight="6360"/>
  </bookViews>
  <sheets>
    <sheet name="PAGE RECAP  P1" sheetId="25" r:id="rId1"/>
    <sheet name="Teneur en eau 2 P1 " sheetId="26" r:id="rId2"/>
    <sheet name="Granulo P1" sheetId="27" r:id="rId3"/>
    <sheet name="Courbe P1 (2)" sheetId="29" r:id="rId4"/>
    <sheet name="PS" sheetId="40" r:id="rId5"/>
    <sheet name="Proctor C01" sheetId="39" r:id="rId6"/>
    <sheet name=" CBR Poinc" sheetId="23" r:id="rId7"/>
    <sheet name="CBR Crb (2)" sheetId="24" r:id="rId8"/>
  </sheets>
  <externalReferences>
    <externalReference r:id="rId9"/>
  </externalReferences>
  <definedNames>
    <definedName name="a" localSheetId="5">#REF!</definedName>
    <definedName name="a">#REF!</definedName>
    <definedName name="B" localSheetId="5">#REF!</definedName>
    <definedName name="B">#REF!</definedName>
    <definedName name="Compactação" localSheetId="5">#REF!</definedName>
    <definedName name="Compactação">#REF!</definedName>
    <definedName name="d" localSheetId="5">#REF!</definedName>
    <definedName name="d">#REF!</definedName>
    <definedName name="da" localSheetId="5">#REF!</definedName>
    <definedName name="da">#REF!</definedName>
    <definedName name="dd" localSheetId="5">#REF!</definedName>
    <definedName name="dd">#REF!</definedName>
    <definedName name="f" localSheetId="5">#REF!</definedName>
    <definedName name="f">#REF!</definedName>
    <definedName name="H" localSheetId="5">#REF!</definedName>
    <definedName name="H">#REF!</definedName>
    <definedName name="k" localSheetId="5">#REF!</definedName>
    <definedName name="k">#REF!</definedName>
    <definedName name="kk" localSheetId="5">#REF!</definedName>
    <definedName name="kk">#REF!</definedName>
    <definedName name="Liquidez" localSheetId="5">#REF!</definedName>
    <definedName name="Liquidez">#REF!</definedName>
    <definedName name="non" localSheetId="5">#REF!</definedName>
    <definedName name="non">#REF!</definedName>
    <definedName name="o" localSheetId="5">#REF!</definedName>
    <definedName name="o">#REF!</definedName>
    <definedName name="oi" localSheetId="5">#REF!</definedName>
    <definedName name="oi">#REF!</definedName>
    <definedName name="ou" localSheetId="5">#REF!</definedName>
    <definedName name="ou">#REF!</definedName>
    <definedName name="oui" localSheetId="5">#REF!</definedName>
    <definedName name="oui">#REF!</definedName>
    <definedName name="p" localSheetId="5">#REF!</definedName>
    <definedName name="p">#REF!</definedName>
    <definedName name="Plasticidade" localSheetId="5">#REF!</definedName>
    <definedName name="Plasticidade">#REF!</definedName>
    <definedName name="Platicidade" localSheetId="5">#REF!</definedName>
    <definedName name="Platicidade">#REF!</definedName>
    <definedName name="q" localSheetId="5">#REF!</definedName>
    <definedName name="q">#REF!</definedName>
    <definedName name="sa" localSheetId="5">#REF!</definedName>
    <definedName name="sa">#REF!</definedName>
    <definedName name="sandro" localSheetId="5">#REF!</definedName>
    <definedName name="sandro">#REF!</definedName>
    <definedName name="sq" localSheetId="5">#REF!</definedName>
    <definedName name="sq">#REF!</definedName>
    <definedName name="ss" localSheetId="5">#REF!</definedName>
    <definedName name="ss">#REF!</definedName>
    <definedName name="w" localSheetId="5">#REF!</definedName>
    <definedName name="w">#REF!</definedName>
    <definedName name="xa" localSheetId="5">#REF!</definedName>
    <definedName name="xa">#REF!</definedName>
    <definedName name="_xlnm.Print_Area" localSheetId="5">#REF!</definedName>
    <definedName name="_xlnm.Print_Area">#REF!</definedName>
  </definedNames>
  <calcPr calcId="144525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32" i="40" l="1"/>
  <c r="G32" i="40"/>
  <c r="H30" i="40"/>
  <c r="G30" i="40"/>
  <c r="H28" i="40"/>
  <c r="H34" i="40" s="1"/>
  <c r="G28" i="40"/>
  <c r="G34" i="40" s="1"/>
  <c r="H38" i="40" l="1"/>
  <c r="G38" i="40"/>
  <c r="L6" i="29"/>
  <c r="B6" i="29"/>
  <c r="N9" i="24"/>
  <c r="N6" i="24"/>
  <c r="D5" i="24"/>
  <c r="D8" i="24"/>
  <c r="G42" i="40" l="1"/>
  <c r="K12" i="25" s="1"/>
  <c r="B44" i="39"/>
  <c r="I44" i="39" s="1"/>
  <c r="B43" i="39"/>
  <c r="I43" i="39" s="1"/>
  <c r="K39" i="39"/>
  <c r="K40" i="39" s="1"/>
  <c r="J39" i="39"/>
  <c r="J40" i="39" s="1"/>
  <c r="I39" i="39"/>
  <c r="I40" i="39" s="1"/>
  <c r="H39" i="39"/>
  <c r="H40" i="39" s="1"/>
  <c r="G39" i="39"/>
  <c r="G40" i="39" s="1"/>
  <c r="F39" i="39"/>
  <c r="F40" i="39" s="1"/>
  <c r="E39" i="39"/>
  <c r="E40" i="39" s="1"/>
  <c r="D39" i="39"/>
  <c r="D40" i="39" s="1"/>
  <c r="C39" i="39"/>
  <c r="C40" i="39" s="1"/>
  <c r="B39" i="39"/>
  <c r="B40" i="39" s="1"/>
  <c r="J30" i="39"/>
  <c r="J32" i="39" s="1"/>
  <c r="H30" i="39"/>
  <c r="H32" i="39" s="1"/>
  <c r="F30" i="39"/>
  <c r="F32" i="39" s="1"/>
  <c r="D30" i="39"/>
  <c r="D32" i="39" s="1"/>
  <c r="B30" i="39"/>
  <c r="B32" i="39" s="1"/>
  <c r="B41" i="39" l="1"/>
  <c r="B43" i="25" s="1"/>
  <c r="J41" i="39"/>
  <c r="F43" i="25" s="1"/>
  <c r="H41" i="39"/>
  <c r="E43" i="25" s="1"/>
  <c r="F41" i="39"/>
  <c r="D41" i="39"/>
  <c r="H43" i="25"/>
  <c r="J13" i="23"/>
  <c r="X54" i="25"/>
  <c r="X55" i="25" s="1"/>
  <c r="J12" i="23"/>
  <c r="Y54" i="25"/>
  <c r="H44" i="25"/>
  <c r="B33" i="39"/>
  <c r="B44" i="25" s="1"/>
  <c r="H33" i="39"/>
  <c r="E44" i="25" s="1"/>
  <c r="F33" i="39" l="1"/>
  <c r="D44" i="25" s="1"/>
  <c r="D43" i="25"/>
  <c r="D33" i="39"/>
  <c r="C44" i="25" s="1"/>
  <c r="C43" i="25"/>
  <c r="J33" i="39"/>
  <c r="F44" i="25" s="1"/>
  <c r="M26" i="24"/>
  <c r="X47" i="25"/>
  <c r="U43" i="25" l="1"/>
  <c r="D39" i="25"/>
  <c r="D38" i="25"/>
  <c r="R26" i="23" l="1"/>
  <c r="R25" i="23"/>
  <c r="R24" i="23"/>
  <c r="R23" i="23"/>
  <c r="R22" i="23"/>
  <c r="R21" i="23"/>
  <c r="R20" i="23"/>
  <c r="R19" i="23"/>
  <c r="O26" i="23"/>
  <c r="O25" i="23"/>
  <c r="O24" i="23"/>
  <c r="O23" i="23"/>
  <c r="O22" i="23"/>
  <c r="O21" i="23"/>
  <c r="O20" i="23"/>
  <c r="O19" i="23"/>
  <c r="L26" i="23"/>
  <c r="L25" i="23"/>
  <c r="L24" i="23"/>
  <c r="L23" i="23"/>
  <c r="L22" i="23"/>
  <c r="L21" i="23"/>
  <c r="L20" i="23"/>
  <c r="L19" i="23"/>
  <c r="T29" i="24" l="1"/>
  <c r="R33" i="23" l="1"/>
  <c r="S40" i="25" s="1"/>
  <c r="O33" i="23"/>
  <c r="S39" i="25" s="1"/>
  <c r="L33" i="23"/>
  <c r="S38" i="25" s="1"/>
  <c r="T37" i="26" l="1"/>
  <c r="S37" i="26"/>
  <c r="L23" i="27"/>
  <c r="N23" i="27" s="1"/>
  <c r="O23" i="27" s="1"/>
  <c r="U19" i="29" s="1"/>
  <c r="L24" i="27" l="1"/>
  <c r="C17" i="25"/>
  <c r="D17" i="25" s="1"/>
  <c r="E17" i="25" s="1"/>
  <c r="AD18" i="25" s="1"/>
  <c r="C18" i="25"/>
  <c r="D18" i="25" s="1"/>
  <c r="E18" i="25" s="1"/>
  <c r="AD19" i="25" s="1"/>
  <c r="L26" i="27"/>
  <c r="N26" i="27" s="1"/>
  <c r="O26" i="27" s="1"/>
  <c r="U21" i="29" s="1"/>
  <c r="F41" i="26"/>
  <c r="K11" i="25" s="1"/>
  <c r="N24" i="27"/>
  <c r="O24" i="27" s="1"/>
  <c r="U20" i="29" s="1"/>
  <c r="C19" i="25" l="1"/>
  <c r="D19" i="25" s="1"/>
  <c r="E19" i="25" s="1"/>
  <c r="AD20" i="25" s="1"/>
  <c r="L29" i="27"/>
  <c r="L32" i="27" l="1"/>
  <c r="C20" i="25"/>
  <c r="D20" i="25" s="1"/>
  <c r="E20" i="25" s="1"/>
  <c r="AD21" i="25" s="1"/>
  <c r="N29" i="27"/>
  <c r="O29" i="27" s="1"/>
  <c r="U22" i="29" s="1"/>
  <c r="N32" i="27"/>
  <c r="O32" i="27" s="1"/>
  <c r="U23" i="29" s="1"/>
  <c r="L36" i="27" l="1"/>
  <c r="C22" i="25"/>
  <c r="D22" i="25" s="1"/>
  <c r="E22" i="25" s="1"/>
  <c r="AD22" i="25" s="1"/>
  <c r="N36" i="27"/>
  <c r="O36" i="27" s="1"/>
  <c r="U24" i="29" s="1"/>
  <c r="L39" i="27" l="1"/>
  <c r="C25" i="25"/>
  <c r="D25" i="25" s="1"/>
  <c r="E25" i="25" s="1"/>
  <c r="AD23" i="25" s="1"/>
  <c r="N39" i="27"/>
  <c r="O39" i="27" s="1"/>
  <c r="U25" i="29" s="1"/>
  <c r="L43" i="27" l="1"/>
  <c r="C27" i="25"/>
  <c r="D27" i="25" s="1"/>
  <c r="E27" i="25" s="1"/>
  <c r="AD24" i="25" s="1"/>
  <c r="N43" i="27"/>
  <c r="O43" i="27" s="1"/>
  <c r="U26" i="29" s="1"/>
  <c r="L46" i="27" l="1"/>
  <c r="C29" i="25"/>
  <c r="D29" i="25" s="1"/>
  <c r="E29" i="25" s="1"/>
  <c r="AD25" i="25" s="1"/>
  <c r="N46" i="27"/>
  <c r="O46" i="27" s="1"/>
  <c r="U27" i="29" s="1"/>
  <c r="L49" i="27" l="1"/>
  <c r="C31" i="25"/>
  <c r="D31" i="25" s="1"/>
  <c r="E31" i="25" s="1"/>
  <c r="AD26" i="25" s="1"/>
  <c r="N49" i="27"/>
  <c r="O49" i="27" s="1"/>
  <c r="U28" i="29" s="1"/>
  <c r="L50" i="27" l="1"/>
  <c r="C33" i="25"/>
  <c r="D33" i="25" s="1"/>
  <c r="E33" i="25" s="1"/>
  <c r="AD27" i="25" s="1"/>
  <c r="X57" i="25"/>
  <c r="X58" i="25" s="1"/>
  <c r="X48" i="25"/>
  <c r="X51" i="25" s="1"/>
  <c r="V44" i="25"/>
  <c r="T44" i="25"/>
  <c r="S44" i="25"/>
  <c r="C34" i="25" l="1"/>
  <c r="D34" i="25" s="1"/>
  <c r="E34" i="25" s="1"/>
  <c r="N50" i="27"/>
  <c r="O50" i="27" s="1"/>
  <c r="U29" i="29" s="1"/>
  <c r="P12" i="23"/>
  <c r="J15" i="24"/>
  <c r="D21" i="24" s="1"/>
  <c r="J14" i="24"/>
  <c r="K14" i="24"/>
  <c r="K13" i="25" l="1"/>
  <c r="AD28" i="25"/>
  <c r="D20" i="24"/>
  <c r="M27" i="24"/>
  <c r="P36" i="23"/>
  <c r="H30" i="23"/>
  <c r="F30" i="23"/>
  <c r="D30" i="23"/>
  <c r="K51" i="23"/>
  <c r="P51" i="23" s="1"/>
  <c r="K47" i="23"/>
  <c r="P47" i="23" s="1"/>
  <c r="K43" i="23"/>
  <c r="P43" i="23" s="1"/>
  <c r="K50" i="23"/>
  <c r="P50" i="23" s="1"/>
  <c r="K46" i="23"/>
  <c r="P46" i="23" s="1"/>
  <c r="K42" i="23"/>
  <c r="P42" i="23" s="1"/>
  <c r="H22" i="23"/>
  <c r="G22" i="23"/>
  <c r="F22" i="23"/>
  <c r="E22" i="23"/>
  <c r="D22" i="23"/>
  <c r="C22" i="23"/>
  <c r="U28" i="24" l="1"/>
  <c r="G23" i="23"/>
  <c r="O22" i="24" s="1"/>
  <c r="E23" i="23"/>
  <c r="O21" i="24" s="1"/>
  <c r="C23" i="23"/>
  <c r="O20" i="24" s="1"/>
  <c r="R42" i="23"/>
  <c r="C26" i="24" s="1"/>
  <c r="M43" i="25" s="1"/>
  <c r="R50" i="23"/>
  <c r="E26" i="24" s="1"/>
  <c r="O43" i="25" s="1"/>
  <c r="R46" i="23"/>
  <c r="D26" i="24" s="1"/>
  <c r="N43" i="25" s="1"/>
  <c r="Y47" i="23" l="1"/>
  <c r="U31" i="24"/>
  <c r="U32" i="24" s="1"/>
  <c r="Y47" i="25"/>
  <c r="H31" i="23"/>
  <c r="E27" i="24" s="1"/>
  <c r="M22" i="24" s="1"/>
  <c r="C24" i="23"/>
  <c r="G24" i="23"/>
  <c r="E24" i="23"/>
  <c r="D31" i="23"/>
  <c r="C27" i="24" s="1"/>
  <c r="F31" i="23"/>
  <c r="D27" i="24" s="1"/>
  <c r="N44" i="25" s="1"/>
  <c r="U44" i="25" l="1"/>
  <c r="Y50" i="25"/>
  <c r="Y51" i="25" s="1"/>
  <c r="O44" i="25"/>
  <c r="O40" i="25" s="1"/>
  <c r="M20" i="24"/>
  <c r="M44" i="25"/>
  <c r="O38" i="25" s="1"/>
  <c r="M21" i="24"/>
  <c r="O39" i="25"/>
</calcChain>
</file>

<file path=xl/sharedStrings.xml><?xml version="1.0" encoding="utf-8"?>
<sst xmlns="http://schemas.openxmlformats.org/spreadsheetml/2006/main" count="534" uniqueCount="365">
  <si>
    <t>Bureau de Contrôle du Bâtiment et des Travaux Publics(B.C.B.T.P)</t>
  </si>
  <si>
    <t>Fiche d'Essai</t>
  </si>
  <si>
    <t>Mise à jour:</t>
  </si>
  <si>
    <t>N° d'affaire</t>
  </si>
  <si>
    <t>DETERMINATION DES REFERENCES DE COMPACTAGE</t>
  </si>
  <si>
    <t xml:space="preserve"> D'UN MATERIAU</t>
  </si>
  <si>
    <t>Essai Proctor normal-Essai Proctor modifié</t>
  </si>
  <si>
    <t>NORME:  NF P94-093 Octobre 1999</t>
  </si>
  <si>
    <t xml:space="preserve">Utilisation: </t>
  </si>
  <si>
    <t xml:space="preserve">Mode de prélevement: Manuel </t>
  </si>
  <si>
    <t>PROCTOR</t>
  </si>
  <si>
    <t>NORMAL</t>
  </si>
  <si>
    <t>MODIFIE</t>
  </si>
  <si>
    <t>X</t>
  </si>
  <si>
    <t>Moule Proctor</t>
  </si>
  <si>
    <t>Moule CBR</t>
  </si>
  <si>
    <t>Masse de la dame</t>
  </si>
  <si>
    <t>Diamètre du mouton</t>
  </si>
  <si>
    <t>51mm</t>
  </si>
  <si>
    <t>Hauteur de chute</t>
  </si>
  <si>
    <t>305mm</t>
  </si>
  <si>
    <t>457mm</t>
  </si>
  <si>
    <t>Nombre de couches</t>
  </si>
  <si>
    <t>Nombre de coups par couche</t>
  </si>
  <si>
    <t>Diamètre maxi(mm)</t>
  </si>
  <si>
    <t>DENSITE</t>
  </si>
  <si>
    <t>N° Moule</t>
  </si>
  <si>
    <t>Poids du moule</t>
  </si>
  <si>
    <t>Poids moule+ sol humide</t>
  </si>
  <si>
    <t>Poids net humide</t>
  </si>
  <si>
    <t>Volume du moule</t>
  </si>
  <si>
    <t>Densité humide</t>
  </si>
  <si>
    <t>Densité sèche</t>
  </si>
  <si>
    <t>TENEUR EN EAU</t>
  </si>
  <si>
    <t>N° Tare</t>
  </si>
  <si>
    <t>Poids de la tare</t>
  </si>
  <si>
    <t>Poids tare+ sol humide</t>
  </si>
  <si>
    <t>Poids tare+ sol sec</t>
  </si>
  <si>
    <t>Poids sec</t>
  </si>
  <si>
    <t>Teneur en eau</t>
  </si>
  <si>
    <t>Teneur en eau moyenne</t>
  </si>
  <si>
    <t>Paramètres après correction</t>
  </si>
  <si>
    <t>t/m³</t>
  </si>
  <si>
    <t>Teneur en eau OPM(%)</t>
  </si>
  <si>
    <t>%</t>
  </si>
  <si>
    <t>w</t>
  </si>
  <si>
    <t>den</t>
  </si>
  <si>
    <t xml:space="preserve">Chargé d'affaire: </t>
  </si>
  <si>
    <t>Validé par le directeur du laboratoire:</t>
  </si>
  <si>
    <r>
      <rPr>
        <sz val="11"/>
        <color theme="1"/>
        <rFont val="Calibri"/>
        <family val="2"/>
        <scheme val="minor"/>
      </rPr>
      <t>Enre</t>
    </r>
    <r>
      <rPr>
        <sz val="11"/>
        <color theme="1"/>
        <rFont val="Calibri"/>
        <family val="2"/>
      </rPr>
      <t>gistrement:</t>
    </r>
  </si>
  <si>
    <r>
      <rPr>
        <sz val="11"/>
        <color theme="1"/>
        <rFont val="Calibri"/>
        <family val="2"/>
        <scheme val="minor"/>
      </rPr>
      <t>Pa</t>
    </r>
    <r>
      <rPr>
        <sz val="11"/>
        <color theme="1"/>
        <rFont val="Calibri"/>
        <family val="2"/>
      </rPr>
      <t>ge:1/1</t>
    </r>
  </si>
  <si>
    <r>
      <t>2490</t>
    </r>
    <r>
      <rPr>
        <sz val="10"/>
        <color theme="1"/>
        <rFont val="Calibri"/>
        <family val="2"/>
      </rPr>
      <t>g</t>
    </r>
  </si>
  <si>
    <r>
      <t>4535</t>
    </r>
    <r>
      <rPr>
        <b/>
        <sz val="10"/>
        <color theme="1"/>
        <rFont val="Calibri"/>
        <family val="2"/>
      </rPr>
      <t>g</t>
    </r>
  </si>
  <si>
    <r>
      <t>Pourcenta</t>
    </r>
    <r>
      <rPr>
        <sz val="10"/>
        <color theme="1"/>
        <rFont val="Calibri"/>
        <family val="2"/>
      </rPr>
      <t>ge de refus au tamis 20mm</t>
    </r>
  </si>
  <si>
    <r>
      <t>Eau de moula</t>
    </r>
    <r>
      <rPr>
        <sz val="10"/>
        <color theme="1"/>
        <rFont val="Calibri"/>
        <family val="2"/>
      </rPr>
      <t>ge(%)</t>
    </r>
  </si>
  <si>
    <r>
      <t>Densité OPM(t/m</t>
    </r>
    <r>
      <rPr>
        <b/>
        <sz val="10"/>
        <color theme="1"/>
        <rFont val="Calibri"/>
        <family val="2"/>
      </rPr>
      <t>³)</t>
    </r>
  </si>
  <si>
    <t xml:space="preserve">Nom du client:  </t>
  </si>
  <si>
    <t>NGOMA-NZAOU Drège</t>
  </si>
  <si>
    <t>mm</t>
  </si>
  <si>
    <t xml:space="preserve">Date de reception: </t>
  </si>
  <si>
    <t>ESSAI CBR</t>
  </si>
  <si>
    <t>Projet</t>
  </si>
  <si>
    <t>Norme NF P 94-078</t>
  </si>
  <si>
    <t>Nom du projet :</t>
  </si>
  <si>
    <t>Date prélèvement :</t>
  </si>
  <si>
    <t>Site :</t>
  </si>
  <si>
    <t>Lieu de prélèvement :</t>
  </si>
  <si>
    <t>Client :</t>
  </si>
  <si>
    <t xml:space="preserve"> N° Dossier :</t>
  </si>
  <si>
    <t>Date de l'essai :</t>
  </si>
  <si>
    <t>Profondeur (m) :</t>
  </si>
  <si>
    <t>Nature de l'échantillon:</t>
  </si>
  <si>
    <t>Essai</t>
  </si>
  <si>
    <t>I. CBR Immédiat</t>
  </si>
  <si>
    <t>Moule</t>
  </si>
  <si>
    <t>CBR</t>
  </si>
  <si>
    <t>x</t>
  </si>
  <si>
    <t>Matériau</t>
  </si>
  <si>
    <t>Non traité</t>
  </si>
  <si>
    <t>I.CBR Immersion</t>
  </si>
  <si>
    <t>Nbre disques</t>
  </si>
  <si>
    <t>Traité</t>
  </si>
  <si>
    <t>IPI</t>
  </si>
  <si>
    <t>Liant</t>
  </si>
  <si>
    <t>Neant</t>
  </si>
  <si>
    <r>
      <rPr>
        <sz val="9"/>
        <color theme="4"/>
        <rFont val="Times New Roman"/>
        <family val="1"/>
      </rPr>
      <t>Durée</t>
    </r>
    <r>
      <rPr>
        <sz val="9"/>
        <color indexed="10"/>
        <rFont val="Times New Roman"/>
        <family val="1"/>
      </rPr>
      <t xml:space="preserve"> immersion</t>
    </r>
  </si>
  <si>
    <t>96h</t>
  </si>
  <si>
    <t>ρdOP (g/cm3)</t>
  </si>
  <si>
    <t>t/m3</t>
  </si>
  <si>
    <t>Denité sèche</t>
  </si>
  <si>
    <r>
      <t>g/cm</t>
    </r>
    <r>
      <rPr>
        <vertAlign val="superscript"/>
        <sz val="9"/>
        <rFont val="Times New Roman"/>
        <family val="1"/>
      </rPr>
      <t>3</t>
    </r>
  </si>
  <si>
    <r>
      <t>w</t>
    </r>
    <r>
      <rPr>
        <vertAlign val="subscript"/>
        <sz val="9"/>
        <color indexed="10"/>
        <rFont val="Times New Roman"/>
        <family val="1"/>
      </rPr>
      <t>op</t>
    </r>
    <r>
      <rPr>
        <sz val="9"/>
        <color indexed="10"/>
        <rFont val="Times New Roman"/>
        <family val="1"/>
      </rPr>
      <t xml:space="preserve"> </t>
    </r>
  </si>
  <si>
    <t>Mesurée</t>
  </si>
  <si>
    <t>Estimée</t>
  </si>
  <si>
    <t>Essai après imbibition</t>
  </si>
  <si>
    <t>Teneur en eau de compactage</t>
  </si>
  <si>
    <t>Poinconnement</t>
  </si>
  <si>
    <t>Coups</t>
  </si>
  <si>
    <t>56 coups</t>
  </si>
  <si>
    <t>25 coups</t>
  </si>
  <si>
    <t>10 coups</t>
  </si>
  <si>
    <t>Essai N°</t>
  </si>
  <si>
    <t>Enf,(mm)</t>
  </si>
  <si>
    <t>Lecture</t>
  </si>
  <si>
    <t>Effort (kN)</t>
  </si>
  <si>
    <t>N° de la tare</t>
  </si>
  <si>
    <t>tare</t>
  </si>
  <si>
    <t>Mh+tare</t>
  </si>
  <si>
    <t>Ms + tare</t>
  </si>
  <si>
    <t>w (%)</t>
  </si>
  <si>
    <t>w Moyenne</t>
  </si>
  <si>
    <t>% wop</t>
  </si>
  <si>
    <r>
      <t>Densité</t>
    </r>
    <r>
      <rPr>
        <sz val="9.6"/>
        <rFont val="Times New Roman"/>
        <family val="1"/>
      </rPr>
      <t xml:space="preserve"> </t>
    </r>
    <r>
      <rPr>
        <sz val="8"/>
        <rFont val="Times New Roman"/>
        <family val="1"/>
      </rPr>
      <t>sèche de compactage</t>
    </r>
  </si>
  <si>
    <t>N° du moule</t>
  </si>
  <si>
    <t>Moule (g)</t>
  </si>
  <si>
    <t>Moule + sol (g)</t>
  </si>
  <si>
    <r>
      <t>Vol. du moule (cm</t>
    </r>
    <r>
      <rPr>
        <vertAlign val="superscript"/>
        <sz val="7"/>
        <rFont val="Times New Roman"/>
        <family val="1"/>
      </rPr>
      <t>3</t>
    </r>
    <r>
      <rPr>
        <sz val="7"/>
        <rFont val="Times New Roman"/>
        <family val="1"/>
      </rPr>
      <t>)</t>
    </r>
  </si>
  <si>
    <r>
      <t>r (g/cm</t>
    </r>
    <r>
      <rPr>
        <vertAlign val="superscript"/>
        <sz val="7"/>
        <rFont val="Times New Roman"/>
        <family val="1"/>
      </rPr>
      <t>3</t>
    </r>
    <r>
      <rPr>
        <sz val="7"/>
        <rFont val="Times New Roman"/>
        <family val="1"/>
      </rPr>
      <t>)</t>
    </r>
  </si>
  <si>
    <t>M tare</t>
  </si>
  <si>
    <r>
      <t>rd (g/cm</t>
    </r>
    <r>
      <rPr>
        <vertAlign val="superscript"/>
        <sz val="7"/>
        <rFont val="Times New Roman"/>
        <family val="1"/>
      </rPr>
      <t>3</t>
    </r>
    <r>
      <rPr>
        <sz val="7"/>
        <rFont val="Times New Roman"/>
        <family val="1"/>
      </rPr>
      <t>)</t>
    </r>
  </si>
  <si>
    <t>Ms+tare</t>
  </si>
  <si>
    <t>Gonflement</t>
  </si>
  <si>
    <t>55 coups</t>
  </si>
  <si>
    <t>Moyenne</t>
  </si>
  <si>
    <t>Temps</t>
  </si>
  <si>
    <t>RESULTATS</t>
  </si>
  <si>
    <t>F(2,5) =</t>
  </si>
  <si>
    <t>kN</t>
  </si>
  <si>
    <t>IP(2,5)</t>
  </si>
  <si>
    <t>CBR %</t>
  </si>
  <si>
    <t>F(5) =</t>
  </si>
  <si>
    <t>IP(5)</t>
  </si>
  <si>
    <t>Exécuté par</t>
  </si>
  <si>
    <t xml:space="preserve">Remarques : </t>
  </si>
  <si>
    <t>Responsable du dossier</t>
  </si>
  <si>
    <t>RAPPORT</t>
  </si>
  <si>
    <t>-</t>
  </si>
  <si>
    <t>N° Dossier :</t>
  </si>
  <si>
    <t>Nombre de coups</t>
  </si>
  <si>
    <r>
      <rPr>
        <sz val="7"/>
        <color indexed="10"/>
        <rFont val="Calibri"/>
        <family val="2"/>
      </rPr>
      <t>ρd</t>
    </r>
    <r>
      <rPr>
        <sz val="7"/>
        <color indexed="10"/>
        <rFont val="Arial"/>
        <family val="2"/>
      </rPr>
      <t>OP (g/cm3)</t>
    </r>
  </si>
  <si>
    <r>
      <t>r</t>
    </r>
    <r>
      <rPr>
        <sz val="8"/>
        <rFont val="Arial"/>
        <family val="2"/>
      </rPr>
      <t>s</t>
    </r>
  </si>
  <si>
    <r>
      <t>g/cm</t>
    </r>
    <r>
      <rPr>
        <vertAlign val="superscript"/>
        <sz val="8"/>
        <rFont val="Arial"/>
        <family val="2"/>
      </rPr>
      <t>3</t>
    </r>
  </si>
  <si>
    <r>
      <t>w</t>
    </r>
    <r>
      <rPr>
        <vertAlign val="subscript"/>
        <sz val="10"/>
        <color indexed="10"/>
        <rFont val="Arial"/>
        <family val="2"/>
      </rPr>
      <t>op</t>
    </r>
    <r>
      <rPr>
        <sz val="10"/>
        <color indexed="10"/>
        <rFont val="Arial"/>
        <family val="2"/>
      </rPr>
      <t xml:space="preserve"> </t>
    </r>
  </si>
  <si>
    <t>ESSAI PROCTOR MODIFIE</t>
  </si>
  <si>
    <t>ESSAI C.B.R.</t>
  </si>
  <si>
    <t>gd</t>
  </si>
  <si>
    <t>W% de</t>
  </si>
  <si>
    <t>W% après 4j</t>
  </si>
  <si>
    <t>Essai Proctor</t>
  </si>
  <si>
    <t>Correction</t>
  </si>
  <si>
    <t>Nbre de coups</t>
  </si>
  <si>
    <t>(t/m³)</t>
  </si>
  <si>
    <t>MOULAGE</t>
  </si>
  <si>
    <r>
      <t>y</t>
    </r>
    <r>
      <rPr>
        <b/>
        <i/>
        <vertAlign val="subscript"/>
        <sz val="10"/>
        <rFont val="Times New Roman"/>
        <family val="1"/>
      </rPr>
      <t>d</t>
    </r>
    <r>
      <rPr>
        <sz val="10"/>
        <rFont val="Times New Roman"/>
        <family val="1"/>
      </rPr>
      <t xml:space="preserve"> OPM (t/m3)</t>
    </r>
  </si>
  <si>
    <r>
      <t xml:space="preserve">W </t>
    </r>
    <r>
      <rPr>
        <vertAlign val="subscript"/>
        <sz val="10"/>
        <rFont val="Times New Roman"/>
        <family val="1"/>
      </rPr>
      <t>OPM</t>
    </r>
    <r>
      <rPr>
        <sz val="10"/>
        <rFont val="Times New Roman"/>
        <family val="1"/>
      </rPr>
      <t xml:space="preserve"> (%)</t>
    </r>
  </si>
  <si>
    <t>% &gt; 20 mm</t>
  </si>
  <si>
    <t>Pts</t>
  </si>
  <si>
    <t>OPM</t>
  </si>
  <si>
    <t>CBR(%)</t>
  </si>
  <si>
    <t>gd(t/m³)</t>
  </si>
  <si>
    <t>CBR à 95%</t>
  </si>
  <si>
    <t>Bureau de Contrôle du Bâtiement et des Travaux Publics</t>
  </si>
  <si>
    <t>PROVENANCE</t>
  </si>
  <si>
    <t>DATE DE PRELEVEMENT</t>
  </si>
  <si>
    <t>DATE DES ESSAIS</t>
  </si>
  <si>
    <t>Nature de l'échantillon</t>
  </si>
  <si>
    <t>Observations</t>
  </si>
  <si>
    <t>ESSAIS D'IDENTIFICATION</t>
  </si>
  <si>
    <t>Classification USHRB</t>
  </si>
  <si>
    <t>W.L.</t>
  </si>
  <si>
    <t>Teneur en eau naturelle %</t>
  </si>
  <si>
    <t>W.P.</t>
  </si>
  <si>
    <t>E.S(%)</t>
  </si>
  <si>
    <t>I.P.</t>
  </si>
  <si>
    <t>% 80 microns</t>
  </si>
  <si>
    <t>f x IP</t>
  </si>
  <si>
    <t>Tamis</t>
  </si>
  <si>
    <t xml:space="preserve"> </t>
  </si>
  <si>
    <t>&lt;mm</t>
  </si>
  <si>
    <t>Essai C.B.R.</t>
  </si>
  <si>
    <t>GONFLEMENT</t>
  </si>
  <si>
    <t>(kN/m3)</t>
  </si>
  <si>
    <t>IMBIBITION</t>
  </si>
  <si>
    <t>56 cps</t>
  </si>
  <si>
    <t>25 cps</t>
  </si>
  <si>
    <t>10 cps</t>
  </si>
  <si>
    <t>w%</t>
  </si>
  <si>
    <t>Jean Richard NGAMBIE</t>
  </si>
  <si>
    <t xml:space="preserve">                                                PROCES-VERBAL D'ESSAIS</t>
  </si>
  <si>
    <t>Direction du Laboratoire</t>
  </si>
  <si>
    <t xml:space="preserve">Détermination de la teneur en eau pondérale des sols       </t>
  </si>
  <si>
    <t xml:space="preserve">                     - Méthode par étuvage-</t>
  </si>
  <si>
    <t xml:space="preserve">                                    NF P 94-050/ Septembre 1995</t>
  </si>
  <si>
    <t>Date de l'essai:</t>
  </si>
  <si>
    <t>Référence échantillon:</t>
  </si>
  <si>
    <t>Masse minimale de la prise d'essai:</t>
  </si>
  <si>
    <t>Masse (g)</t>
  </si>
  <si>
    <t>6.3</t>
  </si>
  <si>
    <t>12.5</t>
  </si>
  <si>
    <t>31.5</t>
  </si>
  <si>
    <t>0.3</t>
  </si>
  <si>
    <t>0.4</t>
  </si>
  <si>
    <t>0.5</t>
  </si>
  <si>
    <t>0.8</t>
  </si>
  <si>
    <t>1.2</t>
  </si>
  <si>
    <t>Etuvage à :</t>
  </si>
  <si>
    <t>50°C</t>
  </si>
  <si>
    <t>105 °C</t>
  </si>
  <si>
    <t>Tare n°:………</t>
  </si>
  <si>
    <t xml:space="preserve">Masse avant étuvage : Prise de l'essai+tare: </t>
  </si>
  <si>
    <t>m2 = m+m1 =...………</t>
  </si>
  <si>
    <t>Masse après étuvage, prise d'essai + tare :</t>
  </si>
  <si>
    <t>TENEUR EN EAU:</t>
  </si>
  <si>
    <t>.…...…%</t>
  </si>
  <si>
    <t>Responsable de l'essai:</t>
  </si>
  <si>
    <t xml:space="preserve">                                          PROCES-VERBAL D'ESSAIS</t>
  </si>
  <si>
    <t>Référence:</t>
  </si>
  <si>
    <t>:FEE/310/18</t>
  </si>
  <si>
    <t>Indice</t>
  </si>
  <si>
    <t>:0 1</t>
  </si>
  <si>
    <t>Date appl</t>
  </si>
  <si>
    <t>:30-10-2018</t>
  </si>
  <si>
    <t xml:space="preserve">                                    NF P 94-056/ Mars 1996</t>
  </si>
  <si>
    <t xml:space="preserve">Page </t>
  </si>
  <si>
    <t>: 1/1</t>
  </si>
  <si>
    <t xml:space="preserve">Matériau          </t>
  </si>
  <si>
    <t xml:space="preserve">Masse de la prisse d'essai </t>
  </si>
  <si>
    <t>Masse refus mesuré (g)</t>
  </si>
  <si>
    <t>Masse refus R cumulé           (g)</t>
  </si>
  <si>
    <t>Pourcentage massique</t>
  </si>
  <si>
    <t xml:space="preserve">m=       </t>
  </si>
  <si>
    <t>g</t>
  </si>
  <si>
    <t>µm</t>
  </si>
  <si>
    <t>r i</t>
  </si>
  <si>
    <t>R</t>
  </si>
  <si>
    <t>Refus cumulé r</t>
  </si>
  <si>
    <t>Tamisât cumulé p</t>
  </si>
  <si>
    <t>..mm</t>
  </si>
  <si>
    <t>RC=…………………</t>
  </si>
  <si>
    <t>…….g</t>
  </si>
  <si>
    <t>mh= ……………….</t>
  </si>
  <si>
    <t>Masse humide:</t>
  </si>
  <si>
    <t>……..g</t>
  </si>
  <si>
    <t>Masse sèche:</t>
  </si>
  <si>
    <t>Ms1</t>
  </si>
  <si>
    <t>..…..g</t>
  </si>
  <si>
    <t>Mh1 =..</t>
  </si>
  <si>
    <t>Ms1…</t>
  </si>
  <si>
    <t xml:space="preserve">Masse sèche totale: </t>
  </si>
  <si>
    <t>Coefficient multiplicateur sur le refus au tamis de 80µm:</t>
  </si>
  <si>
    <t>b=mh/mh2:……..………..</t>
  </si>
  <si>
    <t>……….</t>
  </si>
  <si>
    <t>……g</t>
  </si>
  <si>
    <t xml:space="preserve">  Pourcentage</t>
  </si>
  <si>
    <t>Refus:</t>
  </si>
  <si>
    <t>De tamisat:</t>
  </si>
  <si>
    <t>Vérification:</t>
  </si>
  <si>
    <t>(ms2-ms4)/ms2=………..</t>
  </si>
  <si>
    <t>≤0,01</t>
  </si>
  <si>
    <t>NB:Si dc =dm : Rc = 0; b = 1</t>
  </si>
  <si>
    <t>Nom:</t>
  </si>
  <si>
    <t>Visa:</t>
  </si>
  <si>
    <t xml:space="preserve"> PROCES-VERBAL D'ESSAIS</t>
  </si>
  <si>
    <t>Effectuée conformement à la norme NF P 94-056/ Mars 1996</t>
  </si>
  <si>
    <r>
      <t xml:space="preserve">Sols : reconnaissance et essais                                        </t>
    </r>
    <r>
      <rPr>
        <b/>
        <sz val="10"/>
        <color theme="1"/>
        <rFont val="Calibri"/>
        <family val="2"/>
        <scheme val="minor"/>
      </rPr>
      <t xml:space="preserve">                                                                                                                      </t>
    </r>
    <r>
      <rPr>
        <b/>
        <sz val="9"/>
        <color theme="1"/>
        <rFont val="Calibri"/>
        <family val="2"/>
        <scheme val="minor"/>
      </rPr>
      <t xml:space="preserve"> Analyse granulométrique : Méthode par tamisage à sec      après lavage</t>
    </r>
  </si>
  <si>
    <t xml:space="preserve"> ....g.</t>
  </si>
  <si>
    <t xml:space="preserve">   ...g.</t>
  </si>
  <si>
    <t>…...g.</t>
  </si>
  <si>
    <t>11'</t>
  </si>
  <si>
    <t>BEANGE</t>
  </si>
  <si>
    <t>NGOMA-NZAOU</t>
  </si>
  <si>
    <t>BEANGE Grace</t>
  </si>
  <si>
    <t>Tamisats</t>
  </si>
  <si>
    <t>ETUVE:</t>
  </si>
  <si>
    <t>TARE:</t>
  </si>
  <si>
    <r>
      <rPr>
        <sz val="12"/>
        <color theme="1"/>
        <rFont val="Times New Roman"/>
        <family val="1"/>
      </rPr>
      <t>d</t>
    </r>
    <r>
      <rPr>
        <vertAlign val="subscript"/>
        <sz val="12"/>
        <color theme="1"/>
        <rFont val="Times New Roman"/>
        <family val="1"/>
      </rPr>
      <t>m</t>
    </r>
    <r>
      <rPr>
        <sz val="12"/>
        <color theme="1"/>
        <rFont val="Times New Roman"/>
        <family val="1"/>
      </rPr>
      <t xml:space="preserve"> (µm)</t>
    </r>
  </si>
  <si>
    <r>
      <rPr>
        <sz val="12"/>
        <color theme="1"/>
        <rFont val="Times New Roman"/>
        <family val="1"/>
      </rPr>
      <t>d</t>
    </r>
    <r>
      <rPr>
        <vertAlign val="subscript"/>
        <sz val="12"/>
        <color theme="1"/>
        <rFont val="Times New Roman"/>
        <family val="1"/>
      </rPr>
      <t>m</t>
    </r>
    <r>
      <rPr>
        <sz val="12"/>
        <color theme="1"/>
        <rFont val="Times New Roman"/>
        <family val="1"/>
      </rPr>
      <t xml:space="preserve"> (mm)</t>
    </r>
  </si>
  <si>
    <r>
      <rPr>
        <sz val="12"/>
        <color theme="1"/>
        <rFont val="Times New Roman"/>
        <family val="1"/>
      </rPr>
      <t>d</t>
    </r>
    <r>
      <rPr>
        <vertAlign val="subscript"/>
        <sz val="12"/>
        <color theme="1"/>
        <rFont val="Times New Roman"/>
        <family val="1"/>
      </rPr>
      <t xml:space="preserve">m </t>
    </r>
    <r>
      <rPr>
        <sz val="12"/>
        <color theme="1"/>
        <rFont val="Times New Roman"/>
        <family val="1"/>
      </rPr>
      <t xml:space="preserve"> &gt;80mm</t>
    </r>
  </si>
  <si>
    <r>
      <t>m=6.10</t>
    </r>
    <r>
      <rPr>
        <vertAlign val="superscript"/>
        <sz val="11"/>
        <color theme="1"/>
        <rFont val="Times New Roman"/>
        <family val="1"/>
      </rPr>
      <t xml:space="preserve">6 </t>
    </r>
    <r>
      <rPr>
        <sz val="11"/>
        <color theme="1"/>
        <rFont val="Times New Roman"/>
        <family val="1"/>
      </rPr>
      <t xml:space="preserve">dm </t>
    </r>
    <r>
      <rPr>
        <vertAlign val="superscript"/>
        <sz val="11"/>
        <color theme="1"/>
        <rFont val="Times New Roman"/>
        <family val="1"/>
      </rPr>
      <t>3,66</t>
    </r>
  </si>
  <si>
    <r>
      <rPr>
        <b/>
        <u/>
        <sz val="11"/>
        <color theme="1"/>
        <rFont val="Times New Roman"/>
        <family val="1"/>
      </rPr>
      <t>Mesure de la teneur en eau</t>
    </r>
    <r>
      <rPr>
        <b/>
        <sz val="11"/>
        <color theme="1"/>
        <rFont val="Times New Roman"/>
        <family val="1"/>
      </rPr>
      <t xml:space="preserve"> </t>
    </r>
  </si>
  <si>
    <r>
      <t>Masse de la tare:m</t>
    </r>
    <r>
      <rPr>
        <vertAlign val="subscript"/>
        <sz val="11"/>
        <color theme="1"/>
        <rFont val="Times New Roman"/>
        <family val="1"/>
      </rPr>
      <t>1</t>
    </r>
    <r>
      <rPr>
        <sz val="11"/>
        <color theme="1"/>
        <rFont val="Times New Roman"/>
        <family val="1"/>
      </rPr>
      <t>=………..</t>
    </r>
  </si>
  <si>
    <r>
      <t>M</t>
    </r>
    <r>
      <rPr>
        <vertAlign val="subscript"/>
        <sz val="11"/>
        <color theme="1"/>
        <rFont val="Times New Roman"/>
        <family val="1"/>
      </rPr>
      <t>3</t>
    </r>
    <r>
      <rPr>
        <sz val="11"/>
        <color theme="1"/>
        <rFont val="Times New Roman"/>
        <family val="1"/>
      </rPr>
      <t>=…….…..</t>
    </r>
  </si>
  <si>
    <r>
      <t>m</t>
    </r>
    <r>
      <rPr>
        <vertAlign val="subscript"/>
        <sz val="11"/>
        <color theme="1"/>
        <rFont val="Times New Roman"/>
        <family val="1"/>
      </rPr>
      <t>w</t>
    </r>
    <r>
      <rPr>
        <sz val="11"/>
        <color theme="1"/>
        <rFont val="Times New Roman"/>
        <family val="1"/>
      </rPr>
      <t xml:space="preserve">: masse de l'eau évaporée lors de l'étuvage </t>
    </r>
  </si>
  <si>
    <r>
      <t>m</t>
    </r>
    <r>
      <rPr>
        <vertAlign val="subscript"/>
        <sz val="11"/>
        <color theme="1"/>
        <rFont val="Times New Roman"/>
        <family val="1"/>
      </rPr>
      <t>d</t>
    </r>
    <r>
      <rPr>
        <sz val="11"/>
        <color theme="1"/>
        <rFont val="Times New Roman"/>
        <family val="1"/>
      </rPr>
      <t xml:space="preserve"> : masse des grains solides </t>
    </r>
  </si>
  <si>
    <r>
      <rPr>
        <b/>
        <i/>
        <sz val="11"/>
        <color theme="1"/>
        <rFont val="Times New Roman"/>
        <family val="1"/>
      </rPr>
      <t>W</t>
    </r>
    <r>
      <rPr>
        <b/>
        <sz val="11"/>
        <color theme="1"/>
        <rFont val="Times New Roman"/>
        <family val="1"/>
      </rPr>
      <t xml:space="preserve">= </t>
    </r>
  </si>
  <si>
    <r>
      <t>y</t>
    </r>
    <r>
      <rPr>
        <b/>
        <i/>
        <vertAlign val="subscript"/>
        <sz val="11"/>
        <rFont val="Times New Roman"/>
        <family val="1"/>
      </rPr>
      <t>d</t>
    </r>
    <r>
      <rPr>
        <sz val="11"/>
        <rFont val="Times New Roman"/>
        <family val="1"/>
      </rPr>
      <t xml:space="preserve"> OPM (T/m3)</t>
    </r>
  </si>
  <si>
    <r>
      <t xml:space="preserve">W </t>
    </r>
    <r>
      <rPr>
        <vertAlign val="subscript"/>
        <sz val="11"/>
        <rFont val="Times New Roman"/>
        <family val="1"/>
      </rPr>
      <t>OPM</t>
    </r>
    <r>
      <rPr>
        <sz val="11"/>
        <rFont val="Times New Roman"/>
        <family val="1"/>
      </rPr>
      <t xml:space="preserve"> (%)</t>
    </r>
  </si>
  <si>
    <r>
      <rPr>
        <b/>
        <sz val="12"/>
        <color theme="1"/>
        <rFont val="Times New Roman"/>
        <family val="1"/>
      </rPr>
      <t>d</t>
    </r>
    <r>
      <rPr>
        <b/>
        <vertAlign val="subscript"/>
        <sz val="12"/>
        <color theme="1"/>
        <rFont val="Times New Roman"/>
        <family val="1"/>
      </rPr>
      <t>m</t>
    </r>
    <r>
      <rPr>
        <b/>
        <sz val="12"/>
        <color theme="1"/>
        <rFont val="Times New Roman"/>
        <family val="1"/>
      </rPr>
      <t xml:space="preserve"> (mm)</t>
    </r>
  </si>
  <si>
    <r>
      <rPr>
        <b/>
        <sz val="12"/>
        <color theme="1"/>
        <rFont val="Times New Roman"/>
        <family val="1"/>
      </rPr>
      <t>d</t>
    </r>
    <r>
      <rPr>
        <b/>
        <vertAlign val="subscript"/>
        <sz val="12"/>
        <color theme="1"/>
        <rFont val="Times New Roman"/>
        <family val="1"/>
      </rPr>
      <t xml:space="preserve">m </t>
    </r>
    <r>
      <rPr>
        <b/>
        <sz val="12"/>
        <color theme="1"/>
        <rFont val="Times New Roman"/>
        <family val="1"/>
      </rPr>
      <t xml:space="preserve"> &gt;80mm</t>
    </r>
  </si>
  <si>
    <r>
      <t>m=6.10</t>
    </r>
    <r>
      <rPr>
        <b/>
        <vertAlign val="superscript"/>
        <sz val="11"/>
        <color theme="1"/>
        <rFont val="Times New Roman"/>
        <family val="1"/>
      </rPr>
      <t xml:space="preserve">6 </t>
    </r>
    <r>
      <rPr>
        <b/>
        <sz val="11"/>
        <color theme="1"/>
        <rFont val="Times New Roman"/>
        <family val="1"/>
      </rPr>
      <t xml:space="preserve">dm </t>
    </r>
    <r>
      <rPr>
        <b/>
        <vertAlign val="superscript"/>
        <sz val="11"/>
        <color theme="1"/>
        <rFont val="Times New Roman"/>
        <family val="1"/>
      </rPr>
      <t>3,66</t>
    </r>
  </si>
  <si>
    <r>
      <t>d</t>
    </r>
    <r>
      <rPr>
        <b/>
        <vertAlign val="subscript"/>
        <sz val="11"/>
        <color theme="1"/>
        <rFont val="Times New Roman"/>
        <family val="1"/>
      </rPr>
      <t>m</t>
    </r>
    <r>
      <rPr>
        <b/>
        <sz val="11"/>
        <color theme="1"/>
        <rFont val="Times New Roman"/>
        <family val="1"/>
      </rPr>
      <t>=           mm</t>
    </r>
  </si>
  <si>
    <r>
      <t>Partage au tamis d</t>
    </r>
    <r>
      <rPr>
        <b/>
        <vertAlign val="subscript"/>
        <sz val="11"/>
        <color theme="1"/>
        <rFont val="Times New Roman"/>
        <family val="1"/>
      </rPr>
      <t>c</t>
    </r>
    <r>
      <rPr>
        <b/>
        <sz val="11"/>
        <color theme="1"/>
        <rFont val="Times New Roman"/>
        <family val="1"/>
      </rPr>
      <t xml:space="preserve"> :                     </t>
    </r>
  </si>
  <si>
    <r>
      <t>Masse sèche du refus au tamis d</t>
    </r>
    <r>
      <rPr>
        <b/>
        <vertAlign val="subscript"/>
        <sz val="11"/>
        <color theme="1"/>
        <rFont val="Times New Roman"/>
        <family val="1"/>
      </rPr>
      <t>c</t>
    </r>
    <r>
      <rPr>
        <b/>
        <sz val="11"/>
        <color theme="1"/>
        <rFont val="Times New Roman"/>
        <family val="1"/>
      </rPr>
      <t xml:space="preserve">: </t>
    </r>
  </si>
  <si>
    <r>
      <t xml:space="preserve">      Masse passant au tamis d</t>
    </r>
    <r>
      <rPr>
        <b/>
        <vertAlign val="subscript"/>
        <sz val="11"/>
        <color theme="1"/>
        <rFont val="Times New Roman"/>
        <family val="1"/>
      </rPr>
      <t>c</t>
    </r>
    <r>
      <rPr>
        <b/>
        <sz val="11"/>
        <color theme="1"/>
        <rFont val="Times New Roman"/>
        <family val="1"/>
      </rPr>
      <t xml:space="preserve">: </t>
    </r>
  </si>
  <si>
    <r>
      <t>Part (1) sur tamisat au tamis d</t>
    </r>
    <r>
      <rPr>
        <b/>
        <vertAlign val="subscript"/>
        <sz val="11"/>
        <color theme="1"/>
        <rFont val="Times New Roman"/>
        <family val="1"/>
      </rPr>
      <t>c</t>
    </r>
  </si>
  <si>
    <r>
      <t>Mh</t>
    </r>
    <r>
      <rPr>
        <b/>
        <vertAlign val="subscript"/>
        <sz val="11"/>
        <color theme="1"/>
        <rFont val="Times New Roman"/>
        <family val="1"/>
      </rPr>
      <t>1</t>
    </r>
    <r>
      <rPr>
        <b/>
        <sz val="11"/>
        <color theme="1"/>
        <rFont val="Times New Roman"/>
        <family val="1"/>
      </rPr>
      <t xml:space="preserve"> =..</t>
    </r>
  </si>
  <si>
    <r>
      <t>Part (2) sur tamisat au tamis d</t>
    </r>
    <r>
      <rPr>
        <b/>
        <vertAlign val="subscript"/>
        <sz val="11"/>
        <color theme="1"/>
        <rFont val="Times New Roman"/>
        <family val="1"/>
      </rPr>
      <t>c</t>
    </r>
  </si>
  <si>
    <r>
      <t>m</t>
    </r>
    <r>
      <rPr>
        <b/>
        <vertAlign val="subscript"/>
        <sz val="11"/>
        <color theme="1"/>
        <rFont val="Times New Roman"/>
        <family val="1"/>
      </rPr>
      <t>s</t>
    </r>
    <r>
      <rPr>
        <b/>
        <sz val="11"/>
        <color theme="1"/>
        <rFont val="Times New Roman"/>
        <family val="1"/>
      </rPr>
      <t>=R</t>
    </r>
    <r>
      <rPr>
        <b/>
        <vertAlign val="subscript"/>
        <sz val="11"/>
        <color theme="1"/>
        <rFont val="Times New Roman"/>
        <family val="1"/>
      </rPr>
      <t>c</t>
    </r>
    <r>
      <rPr>
        <b/>
        <sz val="11"/>
        <color theme="1"/>
        <rFont val="Times New Roman"/>
        <family val="1"/>
      </rPr>
      <t>+m</t>
    </r>
    <r>
      <rPr>
        <b/>
        <vertAlign val="subscript"/>
        <sz val="11"/>
        <color theme="1"/>
        <rFont val="Times New Roman"/>
        <family val="1"/>
      </rPr>
      <t>h</t>
    </r>
    <r>
      <rPr>
        <b/>
        <sz val="11"/>
        <color theme="1"/>
        <rFont val="Times New Roman"/>
        <family val="1"/>
      </rPr>
      <t>.m</t>
    </r>
    <r>
      <rPr>
        <b/>
        <vertAlign val="subscript"/>
        <sz val="11"/>
        <color theme="1"/>
        <rFont val="Times New Roman"/>
        <family val="1"/>
      </rPr>
      <t>s1</t>
    </r>
    <r>
      <rPr>
        <b/>
        <sz val="11"/>
        <color theme="1"/>
        <rFont val="Times New Roman"/>
        <family val="1"/>
      </rPr>
      <t>/m</t>
    </r>
    <r>
      <rPr>
        <b/>
        <vertAlign val="subscript"/>
        <sz val="11"/>
        <color theme="1"/>
        <rFont val="Times New Roman"/>
        <family val="1"/>
      </rPr>
      <t>h1</t>
    </r>
    <r>
      <rPr>
        <b/>
        <sz val="11"/>
        <color theme="1"/>
        <rFont val="Times New Roman"/>
        <family val="1"/>
      </rPr>
      <t>=……</t>
    </r>
  </si>
  <si>
    <r>
      <t>Refus cumulé R = R</t>
    </r>
    <r>
      <rPr>
        <b/>
        <vertAlign val="subscript"/>
        <sz val="11"/>
        <color theme="1"/>
        <rFont val="Times New Roman"/>
        <family val="1"/>
      </rPr>
      <t xml:space="preserve">C </t>
    </r>
    <r>
      <rPr>
        <b/>
        <sz val="11"/>
        <color theme="1"/>
        <rFont val="Times New Roman"/>
        <family val="1"/>
      </rPr>
      <t>+ br</t>
    </r>
    <r>
      <rPr>
        <b/>
        <vertAlign val="subscript"/>
        <sz val="11"/>
        <color theme="1"/>
        <rFont val="Times New Roman"/>
        <family val="1"/>
      </rPr>
      <t>1</t>
    </r>
  </si>
  <si>
    <r>
      <t>Masse (80µm,dc):m</t>
    </r>
    <r>
      <rPr>
        <b/>
        <vertAlign val="subscript"/>
        <sz val="11"/>
        <color theme="1"/>
        <rFont val="Times New Roman"/>
        <family val="1"/>
      </rPr>
      <t>s4</t>
    </r>
    <r>
      <rPr>
        <b/>
        <sz val="11"/>
        <color theme="1"/>
        <rFont val="Times New Roman"/>
        <family val="1"/>
      </rPr>
      <t>=   Prélèvement 2</t>
    </r>
  </si>
  <si>
    <r>
      <t>Masse passant à 80µm de lafraction (80µm,d</t>
    </r>
    <r>
      <rPr>
        <b/>
        <vertAlign val="subscript"/>
        <sz val="11"/>
        <color theme="1"/>
        <rFont val="Times New Roman"/>
        <family val="1"/>
      </rPr>
      <t>c</t>
    </r>
    <r>
      <rPr>
        <b/>
        <sz val="11"/>
        <color theme="1"/>
        <rFont val="Times New Roman"/>
        <family val="1"/>
      </rPr>
      <t xml:space="preserve"> ):</t>
    </r>
  </si>
  <si>
    <r>
      <t>Sur part(2)m</t>
    </r>
    <r>
      <rPr>
        <b/>
        <vertAlign val="subscript"/>
        <sz val="11"/>
        <color theme="1"/>
        <rFont val="Times New Roman"/>
        <family val="1"/>
      </rPr>
      <t>s3</t>
    </r>
    <r>
      <rPr>
        <b/>
        <sz val="11"/>
        <color theme="1"/>
        <rFont val="Times New Roman"/>
        <family val="1"/>
      </rPr>
      <t xml:space="preserve"> =…………….</t>
    </r>
  </si>
  <si>
    <r>
      <t>R = 100 R/m</t>
    </r>
    <r>
      <rPr>
        <b/>
        <vertAlign val="subscript"/>
        <sz val="11"/>
        <color theme="1"/>
        <rFont val="Times New Roman"/>
        <family val="1"/>
      </rPr>
      <t>s</t>
    </r>
  </si>
  <si>
    <r>
      <t>100(1-R/m</t>
    </r>
    <r>
      <rPr>
        <b/>
        <vertAlign val="subscript"/>
        <sz val="11"/>
        <color theme="1"/>
        <rFont val="Times New Roman"/>
        <family val="1"/>
      </rPr>
      <t>s</t>
    </r>
    <r>
      <rPr>
        <b/>
        <sz val="11"/>
        <color theme="1"/>
        <rFont val="Times New Roman"/>
        <family val="1"/>
      </rPr>
      <t>)</t>
    </r>
  </si>
  <si>
    <t>Sols : reconnaissance et essais                                                                                                                                                                     Analyse granulométrique : Méthode par tamisage à sec après lavage</t>
  </si>
  <si>
    <t>B</t>
  </si>
  <si>
    <t>Prélevement effectué: BCBTP</t>
  </si>
  <si>
    <r>
      <t xml:space="preserve">Technicien : </t>
    </r>
    <r>
      <rPr>
        <b/>
        <sz val="12"/>
        <rFont val="Times New Roman"/>
        <family val="1"/>
      </rPr>
      <t>NGOMA-NZAOU Drège</t>
    </r>
  </si>
  <si>
    <t>Le Directeur du Laboratoire,</t>
  </si>
  <si>
    <t>Le Chef de Division,</t>
  </si>
  <si>
    <t>Eric ONDZOULOU</t>
  </si>
  <si>
    <t xml:space="preserve">Etude </t>
  </si>
  <si>
    <t>C</t>
  </si>
  <si>
    <t>ETUDE</t>
  </si>
  <si>
    <t>X4</t>
  </si>
  <si>
    <t xml:space="preserve">Poids refus </t>
  </si>
  <si>
    <t>Pourcentage cumulé</t>
  </si>
  <si>
    <t>DB1</t>
  </si>
  <si>
    <t>N° de reception:</t>
  </si>
  <si>
    <t>T'</t>
  </si>
  <si>
    <t>DB4</t>
  </si>
  <si>
    <t>Localisation du chantier:   Corniche Pont du Djoué</t>
  </si>
  <si>
    <t>B48</t>
  </si>
  <si>
    <r>
      <t>Nature de materiaux</t>
    </r>
    <r>
      <rPr>
        <sz val="11"/>
        <color theme="1"/>
        <rFont val="Calibri"/>
        <family val="2"/>
      </rPr>
      <t>: Sable Jaune</t>
    </r>
  </si>
  <si>
    <t>Provenance:  Puit 2 -  4 ème  couche</t>
  </si>
  <si>
    <t>DB2</t>
  </si>
  <si>
    <t>B11</t>
  </si>
  <si>
    <t>B8</t>
  </si>
  <si>
    <t>B44</t>
  </si>
  <si>
    <t>Corniche Pont du Djoué</t>
  </si>
  <si>
    <t>Du 10/12/2019 au 27/12/2019</t>
  </si>
  <si>
    <t>Puit 2 - 4ème couche</t>
  </si>
  <si>
    <t>Sable Jaune</t>
  </si>
  <si>
    <t>B4</t>
  </si>
  <si>
    <t>X3</t>
  </si>
  <si>
    <t>FA</t>
  </si>
  <si>
    <t>O</t>
  </si>
  <si>
    <t>D</t>
  </si>
  <si>
    <t>Sable Jaune - P 2 - 4 ème couche</t>
  </si>
  <si>
    <t>15/B8</t>
  </si>
  <si>
    <t>Sable  Jaune - Puit 2-4ème coucher</t>
  </si>
  <si>
    <t>B/ville, 27/12/2019</t>
  </si>
  <si>
    <t>Profondeur  1,00 m - 1,50 m</t>
  </si>
  <si>
    <t>POIDS SPECIFIQUE</t>
  </si>
  <si>
    <t>N° PYCNOMETRE</t>
  </si>
  <si>
    <t>Poids Pycnomètre vide                                                      = PO</t>
  </si>
  <si>
    <t>Poids Pycnomètre + Matériaux Sec                                = P2</t>
  </si>
  <si>
    <t>Poids Pycnomètre + Matériaux +Eau                            =P3</t>
  </si>
  <si>
    <t>Poids Pycnomètre + Eau                                                   =P1</t>
  </si>
  <si>
    <t>Volume Pycnomètre                                =        P1-P0 =    P4</t>
  </si>
  <si>
    <t>Volume Matériaux  Net Sec                   =        P2-P0 =    P5</t>
  </si>
  <si>
    <t>Volume d'Eau Restant                             =        P3-P2=     P6</t>
  </si>
  <si>
    <t xml:space="preserve">       Volume Matériaux                               =        P4-P6=    VM*    </t>
  </si>
  <si>
    <t xml:space="preserve">                               </t>
  </si>
  <si>
    <t xml:space="preserve">                                 Poids Spécifique                                  </t>
  </si>
  <si>
    <t xml:space="preserve">                                                              Moyenne </t>
  </si>
  <si>
    <r>
      <rPr>
        <b/>
        <i/>
        <u/>
        <sz val="11"/>
        <color theme="1"/>
        <rFont val="Arial"/>
        <family val="2"/>
      </rPr>
      <t>Observation</t>
    </r>
    <r>
      <rPr>
        <b/>
        <i/>
        <sz val="11"/>
        <color theme="1"/>
        <rFont val="Arial"/>
        <family val="2"/>
      </rPr>
      <t>:</t>
    </r>
  </si>
  <si>
    <r>
      <rPr>
        <b/>
        <u/>
        <sz val="12"/>
        <color theme="1"/>
        <rFont val="Calibri"/>
        <family val="2"/>
        <scheme val="minor"/>
      </rPr>
      <t>Opérateur</t>
    </r>
    <r>
      <rPr>
        <b/>
        <sz val="12"/>
        <color theme="1"/>
        <rFont val="Calibri"/>
        <family val="2"/>
        <scheme val="minor"/>
      </rPr>
      <t>:</t>
    </r>
  </si>
  <si>
    <r>
      <rPr>
        <b/>
        <u/>
        <sz val="12"/>
        <color theme="1"/>
        <rFont val="Calibri"/>
        <family val="2"/>
        <scheme val="minor"/>
      </rPr>
      <t>Chargé d'affaire</t>
    </r>
    <r>
      <rPr>
        <sz val="12"/>
        <color theme="1"/>
        <rFont val="Calibri"/>
        <family val="2"/>
        <scheme val="minor"/>
      </rPr>
      <t>:</t>
    </r>
  </si>
  <si>
    <t>Nature :Sable Jaune ,Profondeur  1,00 m  - 1,50 m, Puit 2 - 4 ème  couche</t>
  </si>
  <si>
    <t>Expérimentateur :BEANGE Grace</t>
  </si>
  <si>
    <t>Date :         26/12/2019</t>
  </si>
  <si>
    <t>Sable limoneux jaunâtre</t>
  </si>
  <si>
    <t xml:space="preserve"> Corniche Brazzaville - Tronçon Fulbert YOULOU Pont du Djoué  - Puit 2  - 4 ème couche</t>
  </si>
  <si>
    <r>
      <t xml:space="preserve">Poids spécifique
</t>
    </r>
    <r>
      <rPr>
        <i/>
        <sz val="9"/>
        <rFont val="Times New Roman"/>
        <family val="1"/>
      </rPr>
      <t>y</t>
    </r>
    <r>
      <rPr>
        <i/>
        <vertAlign val="subscript"/>
        <sz val="9"/>
        <rFont val="Times New Roman"/>
        <family val="1"/>
      </rPr>
      <t>s</t>
    </r>
    <r>
      <rPr>
        <sz val="9"/>
        <rFont val="Times New Roman"/>
        <family val="1"/>
      </rPr>
      <t xml:space="preserve"> (g/cm3)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</si>
</sst>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43" formatCode="_-* #,##0.00\ _€_-;\-* #,##0.00\ _€_-;_-* &quot;-&quot;??\ _€_-;_-@_-"/>
    <numFmt numFmtId="164" formatCode="0.0"/>
    <numFmt numFmtId="165" formatCode="0.000"/>
  </numFmts>
  <fonts count="12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0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theme="1"/>
      <name val="Calibri"/>
      <family val="2"/>
    </font>
    <font>
      <b/>
      <sz val="16"/>
      <color theme="1"/>
      <name val="Calibri"/>
      <family val="2"/>
      <scheme val="minor"/>
    </font>
    <font>
      <sz val="10"/>
      <color theme="1"/>
      <name val="Calibri"/>
      <family val="2"/>
    </font>
    <font>
      <b/>
      <sz val="10"/>
      <color theme="1"/>
      <name val="Calibri"/>
      <family val="2"/>
    </font>
    <font>
      <b/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Calibri"/>
      <family val="2"/>
      <scheme val="minor"/>
    </font>
    <font>
      <b/>
      <sz val="14"/>
      <color theme="4"/>
      <name val="Calibri"/>
      <family val="2"/>
      <scheme val="minor"/>
    </font>
    <font>
      <sz val="11"/>
      <name val="Calibri"/>
      <family val="2"/>
      <scheme val="minor"/>
    </font>
    <font>
      <b/>
      <sz val="18"/>
      <name val="Calibri"/>
      <family val="2"/>
      <scheme val="minor"/>
    </font>
    <font>
      <b/>
      <sz val="10"/>
      <name val="Calibri"/>
      <family val="2"/>
      <scheme val="minor"/>
    </font>
    <font>
      <sz val="14"/>
      <name val="Calibri"/>
      <family val="2"/>
      <scheme val="minor"/>
    </font>
    <font>
      <sz val="10"/>
      <color theme="4"/>
      <name val="Times New Roman"/>
      <family val="1"/>
    </font>
    <font>
      <sz val="10"/>
      <name val="Times New Roman"/>
      <family val="1"/>
    </font>
    <font>
      <sz val="9"/>
      <color theme="4"/>
      <name val="Times New Roman"/>
      <family val="1"/>
    </font>
    <font>
      <sz val="9"/>
      <name val="Times New Roman"/>
      <family val="1"/>
    </font>
    <font>
      <sz val="9"/>
      <color theme="4"/>
      <name val="Calibri"/>
      <family val="2"/>
      <scheme val="minor"/>
    </font>
    <font>
      <sz val="9"/>
      <color theme="9" tint="-0.249977111117893"/>
      <name val="Times New Roman"/>
      <family val="1"/>
    </font>
    <font>
      <sz val="9"/>
      <color indexed="10"/>
      <name val="Times New Roman"/>
      <family val="1"/>
    </font>
    <font>
      <vertAlign val="superscript"/>
      <sz val="9"/>
      <name val="Times New Roman"/>
      <family val="1"/>
    </font>
    <font>
      <vertAlign val="subscript"/>
      <sz val="9"/>
      <color indexed="10"/>
      <name val="Times New Roman"/>
      <family val="1"/>
    </font>
    <font>
      <sz val="8"/>
      <name val="Times New Roman"/>
      <family val="1"/>
    </font>
    <font>
      <sz val="7"/>
      <name val="Times New Roman"/>
      <family val="1"/>
    </font>
    <font>
      <i/>
      <sz val="7"/>
      <name val="Times New Roman"/>
      <family val="1"/>
    </font>
    <font>
      <sz val="9.6"/>
      <name val="Times New Roman"/>
      <family val="1"/>
    </font>
    <font>
      <vertAlign val="superscript"/>
      <sz val="7"/>
      <name val="Times New Roman"/>
      <family val="1"/>
    </font>
    <font>
      <i/>
      <sz val="9"/>
      <name val="Times New Roman"/>
      <family val="1"/>
    </font>
    <font>
      <sz val="11"/>
      <name val="Times New Roman"/>
      <family val="1"/>
    </font>
    <font>
      <sz val="11"/>
      <color theme="4"/>
      <name val="Times New Roman"/>
      <family val="1"/>
    </font>
    <font>
      <sz val="14"/>
      <color theme="4"/>
      <name val="Times New Roman"/>
      <family val="1"/>
    </font>
    <font>
      <sz val="12"/>
      <name val="Times New Roman"/>
      <family val="1"/>
    </font>
    <font>
      <b/>
      <sz val="18"/>
      <name val="Arial"/>
      <family val="2"/>
    </font>
    <font>
      <b/>
      <sz val="11"/>
      <name val="Times New Roman"/>
      <family val="1"/>
    </font>
    <font>
      <b/>
      <sz val="14"/>
      <name val="Times New Roman"/>
      <family val="1"/>
    </font>
    <font>
      <b/>
      <sz val="7"/>
      <color indexed="8"/>
      <name val="Arial"/>
      <family val="2"/>
    </font>
    <font>
      <sz val="8"/>
      <color indexed="8"/>
      <name val="Arial"/>
      <family val="2"/>
    </font>
    <font>
      <b/>
      <sz val="10"/>
      <name val="Times New Roman"/>
      <family val="1"/>
    </font>
    <font>
      <b/>
      <sz val="12"/>
      <name val="Arial"/>
      <family val="2"/>
    </font>
    <font>
      <sz val="8"/>
      <color theme="4"/>
      <name val="Arial"/>
      <family val="2"/>
    </font>
    <font>
      <b/>
      <sz val="8"/>
      <name val="Arial"/>
      <family val="2"/>
    </font>
    <font>
      <sz val="7"/>
      <color theme="4"/>
      <name val="Arial"/>
      <family val="2"/>
    </font>
    <font>
      <sz val="10"/>
      <color theme="4"/>
      <name val="Arial"/>
      <family val="2"/>
    </font>
    <font>
      <sz val="9"/>
      <name val="Arial"/>
      <family val="2"/>
    </font>
    <font>
      <sz val="8"/>
      <name val="Arial"/>
      <family val="2"/>
    </font>
    <font>
      <sz val="7"/>
      <color theme="9" tint="-0.249977111117893"/>
      <name val="Arial"/>
      <family val="2"/>
    </font>
    <font>
      <sz val="7"/>
      <color indexed="10"/>
      <name val="Calibri"/>
      <family val="2"/>
    </font>
    <font>
      <sz val="7"/>
      <color indexed="10"/>
      <name val="Arial"/>
      <family val="2"/>
    </font>
    <font>
      <sz val="8"/>
      <name val="Symbol"/>
      <family val="1"/>
      <charset val="2"/>
    </font>
    <font>
      <vertAlign val="superscript"/>
      <sz val="8"/>
      <name val="Arial"/>
      <family val="2"/>
    </font>
    <font>
      <sz val="10"/>
      <color theme="9" tint="-0.249977111117893"/>
      <name val="Arial"/>
      <family val="2"/>
    </font>
    <font>
      <vertAlign val="subscript"/>
      <sz val="10"/>
      <color indexed="10"/>
      <name val="Arial"/>
      <family val="2"/>
    </font>
    <font>
      <sz val="10"/>
      <color indexed="10"/>
      <name val="Arial"/>
      <family val="2"/>
    </font>
    <font>
      <b/>
      <sz val="10"/>
      <name val="Arial"/>
      <family val="2"/>
    </font>
    <font>
      <b/>
      <sz val="10"/>
      <color theme="4"/>
      <name val="Times New Roman"/>
      <family val="1"/>
    </font>
    <font>
      <i/>
      <sz val="10"/>
      <name val="Times New Roman"/>
      <family val="1"/>
    </font>
    <font>
      <b/>
      <i/>
      <vertAlign val="subscript"/>
      <sz val="10"/>
      <name val="Times New Roman"/>
      <family val="1"/>
    </font>
    <font>
      <b/>
      <sz val="10"/>
      <color theme="3" tint="0.39997558519241921"/>
      <name val="Times New Roman"/>
      <family val="1"/>
    </font>
    <font>
      <vertAlign val="subscript"/>
      <sz val="10"/>
      <name val="Times New Roman"/>
      <family val="1"/>
    </font>
    <font>
      <sz val="10"/>
      <color theme="3" tint="0.39997558519241921"/>
      <name val="Times New Roman"/>
      <family val="1"/>
    </font>
    <font>
      <b/>
      <i/>
      <sz val="10"/>
      <name val="Times New Roman"/>
      <family val="1"/>
    </font>
    <font>
      <sz val="7"/>
      <name val="Arial"/>
      <family val="2"/>
    </font>
    <font>
      <b/>
      <i/>
      <sz val="7"/>
      <name val="Arial"/>
      <family val="2"/>
    </font>
    <font>
      <sz val="7"/>
      <name val="Symbol"/>
      <family val="1"/>
      <charset val="2"/>
    </font>
    <font>
      <b/>
      <i/>
      <sz val="9"/>
      <name val="Arial"/>
      <family val="2"/>
    </font>
    <font>
      <b/>
      <i/>
      <sz val="8"/>
      <name val="Arial"/>
      <family val="2"/>
    </font>
    <font>
      <b/>
      <sz val="11"/>
      <name val="Arial"/>
      <family val="2"/>
    </font>
    <font>
      <b/>
      <sz val="9"/>
      <name val="Arial"/>
      <family val="2"/>
    </font>
    <font>
      <b/>
      <i/>
      <sz val="11"/>
      <name val="Arial"/>
      <family val="2"/>
    </font>
    <font>
      <sz val="10"/>
      <name val="Arial"/>
      <family val="2"/>
    </font>
    <font>
      <sz val="11"/>
      <name val="Arial"/>
      <family val="2"/>
    </font>
    <font>
      <i/>
      <vertAlign val="subscript"/>
      <sz val="9"/>
      <name val="Times New Roman"/>
      <family val="1"/>
    </font>
    <font>
      <i/>
      <sz val="11"/>
      <name val="Times New Roman"/>
      <family val="1"/>
    </font>
    <font>
      <b/>
      <sz val="9"/>
      <color theme="1"/>
      <name val="Calibri"/>
      <family val="2"/>
      <scheme val="minor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  <font>
      <sz val="10"/>
      <color theme="1"/>
      <name val="Times New Roman"/>
      <family val="1"/>
    </font>
    <font>
      <b/>
      <u/>
      <sz val="11"/>
      <color theme="1"/>
      <name val="Times New Roman"/>
      <family val="1"/>
    </font>
    <font>
      <vertAlign val="subscript"/>
      <sz val="12"/>
      <color theme="1"/>
      <name val="Times New Roman"/>
      <family val="1"/>
    </font>
    <font>
      <sz val="12"/>
      <color theme="1"/>
      <name val="Times New Roman"/>
      <family val="1"/>
    </font>
    <font>
      <vertAlign val="superscript"/>
      <sz val="11"/>
      <color theme="1"/>
      <name val="Times New Roman"/>
      <family val="1"/>
    </font>
    <font>
      <vertAlign val="subscript"/>
      <sz val="11"/>
      <color theme="1"/>
      <name val="Times New Roman"/>
      <family val="1"/>
    </font>
    <font>
      <b/>
      <i/>
      <sz val="11"/>
      <color theme="1"/>
      <name val="Times New Roman"/>
      <family val="1"/>
    </font>
    <font>
      <sz val="14"/>
      <name val="Times New Roman"/>
      <family val="1"/>
    </font>
    <font>
      <b/>
      <sz val="18"/>
      <name val="Times New Roman"/>
      <family val="1"/>
    </font>
    <font>
      <sz val="14"/>
      <color theme="1"/>
      <name val="Times New Roman"/>
      <family val="1"/>
    </font>
    <font>
      <b/>
      <sz val="12"/>
      <name val="Times New Roman"/>
      <family val="1"/>
    </font>
    <font>
      <b/>
      <u/>
      <sz val="12"/>
      <name val="Times New Roman"/>
      <family val="1"/>
    </font>
    <font>
      <b/>
      <sz val="24"/>
      <name val="Times New Roman"/>
      <family val="1"/>
    </font>
    <font>
      <sz val="24"/>
      <color theme="1"/>
      <name val="Times New Roman"/>
      <family val="1"/>
    </font>
    <font>
      <b/>
      <sz val="16"/>
      <name val="Times New Roman"/>
      <family val="1"/>
    </font>
    <font>
      <sz val="16"/>
      <name val="Times New Roman"/>
      <family val="1"/>
    </font>
    <font>
      <sz val="24"/>
      <name val="Times New Roman"/>
      <family val="1"/>
    </font>
    <font>
      <sz val="9"/>
      <color theme="1"/>
      <name val="Times New Roman"/>
      <family val="1"/>
    </font>
    <font>
      <b/>
      <sz val="9"/>
      <name val="Times New Roman"/>
      <family val="1"/>
    </font>
    <font>
      <b/>
      <sz val="8"/>
      <name val="Times New Roman"/>
      <family val="1"/>
    </font>
    <font>
      <b/>
      <i/>
      <vertAlign val="subscript"/>
      <sz val="11"/>
      <name val="Times New Roman"/>
      <family val="1"/>
    </font>
    <font>
      <vertAlign val="subscript"/>
      <sz val="11"/>
      <name val="Times New Roman"/>
      <family val="1"/>
    </font>
    <font>
      <b/>
      <sz val="10"/>
      <color theme="0"/>
      <name val="Times New Roman"/>
      <family val="1"/>
    </font>
    <font>
      <b/>
      <sz val="12"/>
      <color theme="1"/>
      <name val="Times New Roman"/>
      <family val="1"/>
    </font>
    <font>
      <b/>
      <vertAlign val="subscript"/>
      <sz val="12"/>
      <color theme="1"/>
      <name val="Times New Roman"/>
      <family val="1"/>
    </font>
    <font>
      <b/>
      <vertAlign val="superscript"/>
      <sz val="11"/>
      <color theme="1"/>
      <name val="Times New Roman"/>
      <family val="1"/>
    </font>
    <font>
      <b/>
      <sz val="10"/>
      <color theme="1"/>
      <name val="Times New Roman"/>
      <family val="1"/>
    </font>
    <font>
      <b/>
      <sz val="9"/>
      <color theme="1"/>
      <name val="Times New Roman"/>
      <family val="1"/>
    </font>
    <font>
      <b/>
      <vertAlign val="subscript"/>
      <sz val="11"/>
      <color theme="1"/>
      <name val="Times New Roman"/>
      <family val="1"/>
    </font>
    <font>
      <b/>
      <sz val="11"/>
      <color theme="0"/>
      <name val="Times New Roman"/>
      <family val="1"/>
    </font>
    <font>
      <sz val="9"/>
      <color theme="0"/>
      <name val="Times New Roman"/>
      <family val="1"/>
    </font>
    <font>
      <b/>
      <u/>
      <sz val="18"/>
      <color theme="1"/>
      <name val="Arial Black"/>
      <family val="2"/>
    </font>
    <font>
      <b/>
      <sz val="14"/>
      <color theme="1"/>
      <name val="Calibri"/>
      <family val="2"/>
      <scheme val="minor"/>
    </font>
    <font>
      <b/>
      <i/>
      <sz val="11"/>
      <color theme="1"/>
      <name val="Arial"/>
      <family val="2"/>
    </font>
    <font>
      <b/>
      <i/>
      <u/>
      <sz val="11"/>
      <color theme="1"/>
      <name val="Arial"/>
      <family val="2"/>
    </font>
    <font>
      <i/>
      <sz val="11"/>
      <color theme="1"/>
      <name val="Arial"/>
      <family val="2"/>
    </font>
    <font>
      <b/>
      <u/>
      <sz val="12"/>
      <color theme="1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4" tint="0.59999389629810485"/>
        <bgColor indexed="64"/>
      </patternFill>
    </fill>
  </fills>
  <borders count="18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ck">
        <color theme="0" tint="-0.34998626667073579"/>
      </left>
      <right/>
      <top style="thick">
        <color theme="0" tint="-0.34998626667073579"/>
      </top>
      <bottom/>
      <diagonal/>
    </border>
    <border>
      <left style="thin">
        <color indexed="64"/>
      </left>
      <right/>
      <top style="thick">
        <color theme="0" tint="-0.34998626667073579"/>
      </top>
      <bottom/>
      <diagonal/>
    </border>
    <border>
      <left/>
      <right/>
      <top style="thick">
        <color theme="0" tint="-0.34998626667073579"/>
      </top>
      <bottom/>
      <diagonal/>
    </border>
    <border>
      <left style="thin">
        <color indexed="64"/>
      </left>
      <right/>
      <top style="thick">
        <color theme="0" tint="-0.34998626667073579"/>
      </top>
      <bottom style="thin">
        <color indexed="64"/>
      </bottom>
      <diagonal/>
    </border>
    <border>
      <left/>
      <right style="thick">
        <color theme="0" tint="-0.34998626667073579"/>
      </right>
      <top style="thick">
        <color theme="0" tint="-0.34998626667073579"/>
      </top>
      <bottom style="thin">
        <color indexed="64"/>
      </bottom>
      <diagonal/>
    </border>
    <border>
      <left style="thick">
        <color theme="0" tint="-0.34998626667073579"/>
      </left>
      <right/>
      <top/>
      <bottom/>
      <diagonal/>
    </border>
    <border>
      <left/>
      <right style="thick">
        <color theme="0" tint="-0.34998626667073579"/>
      </right>
      <top/>
      <bottom/>
      <diagonal/>
    </border>
    <border>
      <left style="thick">
        <color theme="0" tint="-0.34998626667073579"/>
      </left>
      <right/>
      <top/>
      <bottom style="thick">
        <color theme="0" tint="-0.34998626667073579"/>
      </bottom>
      <diagonal/>
    </border>
    <border>
      <left style="thin">
        <color indexed="64"/>
      </left>
      <right/>
      <top/>
      <bottom style="thick">
        <color theme="0" tint="-0.34998626667073579"/>
      </bottom>
      <diagonal/>
    </border>
    <border>
      <left/>
      <right/>
      <top/>
      <bottom style="thick">
        <color theme="0" tint="-0.34998626667073579"/>
      </bottom>
      <diagonal/>
    </border>
    <border>
      <left/>
      <right style="thin">
        <color indexed="64"/>
      </right>
      <top/>
      <bottom style="thick">
        <color theme="0" tint="-0.34998626667073579"/>
      </bottom>
      <diagonal/>
    </border>
    <border>
      <left style="thin">
        <color indexed="64"/>
      </left>
      <right/>
      <top style="thin">
        <color indexed="64"/>
      </top>
      <bottom style="thick">
        <color theme="0" tint="-0.34998626667073579"/>
      </bottom>
      <diagonal/>
    </border>
    <border>
      <left/>
      <right style="thick">
        <color theme="0" tint="-0.34998626667073579"/>
      </right>
      <top style="thin">
        <color indexed="64"/>
      </top>
      <bottom style="thick">
        <color theme="0" tint="-0.34998626667073579"/>
      </bottom>
      <diagonal/>
    </border>
    <border>
      <left/>
      <right style="thick">
        <color theme="0" tint="-0.34998626667073579"/>
      </right>
      <top style="thick">
        <color theme="0" tint="-0.34998626667073579"/>
      </top>
      <bottom/>
      <diagonal/>
    </border>
    <border>
      <left style="thick">
        <color theme="0" tint="-0.34998626667073579"/>
      </left>
      <right/>
      <top/>
      <bottom style="thin">
        <color indexed="64"/>
      </bottom>
      <diagonal/>
    </border>
    <border>
      <left style="thick">
        <color theme="0" tint="-0.34998626667073579"/>
      </left>
      <right style="thin">
        <color indexed="64"/>
      </right>
      <top style="thin">
        <color indexed="64"/>
      </top>
      <bottom style="thick">
        <color theme="0" tint="-0.34998626667073579"/>
      </bottom>
      <diagonal/>
    </border>
    <border>
      <left/>
      <right/>
      <top style="thin">
        <color indexed="64"/>
      </top>
      <bottom style="thick">
        <color theme="0" tint="-0.34998626667073579"/>
      </bottom>
      <diagonal/>
    </border>
    <border>
      <left style="thick">
        <color theme="0" tint="-0.34998626667073579"/>
      </left>
      <right/>
      <top style="thick">
        <color theme="0" tint="-0.34998626667073579"/>
      </top>
      <bottom style="thin">
        <color indexed="64"/>
      </bottom>
      <diagonal/>
    </border>
    <border>
      <left/>
      <right/>
      <top style="thick">
        <color theme="0" tint="-0.34998626667073579"/>
      </top>
      <bottom style="thin">
        <color indexed="64"/>
      </bottom>
      <diagonal/>
    </border>
    <border>
      <left style="thick">
        <color theme="0" tint="-0.34998626667073579"/>
      </left>
      <right/>
      <top style="thin">
        <color indexed="64"/>
      </top>
      <bottom style="thin">
        <color indexed="64"/>
      </bottom>
      <diagonal/>
    </border>
    <border>
      <left/>
      <right style="thick">
        <color theme="0" tint="-0.34998626667073579"/>
      </right>
      <top style="thin">
        <color indexed="64"/>
      </top>
      <bottom style="thin">
        <color indexed="64"/>
      </bottom>
      <diagonal/>
    </border>
    <border>
      <left/>
      <right style="thick">
        <color theme="0" tint="-0.34998626667073579"/>
      </right>
      <top style="thin">
        <color indexed="64"/>
      </top>
      <bottom/>
      <diagonal/>
    </border>
    <border>
      <left/>
      <right style="thick">
        <color theme="0" tint="-0.34998626667073579"/>
      </right>
      <top/>
      <bottom style="thick">
        <color theme="0" tint="-0.34998626667073579"/>
      </bottom>
      <diagonal/>
    </border>
    <border>
      <left style="thick">
        <color theme="0" tint="-0.34998626667073579"/>
      </left>
      <right style="thin">
        <color indexed="64"/>
      </right>
      <top style="thick">
        <color theme="0" tint="-0.34998626667073579"/>
      </top>
      <bottom/>
      <diagonal/>
    </border>
    <border>
      <left/>
      <right style="thin">
        <color indexed="64"/>
      </right>
      <top style="thick">
        <color theme="0" tint="-0.34998626667073579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ck">
        <color theme="0" tint="-0.34998626667073579"/>
      </top>
      <bottom style="thin">
        <color indexed="64"/>
      </bottom>
      <diagonal/>
    </border>
    <border>
      <left style="thin">
        <color indexed="64"/>
      </left>
      <right style="thick">
        <color theme="0" tint="-0.34998626667073579"/>
      </right>
      <top style="thick">
        <color theme="0" tint="-0.34998626667073579"/>
      </top>
      <bottom style="thin">
        <color indexed="64"/>
      </bottom>
      <diagonal/>
    </border>
    <border>
      <left style="thick">
        <color theme="0" tint="-0.34998626667073579"/>
      </left>
      <right style="thin">
        <color indexed="64"/>
      </right>
      <top/>
      <bottom style="thin">
        <color indexed="64"/>
      </bottom>
      <diagonal/>
    </border>
    <border>
      <left style="thick">
        <color theme="0" tint="-0.34998626667073579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ck">
        <color theme="0" tint="-0.34998626667073579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/>
      <top style="thin">
        <color theme="0" tint="-0.34998626667073579"/>
      </top>
      <bottom style="thin">
        <color theme="0" tint="-0.34998626667073579"/>
      </bottom>
      <diagonal/>
    </border>
    <border>
      <left/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/>
      <right/>
      <top style="thin">
        <color theme="0" tint="-0.34998626667073579"/>
      </top>
      <bottom style="thin">
        <color theme="0" tint="-0.34998626667073579"/>
      </bottom>
      <diagonal/>
    </border>
    <border>
      <left style="medium">
        <color theme="0" tint="-0.34998626667073579"/>
      </left>
      <right/>
      <top style="medium">
        <color theme="0" tint="-0.34998626667073579"/>
      </top>
      <bottom style="thick">
        <color theme="0" tint="-0.34998626667073579"/>
      </bottom>
      <diagonal/>
    </border>
    <border>
      <left/>
      <right/>
      <top style="medium">
        <color theme="0" tint="-0.34998626667073579"/>
      </top>
      <bottom style="thick">
        <color theme="0" tint="-0.34998626667073579"/>
      </bottom>
      <diagonal/>
    </border>
    <border>
      <left/>
      <right style="medium">
        <color theme="0" tint="-0.34998626667073579"/>
      </right>
      <top style="medium">
        <color theme="0" tint="-0.34998626667073579"/>
      </top>
      <bottom style="thick">
        <color theme="0" tint="-0.34998626667073579"/>
      </bottom>
      <diagonal/>
    </border>
    <border>
      <left style="medium">
        <color theme="0" tint="-0.34998626667073579"/>
      </left>
      <right style="thin">
        <color indexed="64"/>
      </right>
      <top style="thick">
        <color theme="0" tint="-0.34998626667073579"/>
      </top>
      <bottom style="thin">
        <color theme="0" tint="-0.34998626667073579"/>
      </bottom>
      <diagonal/>
    </border>
    <border>
      <left style="thin">
        <color indexed="64"/>
      </left>
      <right/>
      <top style="thick">
        <color theme="0" tint="-0.34998626667073579"/>
      </top>
      <bottom style="thin">
        <color theme="0" tint="-0.34998626667073579"/>
      </bottom>
      <diagonal/>
    </border>
    <border>
      <left/>
      <right style="thin">
        <color indexed="64"/>
      </right>
      <top style="thick">
        <color theme="0" tint="-0.34998626667073579"/>
      </top>
      <bottom style="thin">
        <color theme="0" tint="-0.34998626667073579"/>
      </bottom>
      <diagonal/>
    </border>
    <border>
      <left/>
      <right/>
      <top style="thick">
        <color theme="0" tint="-0.34998626667073579"/>
      </top>
      <bottom style="thin">
        <color theme="0" tint="-0.34998626667073579"/>
      </bottom>
      <diagonal/>
    </border>
    <border>
      <left/>
      <right style="medium">
        <color theme="0" tint="-0.34998626667073579"/>
      </right>
      <top style="thick">
        <color theme="0" tint="-0.34998626667073579"/>
      </top>
      <bottom style="thin">
        <color theme="0" tint="-0.34998626667073579"/>
      </bottom>
      <diagonal/>
    </border>
    <border>
      <left style="medium">
        <color theme="0" tint="-0.34998626667073579"/>
      </left>
      <right style="thin">
        <color indexed="64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indexed="64"/>
      </left>
      <right/>
      <top style="thin">
        <color theme="0" tint="-0.34998626667073579"/>
      </top>
      <bottom style="thin">
        <color theme="0" tint="-0.34998626667073579"/>
      </bottom>
      <diagonal/>
    </border>
    <border>
      <left/>
      <right style="thin">
        <color indexed="64"/>
      </right>
      <top style="thin">
        <color theme="0" tint="-0.34998626667073579"/>
      </top>
      <bottom style="thin">
        <color theme="0" tint="-0.34998626667073579"/>
      </bottom>
      <diagonal/>
    </border>
    <border>
      <left/>
      <right style="medium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/>
      <right style="medium">
        <color theme="0" tint="-0.34998626667073579"/>
      </right>
      <top/>
      <bottom/>
      <diagonal/>
    </border>
    <border>
      <left style="medium">
        <color theme="0" tint="-0.34998626667073579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theme="0" tint="-0.34998626667073579"/>
      </top>
      <bottom/>
      <diagonal/>
    </border>
    <border>
      <left/>
      <right style="thin">
        <color indexed="64"/>
      </right>
      <top style="thin">
        <color theme="0" tint="-0.34998626667073579"/>
      </top>
      <bottom/>
      <diagonal/>
    </border>
    <border>
      <left style="medium">
        <color theme="0" tint="-0.34998626667073579"/>
      </left>
      <right style="thin">
        <color indexed="64"/>
      </right>
      <top/>
      <bottom style="thick">
        <color theme="0" tint="-0.34998626667073579"/>
      </bottom>
      <diagonal/>
    </border>
    <border>
      <left style="thin">
        <color indexed="64"/>
      </left>
      <right/>
      <top style="thin">
        <color theme="0" tint="-0.34998626667073579"/>
      </top>
      <bottom style="thick">
        <color theme="0" tint="-0.34998626667073579"/>
      </bottom>
      <diagonal/>
    </border>
    <border>
      <left/>
      <right style="thin">
        <color indexed="64"/>
      </right>
      <top style="thin">
        <color theme="0" tint="-0.34998626667073579"/>
      </top>
      <bottom style="thick">
        <color theme="0" tint="-0.34998626667073579"/>
      </bottom>
      <diagonal/>
    </border>
    <border>
      <left/>
      <right style="medium">
        <color theme="0" tint="-0.34998626667073579"/>
      </right>
      <top style="thin">
        <color theme="0" tint="-0.34998626667073579"/>
      </top>
      <bottom style="thick">
        <color theme="0" tint="-0.34998626667073579"/>
      </bottom>
      <diagonal/>
    </border>
    <border>
      <left style="medium">
        <color theme="0" tint="-0.34998626667073579"/>
      </left>
      <right/>
      <top style="thick">
        <color theme="0" tint="-0.34998626667073579"/>
      </top>
      <bottom/>
      <diagonal/>
    </border>
    <border>
      <left/>
      <right style="medium">
        <color theme="0" tint="-0.34998626667073579"/>
      </right>
      <top style="thick">
        <color theme="0" tint="-0.34998626667073579"/>
      </top>
      <bottom/>
      <diagonal/>
    </border>
    <border>
      <left style="medium">
        <color theme="0" tint="-0.34998626667073579"/>
      </left>
      <right style="thin">
        <color indexed="64"/>
      </right>
      <top style="thick">
        <color theme="0" tint="-0.34998626667073579"/>
      </top>
      <bottom/>
      <diagonal/>
    </border>
    <border>
      <left/>
      <right style="thin">
        <color theme="0" tint="-0.34998626667073579"/>
      </right>
      <top style="thick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 style="thin">
        <color indexed="64"/>
      </right>
      <top style="thick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 style="medium">
        <color theme="0" tint="-0.34998626667073579"/>
      </right>
      <top style="thick">
        <color theme="0" tint="-0.34998626667073579"/>
      </top>
      <bottom style="thin">
        <color theme="0" tint="-0.34998626667073579"/>
      </bottom>
      <diagonal/>
    </border>
    <border>
      <left style="medium">
        <color theme="0" tint="-0.34998626667073579"/>
      </left>
      <right style="thin">
        <color indexed="64"/>
      </right>
      <top style="thin">
        <color theme="0" tint="-0.34998626667073579"/>
      </top>
      <bottom/>
      <diagonal/>
    </border>
    <border>
      <left style="thin">
        <color theme="0" tint="-0.34998626667073579"/>
      </left>
      <right style="thin">
        <color indexed="64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 style="medium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/>
      <right style="thin">
        <color theme="0" tint="-0.34998626667073579"/>
      </right>
      <top style="thin">
        <color theme="0" tint="-0.34998626667073579"/>
      </top>
      <bottom/>
      <diagonal/>
    </border>
    <border>
      <left style="thin">
        <color theme="0" tint="-0.34998626667073579"/>
      </left>
      <right style="thin">
        <color indexed="64"/>
      </right>
      <top style="thin">
        <color theme="0" tint="-0.34998626667073579"/>
      </top>
      <bottom/>
      <diagonal/>
    </border>
    <border>
      <left style="thin">
        <color theme="0" tint="-0.34998626667073579"/>
      </left>
      <right style="medium">
        <color theme="0" tint="-0.34998626667073579"/>
      </right>
      <top style="thin">
        <color theme="0" tint="-0.34998626667073579"/>
      </top>
      <bottom/>
      <diagonal/>
    </border>
    <border>
      <left style="medium">
        <color theme="0" tint="-0.34998626667073579"/>
      </left>
      <right style="thin">
        <color indexed="64"/>
      </right>
      <top style="thin">
        <color indexed="64"/>
      </top>
      <bottom style="medium">
        <color theme="0" tint="-0.34998626667073579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theme="0" tint="-0.34998626667073579"/>
      </bottom>
      <diagonal/>
    </border>
    <border>
      <left style="thin">
        <color indexed="64"/>
      </left>
      <right style="medium">
        <color theme="0" tint="-0.34998626667073579"/>
      </right>
      <top style="thin">
        <color indexed="64"/>
      </top>
      <bottom style="medium">
        <color theme="0" tint="-0.34998626667073579"/>
      </bottom>
      <diagonal/>
    </border>
    <border>
      <left style="thin">
        <color theme="0" tint="-0.34998626667073579"/>
      </left>
      <right/>
      <top style="thin">
        <color theme="0" tint="-0.34998626667073579"/>
      </top>
      <bottom/>
      <diagonal/>
    </border>
    <border>
      <left/>
      <right/>
      <top style="thin">
        <color theme="0" tint="-0.34998626667073579"/>
      </top>
      <bottom/>
      <diagonal/>
    </border>
    <border>
      <left style="thin">
        <color theme="0" tint="-0.34998626667073579"/>
      </left>
      <right/>
      <top/>
      <bottom style="thin">
        <color theme="0" tint="-0.34998626667073579"/>
      </bottom>
      <diagonal/>
    </border>
    <border>
      <left/>
      <right/>
      <top/>
      <bottom style="thin">
        <color theme="0" tint="-0.34998626667073579"/>
      </bottom>
      <diagonal/>
    </border>
    <border>
      <left/>
      <right style="thin">
        <color theme="0" tint="-0.34998626667073579"/>
      </right>
      <top/>
      <bottom style="thin">
        <color theme="0" tint="-0.34998626667073579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theme="0" tint="-0.34998626667073579"/>
      </left>
      <right/>
      <top style="medium">
        <color theme="0" tint="-0.34998626667073579"/>
      </top>
      <bottom/>
      <diagonal/>
    </border>
    <border>
      <left/>
      <right/>
      <top style="medium">
        <color theme="0" tint="-0.34998626667073579"/>
      </top>
      <bottom/>
      <diagonal/>
    </border>
    <border>
      <left/>
      <right style="medium">
        <color theme="0" tint="-0.34998626667073579"/>
      </right>
      <top style="medium">
        <color theme="0" tint="-0.34998626667073579"/>
      </top>
      <bottom/>
      <diagonal/>
    </border>
    <border>
      <left style="medium">
        <color theme="0" tint="-0.34998626667073579"/>
      </left>
      <right style="medium">
        <color theme="0" tint="-0.34998626667073579"/>
      </right>
      <top style="medium">
        <color theme="0" tint="-0.34998626667073579"/>
      </top>
      <bottom/>
      <diagonal/>
    </border>
    <border>
      <left style="medium">
        <color theme="0" tint="-0.34998626667073579"/>
      </left>
      <right/>
      <top style="medium">
        <color theme="0" tint="-0.34998626667073579"/>
      </top>
      <bottom style="medium">
        <color theme="0" tint="-0.34998626667073579"/>
      </bottom>
      <diagonal/>
    </border>
    <border>
      <left/>
      <right/>
      <top style="medium">
        <color theme="0" tint="-0.34998626667073579"/>
      </top>
      <bottom style="medium">
        <color theme="0" tint="-0.34998626667073579"/>
      </bottom>
      <diagonal/>
    </border>
    <border>
      <left/>
      <right style="medium">
        <color theme="0" tint="-0.34998626667073579"/>
      </right>
      <top style="medium">
        <color theme="0" tint="-0.34998626667073579"/>
      </top>
      <bottom style="medium">
        <color theme="0" tint="-0.34998626667073579"/>
      </bottom>
      <diagonal/>
    </border>
    <border>
      <left style="medium">
        <color theme="0" tint="-0.34998626667073579"/>
      </left>
      <right/>
      <top/>
      <bottom/>
      <diagonal/>
    </border>
    <border>
      <left style="medium">
        <color theme="0" tint="-0.34998626667073579"/>
      </left>
      <right/>
      <top/>
      <bottom style="medium">
        <color theme="0" tint="-0.34998626667073579"/>
      </bottom>
      <diagonal/>
    </border>
    <border>
      <left/>
      <right/>
      <top/>
      <bottom style="medium">
        <color theme="0" tint="-0.34998626667073579"/>
      </bottom>
      <diagonal/>
    </border>
    <border>
      <left/>
      <right style="medium">
        <color theme="0" tint="-0.34998626667073579"/>
      </right>
      <top/>
      <bottom style="medium">
        <color theme="0" tint="-0.34998626667073579"/>
      </bottom>
      <diagonal/>
    </border>
    <border>
      <left style="medium">
        <color theme="0" tint="-0.34998626667073579"/>
      </left>
      <right style="medium">
        <color theme="0" tint="-0.34998626667073579"/>
      </right>
      <top/>
      <bottom/>
      <diagonal/>
    </border>
    <border>
      <left style="medium">
        <color theme="0" tint="-0.34998626667073579"/>
      </left>
      <right style="thin">
        <color indexed="64"/>
      </right>
      <top style="medium">
        <color theme="0" tint="-0.34998626667073579"/>
      </top>
      <bottom style="medium">
        <color theme="0" tint="-0.34998626667073579"/>
      </bottom>
      <diagonal/>
    </border>
    <border>
      <left style="thin">
        <color indexed="64"/>
      </left>
      <right style="thin">
        <color indexed="64"/>
      </right>
      <top style="medium">
        <color theme="0" tint="-0.34998626667073579"/>
      </top>
      <bottom style="medium">
        <color theme="0" tint="-0.34998626667073579"/>
      </bottom>
      <diagonal/>
    </border>
    <border>
      <left style="thin">
        <color indexed="64"/>
      </left>
      <right style="medium">
        <color theme="0" tint="-0.34998626667073579"/>
      </right>
      <top style="medium">
        <color theme="0" tint="-0.34998626667073579"/>
      </top>
      <bottom style="medium">
        <color theme="0" tint="-0.34998626667073579"/>
      </bottom>
      <diagonal/>
    </border>
    <border>
      <left style="medium">
        <color theme="0" tint="-0.34998626667073579"/>
      </left>
      <right style="thin">
        <color indexed="64"/>
      </right>
      <top/>
      <bottom style="medium">
        <color theme="0" tint="-0.34998626667073579"/>
      </bottom>
      <diagonal/>
    </border>
    <border>
      <left style="thin">
        <color indexed="64"/>
      </left>
      <right style="thin">
        <color indexed="64"/>
      </right>
      <top/>
      <bottom style="medium">
        <color theme="0" tint="-0.34998626667073579"/>
      </bottom>
      <diagonal/>
    </border>
    <border>
      <left style="thin">
        <color indexed="64"/>
      </left>
      <right style="medium">
        <color theme="0" tint="-0.34998626667073579"/>
      </right>
      <top/>
      <bottom style="medium">
        <color theme="0" tint="-0.34998626667073579"/>
      </bottom>
      <diagonal/>
    </border>
    <border>
      <left style="thin">
        <color indexed="64"/>
      </left>
      <right style="medium">
        <color theme="0" tint="-0.34998626667073579"/>
      </right>
      <top/>
      <bottom/>
      <diagonal/>
    </border>
    <border>
      <left style="medium">
        <color theme="0" tint="-0.34998626667073579"/>
      </left>
      <right style="medium">
        <color theme="0" tint="-0.34998626667073579"/>
      </right>
      <top style="medium">
        <color theme="0" tint="-0.34998626667073579"/>
      </top>
      <bottom style="thin">
        <color indexed="64"/>
      </bottom>
      <diagonal/>
    </border>
    <border>
      <left/>
      <right style="thin">
        <color indexed="64"/>
      </right>
      <top style="medium">
        <color theme="0" tint="-0.34998626667073579"/>
      </top>
      <bottom/>
      <diagonal/>
    </border>
    <border>
      <left style="thin">
        <color indexed="64"/>
      </left>
      <right style="thin">
        <color indexed="64"/>
      </right>
      <top style="medium">
        <color theme="0" tint="-0.34998626667073579"/>
      </top>
      <bottom/>
      <diagonal/>
    </border>
    <border>
      <left style="thin">
        <color indexed="64"/>
      </left>
      <right style="medium">
        <color theme="0" tint="-0.34998626667073579"/>
      </right>
      <top style="medium">
        <color theme="0" tint="-0.34998626667073579"/>
      </top>
      <bottom/>
      <diagonal/>
    </border>
    <border>
      <left style="medium">
        <color theme="0" tint="-0.34998626667073579"/>
      </left>
      <right style="thin">
        <color indexed="64"/>
      </right>
      <top style="medium">
        <color theme="0" tint="-0.34998626667073579"/>
      </top>
      <bottom style="thin">
        <color indexed="64"/>
      </bottom>
      <diagonal/>
    </border>
    <border>
      <left style="thin">
        <color indexed="64"/>
      </left>
      <right style="medium">
        <color theme="0" tint="-0.34998626667073579"/>
      </right>
      <top style="medium">
        <color theme="0" tint="-0.34998626667073579"/>
      </top>
      <bottom style="thin">
        <color indexed="64"/>
      </bottom>
      <diagonal/>
    </border>
    <border>
      <left style="medium">
        <color theme="0" tint="-0.34998626667073579"/>
      </left>
      <right style="medium">
        <color theme="0" tint="-0.34998626667073579"/>
      </right>
      <top style="thin">
        <color indexed="64"/>
      </top>
      <bottom style="thin">
        <color indexed="64"/>
      </bottom>
      <diagonal/>
    </border>
    <border>
      <left style="medium">
        <color theme="0" tint="-0.34998626667073579"/>
      </left>
      <right style="medium">
        <color theme="0" tint="-0.34998626667073579"/>
      </right>
      <top style="medium">
        <color theme="0" tint="-0.34998626667073579"/>
      </top>
      <bottom style="medium">
        <color theme="0" tint="-0.34998626667073579"/>
      </bottom>
      <diagonal/>
    </border>
    <border>
      <left style="medium">
        <color theme="0" tint="-0.34998626667073579"/>
      </left>
      <right style="medium">
        <color theme="0" tint="-0.34998626667073579"/>
      </right>
      <top/>
      <bottom style="medium">
        <color theme="0" tint="-0.34998626667073579"/>
      </bottom>
      <diagonal/>
    </border>
    <border>
      <left style="medium">
        <color theme="0" tint="-0.34998626667073579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theme="0" tint="-0.34998626667073579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medium">
        <color theme="0" tint="-0.34998626667073579"/>
      </bottom>
      <diagonal/>
    </border>
    <border>
      <left style="medium">
        <color theme="0" tint="-0.34998626667073579"/>
      </left>
      <right/>
      <top style="thin">
        <color indexed="64"/>
      </top>
      <bottom style="medium">
        <color theme="0" tint="-0.34998626667073579"/>
      </bottom>
      <diagonal/>
    </border>
    <border>
      <left style="medium">
        <color theme="0" tint="-0.34998626667073579"/>
      </left>
      <right/>
      <top/>
      <bottom style="thin">
        <color indexed="64"/>
      </bottom>
      <diagonal/>
    </border>
    <border>
      <left/>
      <right style="medium">
        <color theme="0" tint="-0.34998626667073579"/>
      </right>
      <top/>
      <bottom style="thin">
        <color indexed="64"/>
      </bottom>
      <diagonal/>
    </border>
    <border>
      <left style="medium">
        <color theme="0" tint="-0.34998626667073579"/>
      </left>
      <right style="thin">
        <color indexed="64"/>
      </right>
      <top/>
      <bottom style="thin">
        <color indexed="64"/>
      </bottom>
      <diagonal/>
    </border>
    <border>
      <left style="medium">
        <color theme="0" tint="-0.34998626667073579"/>
      </left>
      <right style="thin">
        <color indexed="64"/>
      </right>
      <top style="thin">
        <color indexed="64"/>
      </top>
      <bottom/>
      <diagonal/>
    </border>
    <border>
      <left style="medium">
        <color theme="0" tint="-0.34998626667073579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theme="0" tint="-0.34998626667073579"/>
      </right>
      <top/>
      <bottom style="thin">
        <color indexed="64"/>
      </bottom>
      <diagonal/>
    </border>
    <border>
      <left/>
      <right/>
      <top style="thin">
        <color indexed="64"/>
      </top>
      <bottom style="medium">
        <color theme="0" tint="-0.34998626667073579"/>
      </bottom>
      <diagonal/>
    </border>
    <border>
      <left style="thin">
        <color indexed="64"/>
      </left>
      <right/>
      <top/>
      <bottom style="medium">
        <color theme="0" tint="-0.34998626667073579"/>
      </bottom>
      <diagonal/>
    </border>
    <border>
      <left/>
      <right style="medium">
        <color theme="0" tint="-0.34998626667073579"/>
      </right>
      <top style="medium">
        <color theme="0" tint="-0.34998626667073579"/>
      </top>
      <bottom style="thin">
        <color indexed="64"/>
      </bottom>
      <diagonal/>
    </border>
    <border>
      <left/>
      <right style="thin">
        <color indexed="64"/>
      </right>
      <top style="medium">
        <color theme="0" tint="-0.34998626667073579"/>
      </top>
      <bottom style="medium">
        <color theme="0" tint="-0.34998626667073579"/>
      </bottom>
      <diagonal/>
    </border>
    <border>
      <left style="medium">
        <color theme="0" tint="-0.34998626667073579"/>
      </left>
      <right style="medium">
        <color theme="0" tint="-0.34998626667073579"/>
      </right>
      <top style="thin">
        <color indexed="64"/>
      </top>
      <bottom style="medium">
        <color theme="0" tint="-0.34998626667073579"/>
      </bottom>
      <diagonal/>
    </border>
    <border>
      <left/>
      <right style="thin">
        <color indexed="64"/>
      </right>
      <top style="thin">
        <color indexed="64"/>
      </top>
      <bottom style="medium">
        <color theme="0" tint="-0.34998626667073579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theme="0" tint="-0.34998626667073579"/>
      </right>
      <top/>
      <bottom style="medium">
        <color indexed="64"/>
      </bottom>
      <diagonal/>
    </border>
    <border>
      <left/>
      <right style="medium">
        <color theme="0" tint="-0.34998626667073579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dotted">
        <color indexed="64"/>
      </bottom>
      <diagonal/>
    </border>
    <border>
      <left/>
      <right/>
      <top style="medium">
        <color indexed="64"/>
      </top>
      <bottom style="dotted">
        <color indexed="64"/>
      </bottom>
      <diagonal/>
    </border>
    <border>
      <left/>
      <right style="medium">
        <color indexed="64"/>
      </right>
      <top style="medium">
        <color indexed="64"/>
      </top>
      <bottom style="dotted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medium">
        <color theme="1"/>
      </right>
      <top style="medium">
        <color indexed="64"/>
      </top>
      <bottom/>
      <diagonal/>
    </border>
    <border>
      <left style="medium">
        <color theme="1"/>
      </left>
      <right/>
      <top style="medium">
        <color indexed="64"/>
      </top>
      <bottom/>
      <diagonal/>
    </border>
    <border>
      <left/>
      <right style="medium">
        <color theme="1"/>
      </right>
      <top/>
      <bottom style="medium">
        <color indexed="64"/>
      </bottom>
      <diagonal/>
    </border>
    <border>
      <left style="medium">
        <color theme="1"/>
      </left>
      <right/>
      <top/>
      <bottom style="medium">
        <color indexed="64"/>
      </bottom>
      <diagonal/>
    </border>
  </borders>
  <cellStyleXfs count="4">
    <xf numFmtId="0" fontId="0" fillId="0" borderId="0"/>
    <xf numFmtId="43" fontId="13" fillId="0" borderId="0" applyFont="0" applyFill="0" applyBorder="0" applyAlignment="0" applyProtection="0"/>
    <xf numFmtId="0" fontId="50" fillId="0" borderId="0"/>
    <xf numFmtId="9" fontId="50" fillId="0" borderId="0" applyFont="0" applyFill="0" applyBorder="0" applyAlignment="0" applyProtection="0"/>
  </cellStyleXfs>
  <cellXfs count="1301">
    <xf numFmtId="0" fontId="0" fillId="0" borderId="0" xfId="0"/>
    <xf numFmtId="0" fontId="5" fillId="0" borderId="0" xfId="0" applyFont="1" applyBorder="1" applyAlignment="1">
      <alignment horizontal="center" vertical="center"/>
    </xf>
    <xf numFmtId="0" fontId="5" fillId="0" borderId="0" xfId="0" applyFont="1" applyBorder="1" applyAlignment="1">
      <alignment vertical="center"/>
    </xf>
    <xf numFmtId="0" fontId="5" fillId="0" borderId="0" xfId="0" applyFont="1" applyFill="1" applyBorder="1" applyAlignment="1">
      <alignment vertical="center"/>
    </xf>
    <xf numFmtId="0" fontId="3" fillId="0" borderId="0" xfId="0" applyFont="1" applyFill="1" applyBorder="1" applyAlignment="1">
      <alignment vertical="center"/>
    </xf>
    <xf numFmtId="0" fontId="3" fillId="0" borderId="18" xfId="0" applyFont="1" applyFill="1" applyBorder="1" applyAlignment="1">
      <alignment vertical="center"/>
    </xf>
    <xf numFmtId="0" fontId="1" fillId="0" borderId="0" xfId="0" applyFont="1" applyFill="1" applyBorder="1" applyAlignment="1">
      <alignment horizontal="center" vertical="center"/>
    </xf>
    <xf numFmtId="0" fontId="6" fillId="0" borderId="0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0" borderId="9" xfId="0" applyFont="1" applyBorder="1" applyAlignment="1">
      <alignment vertical="top"/>
    </xf>
    <xf numFmtId="0" fontId="1" fillId="0" borderId="11" xfId="0" applyFont="1" applyBorder="1" applyAlignment="1">
      <alignment vertical="top"/>
    </xf>
    <xf numFmtId="0" fontId="1" fillId="0" borderId="22" xfId="0" applyFont="1" applyBorder="1" applyAlignment="1">
      <alignment vertical="top"/>
    </xf>
    <xf numFmtId="0" fontId="0" fillId="5" borderId="11" xfId="0" applyFont="1" applyFill="1" applyBorder="1" applyAlignment="1">
      <alignment vertical="top"/>
    </xf>
    <xf numFmtId="0" fontId="1" fillId="5" borderId="11" xfId="0" applyFont="1" applyFill="1" applyBorder="1" applyAlignment="1"/>
    <xf numFmtId="0" fontId="1" fillId="5" borderId="22" xfId="0" applyFont="1" applyFill="1" applyBorder="1" applyAlignment="1"/>
    <xf numFmtId="0" fontId="1" fillId="0" borderId="16" xfId="0" applyFont="1" applyBorder="1" applyAlignment="1">
      <alignment horizontal="left" vertical="top"/>
    </xf>
    <xf numFmtId="0" fontId="1" fillId="0" borderId="18" xfId="0" applyFont="1" applyBorder="1" applyAlignment="1">
      <alignment vertical="top"/>
    </xf>
    <xf numFmtId="0" fontId="1" fillId="0" borderId="31" xfId="0" applyFont="1" applyBorder="1" applyAlignment="1">
      <alignment vertical="top"/>
    </xf>
    <xf numFmtId="0" fontId="1" fillId="5" borderId="16" xfId="0" applyFont="1" applyFill="1" applyBorder="1" applyAlignment="1">
      <alignment vertical="top"/>
    </xf>
    <xf numFmtId="0" fontId="1" fillId="5" borderId="18" xfId="0" applyFont="1" applyFill="1" applyBorder="1" applyAlignment="1">
      <alignment vertical="center"/>
    </xf>
    <xf numFmtId="0" fontId="1" fillId="5" borderId="31" xfId="0" applyFont="1" applyFill="1" applyBorder="1" applyAlignment="1">
      <alignment vertical="center"/>
    </xf>
    <xf numFmtId="0" fontId="0" fillId="0" borderId="0" xfId="0" applyFont="1"/>
    <xf numFmtId="0" fontId="0" fillId="0" borderId="0" xfId="0" applyFont="1" applyAlignment="1">
      <alignment horizontal="center"/>
    </xf>
    <xf numFmtId="0" fontId="0" fillId="0" borderId="24" xfId="0" applyFont="1" applyBorder="1"/>
    <xf numFmtId="0" fontId="0" fillId="0" borderId="0" xfId="0" applyFont="1" applyBorder="1"/>
    <xf numFmtId="0" fontId="0" fillId="0" borderId="11" xfId="0" applyFont="1" applyBorder="1" applyAlignment="1">
      <alignment horizontal="center" vertical="center"/>
    </xf>
    <xf numFmtId="0" fontId="0" fillId="3" borderId="34" xfId="0" applyFont="1" applyFill="1" applyBorder="1" applyAlignment="1">
      <alignment horizontal="center" vertical="center"/>
    </xf>
    <xf numFmtId="0" fontId="1" fillId="3" borderId="35" xfId="0" applyFont="1" applyFill="1" applyBorder="1" applyAlignment="1">
      <alignment horizontal="center" vertical="center"/>
    </xf>
    <xf numFmtId="0" fontId="0" fillId="0" borderId="0" xfId="0" applyFont="1" applyBorder="1" applyAlignment="1">
      <alignment horizontal="center" vertical="center"/>
    </xf>
    <xf numFmtId="0" fontId="5" fillId="0" borderId="37" xfId="0" applyFont="1" applyBorder="1" applyAlignment="1">
      <alignment vertical="center"/>
    </xf>
    <xf numFmtId="0" fontId="5" fillId="0" borderId="24" xfId="0" applyFont="1" applyFill="1" applyBorder="1" applyAlignment="1">
      <alignment vertical="center"/>
    </xf>
    <xf numFmtId="0" fontId="5" fillId="0" borderId="18" xfId="0" applyFont="1" applyFill="1" applyBorder="1" applyAlignment="1">
      <alignment vertical="center"/>
    </xf>
    <xf numFmtId="0" fontId="5" fillId="0" borderId="39" xfId="0" applyFont="1" applyFill="1" applyBorder="1" applyAlignment="1">
      <alignment horizontal="center" vertical="center"/>
    </xf>
    <xf numFmtId="0" fontId="5" fillId="0" borderId="46" xfId="0" applyFont="1" applyFill="1" applyBorder="1" applyAlignment="1">
      <alignment vertical="center"/>
    </xf>
    <xf numFmtId="0" fontId="5" fillId="0" borderId="51" xfId="0" applyFont="1" applyBorder="1" applyAlignment="1">
      <alignment vertical="center"/>
    </xf>
    <xf numFmtId="0" fontId="5" fillId="0" borderId="51" xfId="0" applyFont="1" applyFill="1" applyBorder="1" applyAlignment="1">
      <alignment vertical="center"/>
    </xf>
    <xf numFmtId="0" fontId="5" fillId="0" borderId="56" xfId="0" applyFont="1" applyFill="1" applyBorder="1" applyAlignment="1">
      <alignment horizontal="left" vertical="center" wrapText="1"/>
    </xf>
    <xf numFmtId="0" fontId="3" fillId="0" borderId="51" xfId="0" applyFont="1" applyFill="1" applyBorder="1" applyAlignment="1">
      <alignment vertical="center" wrapText="1"/>
    </xf>
    <xf numFmtId="0" fontId="3" fillId="0" borderId="59" xfId="0" applyFont="1" applyFill="1" applyBorder="1" applyAlignment="1">
      <alignment vertical="center" wrapText="1"/>
    </xf>
    <xf numFmtId="0" fontId="5" fillId="0" borderId="65" xfId="0" applyFont="1" applyFill="1" applyBorder="1" applyAlignment="1">
      <alignment vertical="center" wrapText="1"/>
    </xf>
    <xf numFmtId="0" fontId="5" fillId="0" borderId="66" xfId="0" applyFont="1" applyFill="1" applyBorder="1" applyAlignment="1">
      <alignment horizontal="center" vertical="center" wrapText="1"/>
    </xf>
    <xf numFmtId="0" fontId="5" fillId="0" borderId="67" xfId="0" applyFont="1" applyFill="1" applyBorder="1" applyAlignment="1">
      <alignment horizontal="center" vertical="center" wrapText="1"/>
    </xf>
    <xf numFmtId="0" fontId="5" fillId="0" borderId="68" xfId="0" applyFont="1" applyFill="1" applyBorder="1" applyAlignment="1">
      <alignment horizontal="center" vertical="center" wrapText="1"/>
    </xf>
    <xf numFmtId="0" fontId="5" fillId="0" borderId="69" xfId="0" applyFont="1" applyFill="1" applyBorder="1" applyAlignment="1">
      <alignment vertical="center" wrapText="1"/>
    </xf>
    <xf numFmtId="0" fontId="5" fillId="0" borderId="41" xfId="0" applyFont="1" applyFill="1" applyBorder="1" applyAlignment="1">
      <alignment horizontal="center" vertical="center" wrapText="1"/>
    </xf>
    <xf numFmtId="0" fontId="5" fillId="0" borderId="70" xfId="0" applyFont="1" applyFill="1" applyBorder="1" applyAlignment="1">
      <alignment horizontal="center" vertical="center" wrapText="1"/>
    </xf>
    <xf numFmtId="0" fontId="5" fillId="0" borderId="71" xfId="0" applyFont="1" applyFill="1" applyBorder="1" applyAlignment="1">
      <alignment horizontal="center" vertical="center" wrapText="1"/>
    </xf>
    <xf numFmtId="0" fontId="3" fillId="0" borderId="69" xfId="0" applyFont="1" applyFill="1" applyBorder="1" applyAlignment="1">
      <alignment vertical="center" wrapText="1"/>
    </xf>
    <xf numFmtId="2" fontId="5" fillId="0" borderId="72" xfId="0" applyNumberFormat="1" applyFont="1" applyFill="1" applyBorder="1" applyAlignment="1">
      <alignment horizontal="center" vertical="center" wrapText="1"/>
    </xf>
    <xf numFmtId="2" fontId="5" fillId="0" borderId="73" xfId="0" applyNumberFormat="1" applyFont="1" applyFill="1" applyBorder="1" applyAlignment="1">
      <alignment horizontal="center" vertical="center" wrapText="1"/>
    </xf>
    <xf numFmtId="2" fontId="5" fillId="0" borderId="74" xfId="0" applyNumberFormat="1" applyFont="1" applyFill="1" applyBorder="1" applyAlignment="1">
      <alignment horizontal="center" vertical="center" wrapText="1"/>
    </xf>
    <xf numFmtId="0" fontId="5" fillId="0" borderId="75" xfId="0" applyFont="1" applyFill="1" applyBorder="1" applyAlignment="1">
      <alignment vertical="center" wrapText="1"/>
    </xf>
    <xf numFmtId="0" fontId="0" fillId="0" borderId="0" xfId="0" applyFont="1" applyFill="1" applyBorder="1" applyAlignment="1">
      <alignment vertical="center" wrapText="1"/>
    </xf>
    <xf numFmtId="0" fontId="1" fillId="0" borderId="0" xfId="0" applyFont="1" applyFill="1" applyBorder="1" applyAlignment="1">
      <alignment horizontal="center" vertical="center" wrapText="1"/>
    </xf>
    <xf numFmtId="0" fontId="3" fillId="0" borderId="39" xfId="0" applyFont="1" applyFill="1" applyBorder="1" applyAlignment="1">
      <alignment horizontal="center" vertical="center" wrapText="1"/>
    </xf>
    <xf numFmtId="0" fontId="1" fillId="0" borderId="0" xfId="0" applyFont="1" applyBorder="1" applyAlignment="1">
      <alignment horizontal="center" vertical="center"/>
    </xf>
    <xf numFmtId="0" fontId="14" fillId="0" borderId="94" xfId="0" applyFont="1" applyBorder="1" applyAlignment="1">
      <alignment vertical="center"/>
    </xf>
    <xf numFmtId="0" fontId="14" fillId="0" borderId="95" xfId="0" applyFont="1" applyBorder="1" applyAlignment="1">
      <alignment vertical="center"/>
    </xf>
    <xf numFmtId="0" fontId="14" fillId="0" borderId="95" xfId="0" applyFont="1" applyBorder="1"/>
    <xf numFmtId="0" fontId="14" fillId="0" borderId="96" xfId="0" applyFont="1" applyBorder="1"/>
    <xf numFmtId="0" fontId="14" fillId="0" borderId="97" xfId="0" applyFont="1" applyBorder="1"/>
    <xf numFmtId="0" fontId="14" fillId="0" borderId="101" xfId="0" applyFont="1" applyBorder="1" applyAlignment="1">
      <alignment vertical="center"/>
    </xf>
    <xf numFmtId="0" fontId="14" fillId="0" borderId="0" xfId="0" applyFont="1" applyBorder="1" applyAlignment="1">
      <alignment vertical="center"/>
    </xf>
    <xf numFmtId="0" fontId="17" fillId="0" borderId="0" xfId="0" applyFont="1" applyBorder="1" applyAlignment="1">
      <alignment vertical="center"/>
    </xf>
    <xf numFmtId="0" fontId="14" fillId="0" borderId="55" xfId="0" applyFont="1" applyBorder="1"/>
    <xf numFmtId="0" fontId="14" fillId="0" borderId="105" xfId="0" applyFont="1" applyBorder="1"/>
    <xf numFmtId="0" fontId="14" fillId="0" borderId="103" xfId="0" applyFont="1" applyBorder="1" applyAlignment="1">
      <alignment vertical="center"/>
    </xf>
    <xf numFmtId="0" fontId="14" fillId="0" borderId="103" xfId="0" applyFont="1" applyBorder="1"/>
    <xf numFmtId="0" fontId="14" fillId="0" borderId="104" xfId="0" applyFont="1" applyBorder="1"/>
    <xf numFmtId="0" fontId="14" fillId="0" borderId="99" xfId="0" applyFont="1" applyBorder="1" applyAlignment="1">
      <alignment vertical="center"/>
    </xf>
    <xf numFmtId="0" fontId="14" fillId="0" borderId="99" xfId="0" applyFont="1" applyBorder="1"/>
    <xf numFmtId="0" fontId="21" fillId="0" borderId="55" xfId="0" applyFont="1" applyBorder="1"/>
    <xf numFmtId="0" fontId="21" fillId="0" borderId="102" xfId="0" applyFont="1" applyBorder="1" applyAlignment="1">
      <alignment vertical="center" wrapText="1"/>
    </xf>
    <xf numFmtId="0" fontId="21" fillId="0" borderId="103" xfId="0" applyFont="1" applyBorder="1" applyAlignment="1">
      <alignment vertical="center" wrapText="1"/>
    </xf>
    <xf numFmtId="0" fontId="21" fillId="0" borderId="0" xfId="0" applyFont="1" applyBorder="1" applyAlignment="1">
      <alignment vertical="center" wrapText="1"/>
    </xf>
    <xf numFmtId="0" fontId="23" fillId="3" borderId="96" xfId="0" applyFont="1" applyFill="1" applyBorder="1" applyAlignment="1">
      <alignment horizontal="center" vertical="center"/>
    </xf>
    <xf numFmtId="0" fontId="23" fillId="0" borderId="0" xfId="0" applyFont="1" applyBorder="1" applyAlignment="1">
      <alignment vertical="center"/>
    </xf>
    <xf numFmtId="0" fontId="23" fillId="0" borderId="55" xfId="0" applyFont="1" applyBorder="1" applyAlignment="1">
      <alignment vertical="center"/>
    </xf>
    <xf numFmtId="0" fontId="23" fillId="3" borderId="96" xfId="0" applyFont="1" applyFill="1" applyBorder="1" applyAlignment="1">
      <alignment horizontal="center"/>
    </xf>
    <xf numFmtId="0" fontId="23" fillId="3" borderId="120" xfId="0" applyFont="1" applyFill="1" applyBorder="1" applyAlignment="1">
      <alignment horizontal="center" vertical="center"/>
    </xf>
    <xf numFmtId="0" fontId="23" fillId="3" borderId="120" xfId="0" applyFont="1" applyFill="1" applyBorder="1" applyAlignment="1">
      <alignment horizontal="center"/>
    </xf>
    <xf numFmtId="0" fontId="23" fillId="3" borderId="104" xfId="0" applyFont="1" applyFill="1" applyBorder="1" applyAlignment="1">
      <alignment horizontal="center" vertical="center"/>
    </xf>
    <xf numFmtId="0" fontId="23" fillId="0" borderId="99" xfId="0" applyFont="1" applyFill="1" applyBorder="1" applyAlignment="1">
      <alignment vertical="center"/>
    </xf>
    <xf numFmtId="0" fontId="22" fillId="0" borderId="98" xfId="0" applyFont="1" applyBorder="1" applyAlignment="1">
      <alignment vertical="center"/>
    </xf>
    <xf numFmtId="0" fontId="23" fillId="3" borderId="100" xfId="0" applyFont="1" applyFill="1" applyBorder="1" applyAlignment="1">
      <alignment horizontal="center" vertical="center"/>
    </xf>
    <xf numFmtId="0" fontId="23" fillId="0" borderId="100" xfId="0" applyFont="1" applyBorder="1" applyAlignment="1">
      <alignment vertical="center"/>
    </xf>
    <xf numFmtId="0" fontId="23" fillId="0" borderId="104" xfId="0" applyFont="1" applyBorder="1" applyAlignment="1">
      <alignment vertical="center"/>
    </xf>
    <xf numFmtId="0" fontId="23" fillId="0" borderId="101" xfId="0" applyFont="1" applyBorder="1" applyAlignment="1">
      <alignment vertical="center"/>
    </xf>
    <xf numFmtId="0" fontId="23" fillId="0" borderId="106" xfId="0" applyFont="1" applyFill="1" applyBorder="1" applyAlignment="1">
      <alignment horizontal="center" vertical="center"/>
    </xf>
    <xf numFmtId="0" fontId="23" fillId="0" borderId="108" xfId="0" applyFont="1" applyBorder="1" applyAlignment="1">
      <alignment horizontal="right" vertical="center"/>
    </xf>
    <xf numFmtId="0" fontId="29" fillId="0" borderId="116" xfId="0" applyFont="1" applyFill="1" applyBorder="1" applyAlignment="1">
      <alignment vertical="center" wrapText="1"/>
    </xf>
    <xf numFmtId="0" fontId="30" fillId="0" borderId="93" xfId="0" applyFont="1" applyBorder="1" applyAlignment="1">
      <alignment horizontal="center" vertical="center" wrapText="1"/>
    </xf>
    <xf numFmtId="0" fontId="30" fillId="0" borderId="87" xfId="0" applyFont="1" applyBorder="1" applyAlignment="1">
      <alignment horizontal="center" vertical="center" wrapText="1"/>
    </xf>
    <xf numFmtId="0" fontId="30" fillId="0" borderId="112" xfId="0" applyFont="1" applyFill="1" applyBorder="1" applyAlignment="1">
      <alignment horizontal="center" vertical="center" wrapText="1"/>
    </xf>
    <xf numFmtId="0" fontId="30" fillId="0" borderId="75" xfId="0" applyFont="1" applyBorder="1" applyAlignment="1">
      <alignment horizontal="center" vertical="center" wrapText="1"/>
    </xf>
    <xf numFmtId="0" fontId="30" fillId="0" borderId="76" xfId="0" applyFont="1" applyBorder="1" applyAlignment="1">
      <alignment horizontal="center" vertical="center" wrapText="1"/>
    </xf>
    <xf numFmtId="0" fontId="30" fillId="0" borderId="77" xfId="0" applyFont="1" applyBorder="1" applyAlignment="1">
      <alignment horizontal="center" vertical="center" wrapText="1"/>
    </xf>
    <xf numFmtId="0" fontId="30" fillId="0" borderId="1" xfId="0" applyFont="1" applyFill="1" applyBorder="1" applyAlignment="1">
      <alignment horizontal="center" wrapText="1"/>
    </xf>
    <xf numFmtId="0" fontId="30" fillId="0" borderId="87" xfId="0" applyFont="1" applyFill="1" applyBorder="1" applyAlignment="1">
      <alignment horizontal="center" wrapText="1"/>
    </xf>
    <xf numFmtId="0" fontId="30" fillId="0" borderId="112" xfId="0" applyFont="1" applyFill="1" applyBorder="1" applyAlignment="1">
      <alignment horizontal="center" wrapText="1"/>
    </xf>
    <xf numFmtId="0" fontId="30" fillId="0" borderId="91" xfId="0" applyFont="1" applyBorder="1" applyAlignment="1">
      <alignment horizontal="center" vertical="center" wrapText="1"/>
    </xf>
    <xf numFmtId="164" fontId="30" fillId="5" borderId="1" xfId="0" applyNumberFormat="1" applyFont="1" applyFill="1" applyBorder="1" applyAlignment="1">
      <alignment horizontal="center" wrapText="1"/>
    </xf>
    <xf numFmtId="0" fontId="30" fillId="5" borderId="87" xfId="0" applyFont="1" applyFill="1" applyBorder="1" applyAlignment="1">
      <alignment horizontal="center" wrapText="1"/>
    </xf>
    <xf numFmtId="164" fontId="30" fillId="0" borderId="112" xfId="0" applyNumberFormat="1" applyFont="1" applyFill="1" applyBorder="1" applyAlignment="1">
      <alignment horizontal="center" wrapText="1"/>
    </xf>
    <xf numFmtId="0" fontId="30" fillId="0" borderId="3" xfId="0" applyFont="1" applyBorder="1" applyAlignment="1">
      <alignment horizontal="center"/>
    </xf>
    <xf numFmtId="0" fontId="30" fillId="0" borderId="87" xfId="0" applyFont="1" applyBorder="1" applyAlignment="1">
      <alignment horizontal="center"/>
    </xf>
    <xf numFmtId="164" fontId="30" fillId="0" borderId="87" xfId="0" applyNumberFormat="1" applyFont="1" applyFill="1" applyBorder="1" applyAlignment="1">
      <alignment horizontal="center" wrapText="1"/>
    </xf>
    <xf numFmtId="0" fontId="30" fillId="0" borderId="3" xfId="0" applyFont="1" applyBorder="1" applyAlignment="1">
      <alignment horizontal="center" vertical="center" wrapText="1"/>
    </xf>
    <xf numFmtId="0" fontId="30" fillId="0" borderId="3" xfId="0" applyFont="1" applyBorder="1" applyAlignment="1">
      <alignment horizontal="center" wrapText="1"/>
    </xf>
    <xf numFmtId="0" fontId="30" fillId="0" borderId="87" xfId="0" applyFont="1" applyBorder="1" applyAlignment="1">
      <alignment horizontal="center" wrapText="1"/>
    </xf>
    <xf numFmtId="2" fontId="31" fillId="3" borderId="1" xfId="0" applyNumberFormat="1" applyFont="1" applyFill="1" applyBorder="1" applyAlignment="1">
      <alignment horizontal="center" wrapText="1"/>
    </xf>
    <xf numFmtId="2" fontId="31" fillId="3" borderId="87" xfId="0" applyNumberFormat="1" applyFont="1" applyFill="1" applyBorder="1" applyAlignment="1">
      <alignment horizontal="center" wrapText="1"/>
    </xf>
    <xf numFmtId="0" fontId="31" fillId="0" borderId="112" xfId="0" applyFont="1" applyFill="1" applyBorder="1" applyAlignment="1">
      <alignment horizontal="center" wrapText="1"/>
    </xf>
    <xf numFmtId="2" fontId="31" fillId="0" borderId="112" xfId="0" applyNumberFormat="1" applyFont="1" applyFill="1" applyBorder="1" applyAlignment="1">
      <alignment wrapText="1"/>
    </xf>
    <xf numFmtId="0" fontId="29" fillId="0" borderId="112" xfId="0" applyFont="1" applyBorder="1" applyAlignment="1">
      <alignment wrapText="1"/>
    </xf>
    <xf numFmtId="0" fontId="30" fillId="0" borderId="4" xfId="0" applyFont="1" applyBorder="1" applyAlignment="1">
      <alignment wrapText="1"/>
    </xf>
    <xf numFmtId="0" fontId="30" fillId="0" borderId="4" xfId="0" applyFont="1" applyFill="1" applyBorder="1" applyAlignment="1">
      <alignment horizontal="center" wrapText="1"/>
    </xf>
    <xf numFmtId="0" fontId="30" fillId="0" borderId="75" xfId="0" applyFont="1" applyBorder="1" applyAlignment="1">
      <alignment horizontal="center" wrapText="1"/>
    </xf>
    <xf numFmtId="0" fontId="30" fillId="0" borderId="76" xfId="0" applyFont="1" applyBorder="1" applyAlignment="1">
      <alignment horizontal="center" wrapText="1"/>
    </xf>
    <xf numFmtId="1" fontId="30" fillId="0" borderId="87" xfId="0" applyNumberFormat="1" applyFont="1" applyFill="1" applyBorder="1" applyAlignment="1">
      <alignment horizontal="center" wrapText="1"/>
    </xf>
    <xf numFmtId="0" fontId="30" fillId="0" borderId="0" xfId="0" applyFont="1" applyBorder="1" applyAlignment="1">
      <alignment wrapText="1"/>
    </xf>
    <xf numFmtId="2" fontId="30" fillId="0" borderId="0" xfId="0" applyNumberFormat="1" applyFont="1" applyFill="1" applyBorder="1" applyAlignment="1">
      <alignment horizontal="center" wrapText="1"/>
    </xf>
    <xf numFmtId="2" fontId="30" fillId="0" borderId="55" xfId="0" applyNumberFormat="1" applyFont="1" applyFill="1" applyBorder="1" applyAlignment="1">
      <alignment horizontal="center" wrapText="1"/>
    </xf>
    <xf numFmtId="1" fontId="30" fillId="0" borderId="0" xfId="0" applyNumberFormat="1" applyFont="1" applyFill="1" applyBorder="1" applyAlignment="1">
      <alignment horizontal="center" wrapText="1"/>
    </xf>
    <xf numFmtId="1" fontId="30" fillId="0" borderId="55" xfId="0" applyNumberFormat="1" applyFont="1" applyFill="1" applyBorder="1" applyAlignment="1">
      <alignment horizontal="center" wrapText="1"/>
    </xf>
    <xf numFmtId="0" fontId="30" fillId="0" borderId="87" xfId="0" applyFont="1" applyFill="1" applyBorder="1" applyAlignment="1">
      <alignment horizontal="center" vertical="center" wrapText="1"/>
    </xf>
    <xf numFmtId="0" fontId="30" fillId="0" borderId="123" xfId="0" applyFont="1" applyFill="1" applyBorder="1" applyAlignment="1">
      <alignment horizontal="center"/>
    </xf>
    <xf numFmtId="2" fontId="30" fillId="3" borderId="87" xfId="0" applyNumberFormat="1" applyFont="1" applyFill="1" applyBorder="1" applyAlignment="1">
      <alignment horizontal="center" wrapText="1"/>
    </xf>
    <xf numFmtId="0" fontId="30" fillId="0" borderId="92" xfId="0" applyFont="1" applyBorder="1" applyAlignment="1">
      <alignment wrapText="1"/>
    </xf>
    <xf numFmtId="2" fontId="30" fillId="0" borderId="92" xfId="0" applyNumberFormat="1" applyFont="1" applyFill="1" applyBorder="1" applyAlignment="1">
      <alignment horizontal="center" wrapText="1"/>
    </xf>
    <xf numFmtId="0" fontId="30" fillId="0" borderId="101" xfId="0" applyFont="1" applyBorder="1" applyAlignment="1">
      <alignment horizontal="center" wrapText="1"/>
    </xf>
    <xf numFmtId="0" fontId="30" fillId="0" borderId="0" xfId="0" applyFont="1" applyBorder="1" applyAlignment="1">
      <alignment horizontal="center" wrapText="1"/>
    </xf>
    <xf numFmtId="0" fontId="30" fillId="0" borderId="55" xfId="0" applyFont="1" applyBorder="1" applyAlignment="1">
      <alignment wrapText="1"/>
    </xf>
    <xf numFmtId="0" fontId="30" fillId="6" borderId="101" xfId="0" applyFont="1" applyFill="1" applyBorder="1" applyAlignment="1">
      <alignment horizontal="center" vertical="center"/>
    </xf>
    <xf numFmtId="0" fontId="30" fillId="6" borderId="0" xfId="0" applyFont="1" applyFill="1" applyBorder="1" applyAlignment="1">
      <alignment horizontal="center" vertical="center"/>
    </xf>
    <xf numFmtId="164" fontId="31" fillId="3" borderId="88" xfId="0" applyNumberFormat="1" applyFont="1" applyFill="1" applyBorder="1" applyAlignment="1">
      <alignment horizontal="center" wrapText="1"/>
    </xf>
    <xf numFmtId="0" fontId="21" fillId="0" borderId="101" xfId="0" applyFont="1" applyBorder="1"/>
    <xf numFmtId="0" fontId="21" fillId="0" borderId="0" xfId="0" applyFont="1" applyBorder="1"/>
    <xf numFmtId="0" fontId="21" fillId="0" borderId="0" xfId="0" applyFont="1" applyBorder="1" applyAlignment="1">
      <alignment wrapText="1"/>
    </xf>
    <xf numFmtId="0" fontId="21" fillId="0" borderId="55" xfId="0" applyFont="1" applyBorder="1" applyAlignment="1">
      <alignment wrapText="1"/>
    </xf>
    <xf numFmtId="0" fontId="23" fillId="6" borderId="101" xfId="0" applyFont="1" applyFill="1" applyBorder="1" applyAlignment="1">
      <alignment horizontal="center" vertical="center"/>
    </xf>
    <xf numFmtId="0" fontId="23" fillId="6" borderId="0" xfId="0" applyFont="1" applyFill="1" applyBorder="1" applyAlignment="1">
      <alignment horizontal="center" vertical="center"/>
    </xf>
    <xf numFmtId="0" fontId="30" fillId="0" borderId="2" xfId="0" applyFont="1" applyBorder="1" applyAlignment="1">
      <alignment wrapText="1"/>
    </xf>
    <xf numFmtId="0" fontId="30" fillId="0" borderId="1" xfId="0" applyFont="1" applyBorder="1" applyAlignment="1">
      <alignment wrapText="1"/>
    </xf>
    <xf numFmtId="0" fontId="30" fillId="0" borderId="1" xfId="0" applyFont="1" applyBorder="1" applyAlignment="1">
      <alignment horizontal="center" vertical="center" wrapText="1"/>
    </xf>
    <xf numFmtId="0" fontId="29" fillId="0" borderId="2" xfId="0" applyFont="1" applyBorder="1" applyAlignment="1">
      <alignment horizontal="center" wrapText="1"/>
    </xf>
    <xf numFmtId="0" fontId="29" fillId="0" borderId="87" xfId="0" applyFont="1" applyBorder="1" applyAlignment="1">
      <alignment horizontal="center" wrapText="1"/>
    </xf>
    <xf numFmtId="0" fontId="29" fillId="0" borderId="132" xfId="0" applyFont="1" applyBorder="1" applyAlignment="1">
      <alignment horizontal="center" wrapText="1"/>
    </xf>
    <xf numFmtId="0" fontId="29" fillId="0" borderId="76" xfId="0" applyFont="1" applyBorder="1" applyAlignment="1">
      <alignment horizontal="center" wrapText="1"/>
    </xf>
    <xf numFmtId="0" fontId="29" fillId="0" borderId="99" xfId="0" applyFont="1" applyBorder="1" applyAlignment="1">
      <alignment horizontal="center" wrapText="1"/>
    </xf>
    <xf numFmtId="164" fontId="29" fillId="0" borderId="99" xfId="0" applyNumberFormat="1" applyFont="1" applyBorder="1" applyAlignment="1">
      <alignment horizontal="center" wrapText="1"/>
    </xf>
    <xf numFmtId="0" fontId="21" fillId="0" borderId="99" xfId="0" applyFont="1" applyBorder="1"/>
    <xf numFmtId="0" fontId="35" fillId="6" borderId="100" xfId="0" applyFont="1" applyFill="1" applyBorder="1" applyAlignment="1">
      <alignment vertical="center"/>
    </xf>
    <xf numFmtId="0" fontId="23" fillId="6" borderId="94" xfId="0" applyFont="1" applyFill="1" applyBorder="1" applyAlignment="1">
      <alignment vertical="center"/>
    </xf>
    <xf numFmtId="1" fontId="23" fillId="3" borderId="95" xfId="0" applyNumberFormat="1" applyFont="1" applyFill="1" applyBorder="1" applyAlignment="1">
      <alignment horizontal="center" vertical="center"/>
    </xf>
    <xf numFmtId="0" fontId="23" fillId="0" borderId="96" xfId="0" applyFont="1" applyBorder="1" applyAlignment="1">
      <alignment wrapText="1"/>
    </xf>
    <xf numFmtId="0" fontId="23" fillId="0" borderId="55" xfId="0" applyFont="1" applyBorder="1"/>
    <xf numFmtId="1" fontId="23" fillId="0" borderId="96" xfId="0" applyNumberFormat="1" applyFont="1" applyBorder="1" applyAlignment="1">
      <alignment horizontal="center"/>
    </xf>
    <xf numFmtId="0" fontId="23" fillId="6" borderId="102" xfId="0" applyFont="1" applyFill="1" applyBorder="1" applyAlignment="1">
      <alignment horizontal="right" vertical="center"/>
    </xf>
    <xf numFmtId="1" fontId="23" fillId="3" borderId="103" xfId="0" applyNumberFormat="1" applyFont="1" applyFill="1" applyBorder="1" applyAlignment="1">
      <alignment horizontal="center" vertical="center"/>
    </xf>
    <xf numFmtId="0" fontId="23" fillId="0" borderId="104" xfId="0" applyFont="1" applyBorder="1" applyAlignment="1">
      <alignment wrapText="1"/>
    </xf>
    <xf numFmtId="1" fontId="23" fillId="0" borderId="134" xfId="0" applyNumberFormat="1" applyFont="1" applyBorder="1" applyAlignment="1">
      <alignment horizontal="center"/>
    </xf>
    <xf numFmtId="0" fontId="23" fillId="0" borderId="0" xfId="0" applyFont="1" applyBorder="1" applyAlignment="1">
      <alignment wrapText="1"/>
    </xf>
    <xf numFmtId="0" fontId="23" fillId="0" borderId="0" xfId="0" applyFont="1" applyBorder="1"/>
    <xf numFmtId="0" fontId="23" fillId="0" borderId="105" xfId="0" applyFont="1" applyBorder="1"/>
    <xf numFmtId="0" fontId="23" fillId="6" borderId="103" xfId="0" applyFont="1" applyFill="1" applyBorder="1" applyAlignment="1">
      <alignment horizontal="right" vertical="center"/>
    </xf>
    <xf numFmtId="0" fontId="23" fillId="0" borderId="121" xfId="0" applyFont="1" applyBorder="1"/>
    <xf numFmtId="0" fontId="21" fillId="0" borderId="102" xfId="0" applyFont="1" applyBorder="1" applyAlignment="1"/>
    <xf numFmtId="0" fontId="21" fillId="0" borderId="103" xfId="0" applyFont="1" applyBorder="1" applyAlignment="1"/>
    <xf numFmtId="0" fontId="21" fillId="0" borderId="104" xfId="0" applyFont="1" applyBorder="1"/>
    <xf numFmtId="0" fontId="0" fillId="0" borderId="94" xfId="0" applyBorder="1" applyAlignment="1">
      <alignment vertical="center"/>
    </xf>
    <xf numFmtId="0" fontId="0" fillId="0" borderId="95" xfId="0" applyBorder="1" applyAlignment="1">
      <alignment vertical="center"/>
    </xf>
    <xf numFmtId="0" fontId="0" fillId="0" borderId="95" xfId="0" applyBorder="1"/>
    <xf numFmtId="0" fontId="0" fillId="0" borderId="96" xfId="0" applyBorder="1"/>
    <xf numFmtId="0" fontId="38" fillId="0" borderId="95" xfId="0" applyFont="1" applyBorder="1"/>
    <xf numFmtId="0" fontId="0" fillId="0" borderId="101" xfId="0" applyBorder="1" applyAlignment="1">
      <alignment vertical="center"/>
    </xf>
    <xf numFmtId="0" fontId="0" fillId="0" borderId="0" xfId="0" applyBorder="1" applyAlignment="1">
      <alignment vertical="center"/>
    </xf>
    <xf numFmtId="0" fontId="39" fillId="0" borderId="0" xfId="0" applyFont="1" applyBorder="1" applyAlignment="1">
      <alignment vertical="center"/>
    </xf>
    <xf numFmtId="0" fontId="0" fillId="0" borderId="55" xfId="0" applyBorder="1"/>
    <xf numFmtId="0" fontId="38" fillId="0" borderId="0" xfId="0" applyFont="1" applyBorder="1"/>
    <xf numFmtId="0" fontId="0" fillId="0" borderId="0" xfId="0" applyBorder="1"/>
    <xf numFmtId="0" fontId="38" fillId="0" borderId="0" xfId="0" applyFont="1" applyBorder="1" applyAlignment="1">
      <alignment vertical="center"/>
    </xf>
    <xf numFmtId="0" fontId="42" fillId="6" borderId="101" xfId="0" applyFont="1" applyFill="1" applyBorder="1" applyAlignment="1">
      <alignment horizontal="center" vertical="center"/>
    </xf>
    <xf numFmtId="0" fontId="42" fillId="6" borderId="0" xfId="0" applyFont="1" applyFill="1" applyBorder="1" applyAlignment="1">
      <alignment horizontal="center" vertical="center"/>
    </xf>
    <xf numFmtId="0" fontId="43" fillId="6" borderId="0" xfId="0" applyFont="1" applyFill="1" applyBorder="1" applyAlignment="1">
      <alignment vertical="center"/>
    </xf>
    <xf numFmtId="0" fontId="0" fillId="0" borderId="103" xfId="0" applyBorder="1" applyAlignment="1">
      <alignment vertical="center"/>
    </xf>
    <xf numFmtId="0" fontId="0" fillId="0" borderId="103" xfId="0" applyBorder="1"/>
    <xf numFmtId="0" fontId="0" fillId="0" borderId="101" xfId="0" applyBorder="1" applyAlignment="1">
      <alignment vertical="center" wrapText="1"/>
    </xf>
    <xf numFmtId="0" fontId="0" fillId="0" borderId="0" xfId="0" applyBorder="1" applyAlignment="1">
      <alignment vertical="center" wrapText="1"/>
    </xf>
    <xf numFmtId="0" fontId="0" fillId="0" borderId="102" xfId="0" applyBorder="1" applyAlignment="1">
      <alignment vertical="center"/>
    </xf>
    <xf numFmtId="0" fontId="0" fillId="0" borderId="103" xfId="0" applyBorder="1" applyAlignment="1">
      <alignment vertical="center" wrapText="1"/>
    </xf>
    <xf numFmtId="0" fontId="0" fillId="0" borderId="103" xfId="0" applyBorder="1" applyAlignment="1">
      <alignment wrapText="1"/>
    </xf>
    <xf numFmtId="0" fontId="45" fillId="3" borderId="100" xfId="0" applyFont="1" applyFill="1" applyBorder="1" applyAlignment="1">
      <alignment horizontal="center" vertical="center"/>
    </xf>
    <xf numFmtId="0" fontId="0" fillId="0" borderId="55" xfId="0" applyBorder="1" applyAlignment="1">
      <alignment vertical="center"/>
    </xf>
    <xf numFmtId="0" fontId="44" fillId="3" borderId="100" xfId="0" applyFont="1" applyFill="1" applyBorder="1" applyAlignment="1">
      <alignment horizontal="center" vertical="center"/>
    </xf>
    <xf numFmtId="0" fontId="47" fillId="3" borderId="100" xfId="0" applyFont="1" applyFill="1" applyBorder="1" applyAlignment="1">
      <alignment horizontal="center"/>
    </xf>
    <xf numFmtId="0" fontId="44" fillId="3" borderId="104" xfId="0" applyFont="1" applyFill="1" applyBorder="1" applyAlignment="1">
      <alignment horizontal="center" vertical="center"/>
    </xf>
    <xf numFmtId="0" fontId="47" fillId="3" borderId="55" xfId="0" applyFont="1" applyFill="1" applyBorder="1" applyAlignment="1">
      <alignment horizontal="center"/>
    </xf>
    <xf numFmtId="0" fontId="45" fillId="3" borderId="104" xfId="0" applyFont="1" applyFill="1" applyBorder="1" applyAlignment="1">
      <alignment horizontal="center" vertical="center"/>
    </xf>
    <xf numFmtId="0" fontId="0" fillId="0" borderId="99" xfId="0" applyFill="1" applyBorder="1" applyAlignment="1">
      <alignment vertical="center"/>
    </xf>
    <xf numFmtId="0" fontId="51" fillId="0" borderId="99" xfId="0" applyFont="1" applyFill="1" applyBorder="1" applyAlignment="1">
      <alignment vertical="center"/>
    </xf>
    <xf numFmtId="0" fontId="46" fillId="0" borderId="120" xfId="0" applyFont="1" applyBorder="1" applyAlignment="1">
      <alignment vertical="center"/>
    </xf>
    <xf numFmtId="0" fontId="23" fillId="0" borderId="120" xfId="0" applyFont="1" applyBorder="1" applyAlignment="1">
      <alignment vertical="center"/>
    </xf>
    <xf numFmtId="0" fontId="51" fillId="0" borderId="102" xfId="0" applyFont="1" applyFill="1" applyBorder="1" applyAlignment="1">
      <alignment vertical="center"/>
    </xf>
    <xf numFmtId="0" fontId="51" fillId="0" borderId="104" xfId="0" applyFont="1" applyBorder="1" applyAlignment="1">
      <alignment vertical="center"/>
    </xf>
    <xf numFmtId="0" fontId="47" fillId="3" borderId="120" xfId="0" applyFont="1" applyFill="1" applyBorder="1" applyAlignment="1">
      <alignment horizontal="center" vertical="center"/>
    </xf>
    <xf numFmtId="0" fontId="46" fillId="0" borderId="120" xfId="0" applyFont="1" applyBorder="1" applyAlignment="1">
      <alignment horizontal="right" vertical="center"/>
    </xf>
    <xf numFmtId="0" fontId="51" fillId="3" borderId="100" xfId="0" applyFont="1" applyFill="1" applyBorder="1" applyAlignment="1">
      <alignment horizontal="center" vertical="center"/>
    </xf>
    <xf numFmtId="0" fontId="0" fillId="0" borderId="0" xfId="0" applyFill="1" applyBorder="1" applyAlignment="1">
      <alignment vertical="center"/>
    </xf>
    <xf numFmtId="0" fontId="50" fillId="0" borderId="0" xfId="0" applyFont="1" applyFill="1" applyBorder="1" applyAlignment="1">
      <alignment horizontal="right" vertical="center"/>
    </xf>
    <xf numFmtId="0" fontId="60" fillId="0" borderId="0" xfId="0" applyFont="1" applyFill="1" applyBorder="1" applyAlignment="1">
      <alignment horizontal="center" vertical="center"/>
    </xf>
    <xf numFmtId="0" fontId="0" fillId="0" borderId="0" xfId="0" applyFill="1" applyBorder="1" applyAlignment="1">
      <alignment horizontal="center"/>
    </xf>
    <xf numFmtId="0" fontId="0" fillId="0" borderId="103" xfId="0" applyFill="1" applyBorder="1" applyAlignment="1">
      <alignment vertical="center"/>
    </xf>
    <xf numFmtId="0" fontId="50" fillId="0" borderId="103" xfId="0" applyFont="1" applyFill="1" applyBorder="1" applyAlignment="1">
      <alignment horizontal="right" vertical="center"/>
    </xf>
    <xf numFmtId="0" fontId="60" fillId="0" borderId="103" xfId="0" applyFont="1" applyFill="1" applyBorder="1" applyAlignment="1">
      <alignment horizontal="center" vertical="center"/>
    </xf>
    <xf numFmtId="0" fontId="0" fillId="0" borderId="103" xfId="0" applyFill="1" applyBorder="1" applyAlignment="1">
      <alignment horizontal="center"/>
    </xf>
    <xf numFmtId="0" fontId="0" fillId="0" borderId="104" xfId="0" applyBorder="1"/>
    <xf numFmtId="0" fontId="61" fillId="7" borderId="126" xfId="0" applyFont="1" applyFill="1" applyBorder="1" applyAlignment="1">
      <alignment horizontal="centerContinuous" vertical="center"/>
    </xf>
    <xf numFmtId="0" fontId="61" fillId="7" borderId="92" xfId="0" applyFont="1" applyFill="1" applyBorder="1" applyAlignment="1">
      <alignment horizontal="centerContinuous" vertical="center"/>
    </xf>
    <xf numFmtId="0" fontId="61" fillId="7" borderId="91" xfId="0" applyFont="1" applyFill="1" applyBorder="1" applyAlignment="1">
      <alignment horizontal="centerContinuous" vertical="center"/>
    </xf>
    <xf numFmtId="0" fontId="61" fillId="7" borderId="90" xfId="0" applyFont="1" applyFill="1" applyBorder="1" applyAlignment="1">
      <alignment horizontal="centerContinuous" vertical="center"/>
    </xf>
    <xf numFmtId="0" fontId="20" fillId="7" borderId="93" xfId="0" applyFont="1" applyFill="1" applyBorder="1" applyAlignment="1">
      <alignment horizontal="centerContinuous" vertical="center"/>
    </xf>
    <xf numFmtId="0" fontId="21" fillId="7" borderId="93" xfId="0" applyFont="1" applyFill="1" applyBorder="1" applyAlignment="1">
      <alignment horizontal="centerContinuous" vertical="center"/>
    </xf>
    <xf numFmtId="0" fontId="21" fillId="7" borderId="101" xfId="0" applyFont="1" applyFill="1" applyBorder="1" applyAlignment="1">
      <alignment vertical="center"/>
    </xf>
    <xf numFmtId="0" fontId="21" fillId="7" borderId="0" xfId="0" applyFont="1" applyFill="1" applyBorder="1" applyAlignment="1">
      <alignment vertical="center"/>
    </xf>
    <xf numFmtId="0" fontId="21" fillId="7" borderId="1" xfId="0" applyFont="1" applyFill="1" applyBorder="1" applyAlignment="1">
      <alignment horizontal="centerContinuous" vertical="center"/>
    </xf>
    <xf numFmtId="0" fontId="21" fillId="7" borderId="2" xfId="0" applyFont="1" applyFill="1" applyBorder="1" applyAlignment="1">
      <alignment horizontal="centerContinuous" vertical="center"/>
    </xf>
    <xf numFmtId="0" fontId="21" fillId="7" borderId="3" xfId="0" applyFont="1" applyFill="1" applyBorder="1" applyAlignment="1">
      <alignment horizontal="centerContinuous" vertical="center"/>
    </xf>
    <xf numFmtId="0" fontId="21" fillId="7" borderId="0" xfId="0" applyFont="1" applyFill="1" applyBorder="1" applyAlignment="1">
      <alignment horizontal="centerContinuous" vertical="center"/>
    </xf>
    <xf numFmtId="0" fontId="21" fillId="7" borderId="87" xfId="0" applyFont="1" applyFill="1" applyBorder="1" applyAlignment="1">
      <alignment horizontal="centerContinuous" vertical="center"/>
    </xf>
    <xf numFmtId="0" fontId="21" fillId="0" borderId="92" xfId="0" applyFont="1" applyBorder="1" applyAlignment="1">
      <alignment horizontal="centerContinuous" vertical="center"/>
    </xf>
    <xf numFmtId="0" fontId="21" fillId="0" borderId="93" xfId="0" applyFont="1" applyBorder="1" applyAlignment="1">
      <alignment horizontal="centerContinuous" vertical="center"/>
    </xf>
    <xf numFmtId="0" fontId="21" fillId="0" borderId="2" xfId="0" applyFont="1" applyBorder="1" applyAlignment="1">
      <alignment horizontal="centerContinuous" vertical="center"/>
    </xf>
    <xf numFmtId="0" fontId="21" fillId="0" borderId="87" xfId="0" applyFont="1" applyBorder="1" applyAlignment="1">
      <alignment horizontal="centerContinuous" vertical="center"/>
    </xf>
    <xf numFmtId="0" fontId="21" fillId="0" borderId="132" xfId="0" applyFont="1" applyBorder="1" applyAlignment="1">
      <alignment horizontal="centerContinuous" vertical="center"/>
    </xf>
    <xf numFmtId="0" fontId="21" fillId="0" borderId="76" xfId="0" applyFont="1" applyBorder="1" applyAlignment="1">
      <alignment horizontal="centerContinuous" vertical="center"/>
    </xf>
    <xf numFmtId="0" fontId="21" fillId="0" borderId="0" xfId="0" applyFont="1" applyFill="1" applyBorder="1" applyAlignment="1">
      <alignment horizontal="center" wrapText="1"/>
    </xf>
    <xf numFmtId="0" fontId="21" fillId="0" borderId="0" xfId="0" applyFont="1" applyFill="1" applyBorder="1" applyAlignment="1">
      <alignment vertical="center" wrapText="1"/>
    </xf>
    <xf numFmtId="0" fontId="44" fillId="0" borderId="0" xfId="0" applyFont="1" applyFill="1" applyBorder="1" applyAlignment="1">
      <alignment horizontal="center"/>
    </xf>
    <xf numFmtId="0" fontId="67" fillId="0" borderId="0" xfId="0" applyFont="1" applyFill="1" applyBorder="1" applyAlignment="1"/>
    <xf numFmtId="0" fontId="21" fillId="0" borderId="0" xfId="0" applyFont="1" applyFill="1" applyBorder="1" applyAlignment="1">
      <alignment horizontal="center" vertical="center" wrapText="1"/>
    </xf>
    <xf numFmtId="0" fontId="67" fillId="0" borderId="103" xfId="0" applyFont="1" applyFill="1" applyBorder="1" applyAlignment="1">
      <alignment horizontal="center" wrapText="1"/>
    </xf>
    <xf numFmtId="2" fontId="67" fillId="0" borderId="103" xfId="0" applyNumberFormat="1" applyFont="1" applyFill="1" applyBorder="1" applyAlignment="1">
      <alignment horizontal="center" wrapText="1"/>
    </xf>
    <xf numFmtId="0" fontId="21" fillId="0" borderId="103" xfId="0" applyFont="1" applyFill="1" applyBorder="1" applyAlignment="1">
      <alignment wrapText="1"/>
    </xf>
    <xf numFmtId="0" fontId="44" fillId="0" borderId="0" xfId="0" applyFont="1" applyFill="1" applyBorder="1" applyAlignment="1">
      <alignment horizontal="center" wrapText="1"/>
    </xf>
    <xf numFmtId="0" fontId="21" fillId="0" borderId="0" xfId="0" applyFont="1" applyFill="1" applyBorder="1" applyAlignment="1">
      <alignment wrapText="1"/>
    </xf>
    <xf numFmtId="0" fontId="44" fillId="0" borderId="103" xfId="0" applyFont="1" applyFill="1" applyBorder="1" applyAlignment="1">
      <alignment horizontal="center" wrapText="1"/>
    </xf>
    <xf numFmtId="0" fontId="21" fillId="0" borderId="103" xfId="0" applyFont="1" applyFill="1" applyBorder="1" applyAlignment="1">
      <alignment horizontal="center" wrapText="1"/>
    </xf>
    <xf numFmtId="0" fontId="21" fillId="0" borderId="93" xfId="0" applyFont="1" applyBorder="1" applyAlignment="1">
      <alignment horizontal="center"/>
    </xf>
    <xf numFmtId="0" fontId="21" fillId="0" borderId="118" xfId="0" applyFont="1" applyFill="1" applyBorder="1" applyAlignment="1">
      <alignment horizontal="center" wrapText="1"/>
    </xf>
    <xf numFmtId="0" fontId="67" fillId="0" borderId="55" xfId="0" applyFont="1" applyFill="1" applyBorder="1" applyAlignment="1"/>
    <xf numFmtId="9" fontId="44" fillId="0" borderId="93" xfId="0" applyNumberFormat="1" applyFont="1" applyBorder="1" applyAlignment="1">
      <alignment vertical="center"/>
    </xf>
    <xf numFmtId="1" fontId="21" fillId="0" borderId="87" xfId="0" applyNumberFormat="1" applyFont="1" applyBorder="1" applyAlignment="1">
      <alignment horizontal="center" vertical="center"/>
    </xf>
    <xf numFmtId="1" fontId="21" fillId="0" borderId="123" xfId="0" applyNumberFormat="1" applyFont="1" applyFill="1" applyBorder="1" applyAlignment="1">
      <alignment horizontal="center" vertical="center" wrapText="1"/>
    </xf>
    <xf numFmtId="0" fontId="21" fillId="0" borderId="87" xfId="0" applyFont="1" applyFill="1" applyBorder="1" applyAlignment="1">
      <alignment horizontal="center" vertical="center" wrapText="1"/>
    </xf>
    <xf numFmtId="2" fontId="21" fillId="0" borderId="87" xfId="0" applyNumberFormat="1" applyFont="1" applyFill="1" applyBorder="1" applyAlignment="1">
      <alignment horizontal="center" vertical="center" wrapText="1"/>
    </xf>
    <xf numFmtId="2" fontId="21" fillId="0" borderId="76" xfId="0" applyNumberFormat="1" applyFont="1" applyBorder="1" applyAlignment="1">
      <alignment horizontal="center" vertical="center"/>
    </xf>
    <xf numFmtId="2" fontId="21" fillId="0" borderId="77" xfId="0" applyNumberFormat="1" applyFont="1" applyFill="1" applyBorder="1" applyAlignment="1">
      <alignment horizontal="center" vertical="center" wrapText="1"/>
    </xf>
    <xf numFmtId="2" fontId="21" fillId="0" borderId="76" xfId="0" applyNumberFormat="1" applyFont="1" applyFill="1" applyBorder="1" applyAlignment="1">
      <alignment horizontal="center" vertical="center" wrapText="1"/>
    </xf>
    <xf numFmtId="0" fontId="68" fillId="0" borderId="0" xfId="0" applyFont="1" applyFill="1" applyBorder="1" applyAlignment="1">
      <alignment horizontal="center" wrapText="1"/>
    </xf>
    <xf numFmtId="0" fontId="68" fillId="0" borderId="0" xfId="0" applyFont="1" applyFill="1" applyBorder="1" applyAlignment="1">
      <alignment wrapText="1"/>
    </xf>
    <xf numFmtId="0" fontId="47" fillId="0" borderId="0" xfId="0" applyFont="1" applyFill="1" applyBorder="1" applyAlignment="1">
      <alignment horizontal="center" wrapText="1"/>
    </xf>
    <xf numFmtId="0" fontId="68" fillId="0" borderId="0" xfId="0" applyFont="1" applyFill="1" applyBorder="1" applyAlignment="1"/>
    <xf numFmtId="0" fontId="69" fillId="0" borderId="0" xfId="0" applyFont="1" applyFill="1" applyBorder="1" applyAlignment="1"/>
    <xf numFmtId="0" fontId="0" fillId="0" borderId="0" xfId="0" applyFill="1" applyBorder="1"/>
    <xf numFmtId="43" fontId="0" fillId="0" borderId="5" xfId="1" applyFont="1" applyBorder="1" applyAlignment="1">
      <alignment horizontal="center"/>
    </xf>
    <xf numFmtId="2" fontId="0" fillId="0" borderId="6" xfId="0" applyNumberFormat="1" applyBorder="1" applyAlignment="1">
      <alignment horizontal="center"/>
    </xf>
    <xf numFmtId="165" fontId="69" fillId="0" borderId="0" xfId="0" applyNumberFormat="1" applyFont="1" applyFill="1" applyBorder="1" applyAlignment="1">
      <alignment horizontal="center" wrapText="1"/>
    </xf>
    <xf numFmtId="2" fontId="68" fillId="0" borderId="0" xfId="0" applyNumberFormat="1" applyFont="1" applyFill="1" applyBorder="1" applyAlignment="1">
      <alignment horizontal="center" wrapText="1"/>
    </xf>
    <xf numFmtId="0" fontId="0" fillId="0" borderId="55" xfId="0" applyFill="1" applyBorder="1"/>
    <xf numFmtId="1" fontId="0" fillId="0" borderId="7" xfId="0" applyNumberFormat="1" applyBorder="1" applyAlignment="1">
      <alignment horizontal="center"/>
    </xf>
    <xf numFmtId="2" fontId="0" fillId="0" borderId="8" xfId="0" applyNumberFormat="1" applyBorder="1" applyAlignment="1">
      <alignment horizontal="center"/>
    </xf>
    <xf numFmtId="0" fontId="70" fillId="0" borderId="101" xfId="0" applyFont="1" applyFill="1" applyBorder="1" applyAlignment="1">
      <alignment horizontal="center" wrapText="1"/>
    </xf>
    <xf numFmtId="0" fontId="70" fillId="0" borderId="0" xfId="0" applyFont="1" applyFill="1" applyBorder="1" applyAlignment="1">
      <alignment horizontal="center" vertical="center"/>
    </xf>
    <xf numFmtId="0" fontId="68" fillId="0" borderId="0" xfId="0" applyFont="1" applyFill="1" applyBorder="1" applyAlignment="1">
      <alignment horizontal="center" vertical="center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0" fontId="68" fillId="0" borderId="101" xfId="0" applyFont="1" applyFill="1" applyBorder="1" applyAlignment="1">
      <alignment horizontal="center" vertical="center"/>
    </xf>
    <xf numFmtId="0" fontId="0" fillId="0" borderId="101" xfId="0" applyFill="1" applyBorder="1"/>
    <xf numFmtId="0" fontId="0" fillId="0" borderId="0" xfId="0" applyFill="1" applyBorder="1" applyAlignment="1">
      <alignment wrapText="1"/>
    </xf>
    <xf numFmtId="0" fontId="51" fillId="0" borderId="0" xfId="0" applyFont="1" applyFill="1" applyBorder="1" applyAlignment="1">
      <alignment horizontal="center" wrapText="1"/>
    </xf>
    <xf numFmtId="1" fontId="0" fillId="0" borderId="90" xfId="0" applyNumberFormat="1" applyBorder="1" applyAlignment="1">
      <alignment horizontal="center"/>
    </xf>
    <xf numFmtId="2" fontId="0" fillId="0" borderId="91" xfId="0" applyNumberFormat="1" applyBorder="1" applyAlignment="1">
      <alignment horizontal="center"/>
    </xf>
    <xf numFmtId="0" fontId="50" fillId="6" borderId="101" xfId="0" applyFont="1" applyFill="1" applyBorder="1" applyAlignment="1">
      <alignment horizontal="center" vertical="center"/>
    </xf>
    <xf numFmtId="0" fontId="50" fillId="6" borderId="0" xfId="0" applyFont="1" applyFill="1" applyBorder="1" applyAlignment="1">
      <alignment horizontal="center" vertical="center"/>
    </xf>
    <xf numFmtId="0" fontId="0" fillId="0" borderId="0" xfId="0" applyBorder="1" applyAlignment="1">
      <alignment wrapText="1"/>
    </xf>
    <xf numFmtId="0" fontId="51" fillId="0" borderId="93" xfId="0" applyFont="1" applyFill="1" applyBorder="1" applyAlignment="1">
      <alignment horizontal="center" wrapText="1"/>
    </xf>
    <xf numFmtId="2" fontId="71" fillId="0" borderId="92" xfId="0" applyNumberFormat="1" applyFont="1" applyFill="1" applyBorder="1" applyAlignment="1">
      <alignment horizontal="center" vertical="center"/>
    </xf>
    <xf numFmtId="0" fontId="0" fillId="0" borderId="91" xfId="0" applyFill="1" applyBorder="1" applyAlignment="1">
      <alignment wrapText="1"/>
    </xf>
    <xf numFmtId="0" fontId="51" fillId="0" borderId="87" xfId="0" applyFont="1" applyFill="1" applyBorder="1" applyAlignment="1">
      <alignment horizontal="center" wrapText="1"/>
    </xf>
    <xf numFmtId="0" fontId="51" fillId="0" borderId="0" xfId="0" applyFont="1" applyFill="1" applyBorder="1" applyAlignment="1">
      <alignment horizontal="center" vertical="center"/>
    </xf>
    <xf numFmtId="0" fontId="50" fillId="0" borderId="0" xfId="0" applyFont="1" applyFill="1" applyBorder="1" applyAlignment="1">
      <alignment horizontal="center" vertical="center"/>
    </xf>
    <xf numFmtId="164" fontId="72" fillId="0" borderId="141" xfId="0" applyNumberFormat="1" applyFont="1" applyFill="1" applyBorder="1" applyAlignment="1">
      <alignment horizontal="center" wrapText="1"/>
    </xf>
    <xf numFmtId="0" fontId="0" fillId="0" borderId="86" xfId="0" applyFill="1" applyBorder="1"/>
    <xf numFmtId="0" fontId="73" fillId="0" borderId="142" xfId="0" applyFont="1" applyFill="1" applyBorder="1" applyAlignment="1">
      <alignment vertical="center"/>
    </xf>
    <xf numFmtId="164" fontId="51" fillId="0" borderId="0" xfId="0" applyNumberFormat="1" applyFont="1" applyFill="1" applyBorder="1" applyAlignment="1">
      <alignment horizontal="center" wrapText="1"/>
    </xf>
    <xf numFmtId="0" fontId="73" fillId="0" borderId="55" xfId="0" applyFont="1" applyFill="1" applyBorder="1" applyAlignment="1">
      <alignment vertical="center"/>
    </xf>
    <xf numFmtId="0" fontId="51" fillId="0" borderId="144" xfId="0" applyFont="1" applyFill="1" applyBorder="1" applyAlignment="1">
      <alignment vertical="center"/>
    </xf>
    <xf numFmtId="0" fontId="0" fillId="0" borderId="4" xfId="0" applyFill="1" applyBorder="1"/>
    <xf numFmtId="0" fontId="0" fillId="0" borderId="6" xfId="0" applyFill="1" applyBorder="1" applyAlignment="1">
      <alignment wrapText="1"/>
    </xf>
    <xf numFmtId="0" fontId="51" fillId="0" borderId="145" xfId="0" applyFont="1" applyFill="1" applyBorder="1" applyAlignment="1">
      <alignment horizontal="right" vertical="center"/>
    </xf>
    <xf numFmtId="0" fontId="0" fillId="0" borderId="92" xfId="0" applyFill="1" applyBorder="1"/>
    <xf numFmtId="0" fontId="75" fillId="0" borderId="2" xfId="0" applyFont="1" applyFill="1" applyBorder="1"/>
    <xf numFmtId="0" fontId="73" fillId="0" borderId="3" xfId="0" applyFont="1" applyFill="1" applyBorder="1" applyAlignment="1">
      <alignment horizontal="left"/>
    </xf>
    <xf numFmtId="0" fontId="50" fillId="0" borderId="85" xfId="0" applyFont="1" applyFill="1" applyBorder="1" applyAlignment="1">
      <alignment horizontal="center" vertical="center"/>
    </xf>
    <xf numFmtId="0" fontId="75" fillId="0" borderId="0" xfId="0" applyFont="1" applyFill="1" applyBorder="1"/>
    <xf numFmtId="0" fontId="73" fillId="0" borderId="0" xfId="0" applyFont="1" applyFill="1" applyBorder="1" applyAlignment="1">
      <alignment horizontal="left"/>
    </xf>
    <xf numFmtId="0" fontId="0" fillId="0" borderId="101" xfId="0" applyBorder="1"/>
    <xf numFmtId="0" fontId="0" fillId="0" borderId="103" xfId="0" applyBorder="1" applyAlignment="1"/>
    <xf numFmtId="165" fontId="23" fillId="0" borderId="98" xfId="0" applyNumberFormat="1" applyFont="1" applyBorder="1" applyAlignment="1">
      <alignment vertical="center"/>
    </xf>
    <xf numFmtId="2" fontId="23" fillId="0" borderId="98" xfId="0" applyNumberFormat="1" applyFont="1" applyBorder="1"/>
    <xf numFmtId="165" fontId="23" fillId="0" borderId="102" xfId="0" applyNumberFormat="1" applyFont="1" applyFill="1" applyBorder="1" applyAlignment="1">
      <alignment vertical="center"/>
    </xf>
    <xf numFmtId="0" fontId="5" fillId="0" borderId="0" xfId="0" applyFont="1"/>
    <xf numFmtId="0" fontId="0" fillId="0" borderId="7" xfId="0" applyBorder="1" applyAlignment="1">
      <alignment horizontal="center" vertical="center" wrapText="1"/>
    </xf>
    <xf numFmtId="0" fontId="0" fillId="0" borderId="8" xfId="0" applyBorder="1" applyAlignment="1">
      <alignment horizontal="center" vertical="center" wrapText="1"/>
    </xf>
    <xf numFmtId="0" fontId="0" fillId="0" borderId="90" xfId="0" applyBorder="1" applyAlignment="1">
      <alignment horizontal="center" vertical="center" wrapText="1"/>
    </xf>
    <xf numFmtId="0" fontId="0" fillId="0" borderId="91" xfId="0" applyBorder="1" applyAlignment="1">
      <alignment horizontal="center" vertical="center" wrapText="1"/>
    </xf>
    <xf numFmtId="0" fontId="1" fillId="0" borderId="83" xfId="0" applyFont="1" applyBorder="1" applyAlignment="1">
      <alignment horizontal="center" vertical="center" wrapText="1"/>
    </xf>
    <xf numFmtId="0" fontId="0" fillId="0" borderId="0" xfId="0" applyAlignment="1"/>
    <xf numFmtId="0" fontId="0" fillId="0" borderId="87" xfId="0" applyBorder="1"/>
    <xf numFmtId="0" fontId="1" fillId="0" borderId="0" xfId="0" applyFont="1" applyBorder="1" applyAlignment="1">
      <alignment vertical="top"/>
    </xf>
    <xf numFmtId="0" fontId="0" fillId="0" borderId="0" xfId="0" applyAlignment="1">
      <alignment wrapText="1"/>
    </xf>
    <xf numFmtId="0" fontId="0" fillId="0" borderId="171" xfId="0" applyBorder="1"/>
    <xf numFmtId="0" fontId="0" fillId="0" borderId="139" xfId="0" applyBorder="1"/>
    <xf numFmtId="0" fontId="0" fillId="0" borderId="140" xfId="0" applyBorder="1"/>
    <xf numFmtId="164" fontId="0" fillId="0" borderId="0" xfId="0" applyNumberFormat="1"/>
    <xf numFmtId="165" fontId="23" fillId="0" borderId="120" xfId="0" applyNumberFormat="1" applyFont="1" applyBorder="1" applyAlignment="1">
      <alignment horizontal="center" vertical="center"/>
    </xf>
    <xf numFmtId="2" fontId="23" fillId="0" borderId="98" xfId="0" applyNumberFormat="1" applyFont="1" applyBorder="1" applyAlignment="1">
      <alignment horizontal="center"/>
    </xf>
    <xf numFmtId="2" fontId="0" fillId="0" borderId="5" xfId="0" applyNumberFormat="1" applyBorder="1" applyAlignment="1">
      <alignment horizontal="center"/>
    </xf>
    <xf numFmtId="2" fontId="0" fillId="0" borderId="7" xfId="0" applyNumberFormat="1" applyBorder="1" applyAlignment="1">
      <alignment horizontal="center"/>
    </xf>
    <xf numFmtId="2" fontId="0" fillId="0" borderId="90" xfId="0" applyNumberFormat="1" applyBorder="1" applyAlignment="1">
      <alignment horizontal="center"/>
    </xf>
    <xf numFmtId="0" fontId="0" fillId="0" borderId="85" xfId="0" applyBorder="1" applyAlignment="1">
      <alignment wrapText="1"/>
    </xf>
    <xf numFmtId="0" fontId="0" fillId="0" borderId="170" xfId="0" applyBorder="1" applyAlignment="1">
      <alignment wrapText="1"/>
    </xf>
    <xf numFmtId="0" fontId="0" fillId="0" borderId="161" xfId="0" applyBorder="1" applyAlignment="1">
      <alignment wrapText="1"/>
    </xf>
    <xf numFmtId="0" fontId="0" fillId="0" borderId="162" xfId="0" applyBorder="1" applyAlignment="1">
      <alignment wrapText="1"/>
    </xf>
    <xf numFmtId="0" fontId="82" fillId="0" borderId="1" xfId="0" applyFont="1" applyBorder="1" applyAlignment="1">
      <alignment horizontal="left"/>
    </xf>
    <xf numFmtId="0" fontId="82" fillId="0" borderId="4" xfId="0" applyFont="1" applyBorder="1" applyAlignment="1"/>
    <xf numFmtId="0" fontId="82" fillId="0" borderId="0" xfId="0" applyFont="1" applyAlignment="1"/>
    <xf numFmtId="11" fontId="85" fillId="0" borderId="87" xfId="0" applyNumberFormat="1" applyFont="1" applyBorder="1" applyAlignment="1">
      <alignment horizontal="center"/>
    </xf>
    <xf numFmtId="0" fontId="82" fillId="0" borderId="0" xfId="0" applyFont="1"/>
    <xf numFmtId="0" fontId="82" fillId="0" borderId="87" xfId="0" applyFont="1" applyBorder="1" applyAlignment="1">
      <alignment horizontal="center"/>
    </xf>
    <xf numFmtId="0" fontId="82" fillId="0" borderId="87" xfId="0" applyFont="1" applyBorder="1"/>
    <xf numFmtId="0" fontId="82" fillId="0" borderId="87" xfId="0" applyFont="1" applyBorder="1" applyAlignment="1"/>
    <xf numFmtId="0" fontId="84" fillId="0" borderId="144" xfId="0" applyFont="1" applyBorder="1"/>
    <xf numFmtId="0" fontId="81" fillId="0" borderId="145" xfId="0" applyFont="1" applyBorder="1"/>
    <xf numFmtId="0" fontId="82" fillId="0" borderId="92" xfId="0" applyFont="1" applyBorder="1" applyAlignment="1"/>
    <xf numFmtId="0" fontId="82" fillId="0" borderId="0" xfId="0" applyFont="1" applyBorder="1" applyAlignment="1"/>
    <xf numFmtId="0" fontId="82" fillId="0" borderId="145" xfId="0" applyFont="1" applyBorder="1"/>
    <xf numFmtId="0" fontId="82" fillId="0" borderId="92" xfId="0" applyFont="1" applyBorder="1"/>
    <xf numFmtId="0" fontId="82" fillId="0" borderId="0" xfId="0" applyFont="1" applyBorder="1"/>
    <xf numFmtId="0" fontId="90" fillId="0" borderId="83" xfId="0" applyFont="1" applyBorder="1" applyAlignment="1">
      <alignment vertical="center"/>
    </xf>
    <xf numFmtId="0" fontId="90" fillId="0" borderId="84" xfId="0" applyFont="1" applyBorder="1" applyAlignment="1">
      <alignment vertical="center"/>
    </xf>
    <xf numFmtId="0" fontId="90" fillId="0" borderId="2" xfId="0" applyFont="1" applyBorder="1" applyAlignment="1">
      <alignment horizontal="center" vertical="center"/>
    </xf>
    <xf numFmtId="0" fontId="95" fillId="0" borderId="161" xfId="0" applyFont="1" applyBorder="1" applyAlignment="1">
      <alignment horizontal="centerContinuous" vertical="center"/>
    </xf>
    <xf numFmtId="0" fontId="95" fillId="0" borderId="86" xfId="0" applyFont="1" applyBorder="1" applyAlignment="1">
      <alignment horizontal="centerContinuous" vertical="center"/>
    </xf>
    <xf numFmtId="0" fontId="95" fillId="0" borderId="162" xfId="0" applyFont="1" applyBorder="1" applyAlignment="1">
      <alignment horizontal="centerContinuous" vertical="center"/>
    </xf>
    <xf numFmtId="0" fontId="97" fillId="9" borderId="83" xfId="0" applyFont="1" applyFill="1" applyBorder="1" applyAlignment="1">
      <alignment horizontal="centerContinuous" vertical="center"/>
    </xf>
    <xf numFmtId="0" fontId="97" fillId="9" borderId="84" xfId="0" applyFont="1" applyFill="1" applyBorder="1" applyAlignment="1">
      <alignment horizontal="centerContinuous" vertical="center"/>
    </xf>
    <xf numFmtId="0" fontId="97" fillId="9" borderId="146" xfId="0" applyFont="1" applyFill="1" applyBorder="1" applyAlignment="1">
      <alignment horizontal="centerContinuous" vertical="center"/>
    </xf>
    <xf numFmtId="0" fontId="93" fillId="9" borderId="153" xfId="0" applyFont="1" applyFill="1" applyBorder="1" applyAlignment="1">
      <alignment horizontal="centerContinuous" vertical="center"/>
    </xf>
    <xf numFmtId="0" fontId="93" fillId="9" borderId="154" xfId="0" applyFont="1" applyFill="1" applyBorder="1" applyAlignment="1">
      <alignment horizontal="centerContinuous" vertical="center"/>
    </xf>
    <xf numFmtId="0" fontId="93" fillId="9" borderId="157" xfId="0" applyFont="1" applyFill="1" applyBorder="1" applyAlignment="1">
      <alignment horizontal="centerContinuous" vertical="center"/>
    </xf>
    <xf numFmtId="0" fontId="98" fillId="0" borderId="163" xfId="0" applyFont="1" applyBorder="1" applyAlignment="1">
      <alignment horizontal="centerContinuous" vertical="center"/>
    </xf>
    <xf numFmtId="0" fontId="98" fillId="0" borderId="164" xfId="0" applyFont="1" applyBorder="1" applyAlignment="1">
      <alignment horizontal="centerContinuous" vertical="center"/>
    </xf>
    <xf numFmtId="0" fontId="98" fillId="0" borderId="148" xfId="0" applyFont="1" applyBorder="1" applyAlignment="1">
      <alignment horizontal="centerContinuous" vertical="center"/>
    </xf>
    <xf numFmtId="0" fontId="98" fillId="0" borderId="2" xfId="0" applyFont="1" applyBorder="1" applyAlignment="1">
      <alignment horizontal="centerContinuous" vertical="center"/>
    </xf>
    <xf numFmtId="0" fontId="98" fillId="0" borderId="150" xfId="0" applyFont="1" applyBorder="1" applyAlignment="1">
      <alignment horizontal="centerContinuous" vertical="center"/>
    </xf>
    <xf numFmtId="0" fontId="98" fillId="0" borderId="151" xfId="0" applyFont="1" applyBorder="1" applyAlignment="1">
      <alignment horizontal="centerContinuous" vertical="center"/>
    </xf>
    <xf numFmtId="0" fontId="23" fillId="0" borderId="150" xfId="0" applyFont="1" applyBorder="1" applyAlignment="1">
      <alignment horizontal="centerContinuous" vertical="center"/>
    </xf>
    <xf numFmtId="0" fontId="23" fillId="0" borderId="151" xfId="0" applyFont="1" applyBorder="1" applyAlignment="1">
      <alignment horizontal="centerContinuous" vertical="center"/>
    </xf>
    <xf numFmtId="0" fontId="23" fillId="0" borderId="169" xfId="0" applyFont="1" applyBorder="1" applyAlignment="1">
      <alignment horizontal="centerContinuous" vertical="center"/>
    </xf>
    <xf numFmtId="0" fontId="98" fillId="0" borderId="85" xfId="0" applyFont="1" applyBorder="1" applyAlignment="1">
      <alignment horizontal="centerContinuous" vertical="center"/>
    </xf>
    <xf numFmtId="0" fontId="98" fillId="0" borderId="0" xfId="0" applyFont="1" applyBorder="1" applyAlignment="1">
      <alignment horizontal="centerContinuous" vertical="center"/>
    </xf>
    <xf numFmtId="0" fontId="98" fillId="0" borderId="0" xfId="0" applyFont="1" applyBorder="1" applyAlignment="1">
      <alignment vertical="center"/>
    </xf>
    <xf numFmtId="0" fontId="98" fillId="0" borderId="170" xfId="0" applyFont="1" applyBorder="1" applyAlignment="1">
      <alignment vertical="center"/>
    </xf>
    <xf numFmtId="0" fontId="82" fillId="0" borderId="85" xfId="0" applyFont="1" applyBorder="1"/>
    <xf numFmtId="0" fontId="101" fillId="9" borderId="171" xfId="0" applyFont="1" applyFill="1" applyBorder="1" applyAlignment="1">
      <alignment horizontal="center"/>
    </xf>
    <xf numFmtId="0" fontId="38" fillId="0" borderId="0" xfId="0" applyFont="1" applyBorder="1" applyAlignment="1">
      <alignment horizontal="centerContinuous" vertical="center"/>
    </xf>
    <xf numFmtId="0" fontId="38" fillId="0" borderId="170" xfId="0" applyFont="1" applyBorder="1" applyAlignment="1">
      <alignment horizontal="centerContinuous" vertical="center"/>
    </xf>
    <xf numFmtId="0" fontId="38" fillId="0" borderId="85" xfId="0" applyFont="1" applyBorder="1" applyAlignment="1">
      <alignment vertical="center"/>
    </xf>
    <xf numFmtId="0" fontId="101" fillId="9" borderId="140" xfId="0" applyFont="1" applyFill="1" applyBorder="1" applyAlignment="1">
      <alignment horizontal="center" vertical="center"/>
    </xf>
    <xf numFmtId="0" fontId="82" fillId="0" borderId="170" xfId="0" applyFont="1" applyBorder="1"/>
    <xf numFmtId="164" fontId="101" fillId="0" borderId="139" xfId="0" applyNumberFormat="1" applyFont="1" applyBorder="1" applyAlignment="1">
      <alignment vertical="center"/>
    </xf>
    <xf numFmtId="0" fontId="23" fillId="0" borderId="87" xfId="0" applyFont="1" applyBorder="1" applyAlignment="1">
      <alignment horizontal="right" vertical="center"/>
    </xf>
    <xf numFmtId="2" fontId="101" fillId="0" borderId="139" xfId="0" applyNumberFormat="1" applyFont="1" applyBorder="1" applyAlignment="1">
      <alignment vertical="center"/>
    </xf>
    <xf numFmtId="2" fontId="101" fillId="0" borderId="140" xfId="0" applyNumberFormat="1" applyFont="1" applyBorder="1" applyAlignment="1">
      <alignment vertical="center"/>
    </xf>
    <xf numFmtId="0" fontId="44" fillId="9" borderId="154" xfId="0" applyFont="1" applyFill="1" applyBorder="1" applyAlignment="1">
      <alignment horizontal="centerContinuous" vertical="center"/>
    </xf>
    <xf numFmtId="0" fontId="44" fillId="9" borderId="157" xfId="0" applyFont="1" applyFill="1" applyBorder="1" applyAlignment="1">
      <alignment horizontal="centerContinuous" vertical="center"/>
    </xf>
    <xf numFmtId="0" fontId="83" fillId="0" borderId="0" xfId="0" applyFont="1" applyBorder="1"/>
    <xf numFmtId="0" fontId="44" fillId="9" borderId="163" xfId="0" applyFont="1" applyFill="1" applyBorder="1" applyAlignment="1">
      <alignment horizontal="centerContinuous" vertical="center"/>
    </xf>
    <xf numFmtId="0" fontId="44" fillId="9" borderId="164" xfId="0" applyFont="1" applyFill="1" applyBorder="1" applyAlignment="1">
      <alignment horizontal="centerContinuous" vertical="center"/>
    </xf>
    <xf numFmtId="0" fontId="44" fillId="9" borderId="166" xfId="0" applyFont="1" applyFill="1" applyBorder="1" applyAlignment="1">
      <alignment horizontal="centerContinuous" vertical="center"/>
    </xf>
    <xf numFmtId="0" fontId="21" fillId="9" borderId="175" xfId="0" applyFont="1" applyFill="1" applyBorder="1" applyAlignment="1">
      <alignment horizontal="centerContinuous" vertical="center"/>
    </xf>
    <xf numFmtId="0" fontId="21" fillId="9" borderId="174" xfId="0" applyFont="1" applyFill="1" applyBorder="1" applyAlignment="1">
      <alignment horizontal="centerContinuous" vertical="center"/>
    </xf>
    <xf numFmtId="0" fontId="21" fillId="9" borderId="84" xfId="0" applyFont="1" applyFill="1" applyBorder="1" applyAlignment="1">
      <alignment horizontal="centerContinuous" vertical="center"/>
    </xf>
    <xf numFmtId="0" fontId="44" fillId="9" borderId="146" xfId="0" applyFont="1" applyFill="1" applyBorder="1" applyAlignment="1">
      <alignment horizontal="centerContinuous" vertical="center"/>
    </xf>
    <xf numFmtId="0" fontId="35" fillId="9" borderId="83" xfId="0" applyFont="1" applyFill="1" applyBorder="1" applyAlignment="1">
      <alignment vertical="center"/>
    </xf>
    <xf numFmtId="0" fontId="35" fillId="9" borderId="84" xfId="0" applyFont="1" applyFill="1" applyBorder="1" applyAlignment="1">
      <alignment vertical="center"/>
    </xf>
    <xf numFmtId="0" fontId="35" fillId="9" borderId="83" xfId="0" applyFont="1" applyFill="1" applyBorder="1" applyAlignment="1">
      <alignment horizontal="centerContinuous" vertical="center"/>
    </xf>
    <xf numFmtId="0" fontId="35" fillId="9" borderId="84" xfId="0" applyFont="1" applyFill="1" applyBorder="1" applyAlignment="1">
      <alignment horizontal="centerContinuous" vertical="center"/>
    </xf>
    <xf numFmtId="0" fontId="35" fillId="9" borderId="174" xfId="0" applyFont="1" applyFill="1" applyBorder="1" applyAlignment="1">
      <alignment horizontal="centerContinuous" vertical="center"/>
    </xf>
    <xf numFmtId="0" fontId="35" fillId="9" borderId="146" xfId="0" applyFont="1" applyFill="1" applyBorder="1" applyAlignment="1">
      <alignment horizontal="centerContinuous" vertical="center"/>
    </xf>
    <xf numFmtId="0" fontId="35" fillId="9" borderId="150" xfId="0" applyFont="1" applyFill="1" applyBorder="1" applyAlignment="1">
      <alignment horizontal="centerContinuous" vertical="center"/>
    </xf>
    <xf numFmtId="0" fontId="35" fillId="9" borderId="151" xfId="0" applyFont="1" applyFill="1" applyBorder="1" applyAlignment="1">
      <alignment horizontal="centerContinuous" vertical="center"/>
    </xf>
    <xf numFmtId="0" fontId="35" fillId="9" borderId="152" xfId="0" applyFont="1" applyFill="1" applyBorder="1" applyAlignment="1">
      <alignment horizontal="centerContinuous" vertical="center"/>
    </xf>
    <xf numFmtId="0" fontId="35" fillId="9" borderId="7" xfId="0" applyFont="1" applyFill="1" applyBorder="1" applyAlignment="1">
      <alignment horizontal="centerContinuous" vertical="center"/>
    </xf>
    <xf numFmtId="0" fontId="35" fillId="9" borderId="8" xfId="0" applyFont="1" applyFill="1" applyBorder="1" applyAlignment="1">
      <alignment horizontal="centerContinuous" vertical="center"/>
    </xf>
    <xf numFmtId="0" fontId="35" fillId="9" borderId="176" xfId="0" applyFont="1" applyFill="1" applyBorder="1" applyAlignment="1">
      <alignment horizontal="centerContinuous" vertical="center"/>
    </xf>
    <xf numFmtId="0" fontId="35" fillId="9" borderId="177" xfId="0" applyFont="1" applyFill="1" applyBorder="1" applyAlignment="1">
      <alignment horizontal="centerContinuous" vertical="center"/>
    </xf>
    <xf numFmtId="0" fontId="35" fillId="9" borderId="170" xfId="0" applyFont="1" applyFill="1" applyBorder="1" applyAlignment="1">
      <alignment horizontal="centerContinuous" vertical="center"/>
    </xf>
    <xf numFmtId="0" fontId="35" fillId="0" borderId="148" xfId="0" applyFont="1" applyBorder="1" applyAlignment="1">
      <alignment horizontal="centerContinuous" vertical="center"/>
    </xf>
    <xf numFmtId="0" fontId="35" fillId="0" borderId="2" xfId="0" applyFont="1" applyBorder="1" applyAlignment="1">
      <alignment horizontal="left" vertical="center"/>
    </xf>
    <xf numFmtId="0" fontId="35" fillId="0" borderId="2" xfId="0" applyFont="1" applyBorder="1" applyAlignment="1">
      <alignment vertical="center"/>
    </xf>
    <xf numFmtId="0" fontId="35" fillId="0" borderId="150" xfId="0" applyFont="1" applyBorder="1" applyAlignment="1">
      <alignment horizontal="centerContinuous" vertical="center"/>
    </xf>
    <xf numFmtId="0" fontId="35" fillId="0" borderId="151" xfId="0" applyFont="1" applyBorder="1" applyAlignment="1">
      <alignment horizontal="left" vertical="center"/>
    </xf>
    <xf numFmtId="0" fontId="35" fillId="0" borderId="151" xfId="0" applyFont="1" applyBorder="1" applyAlignment="1">
      <alignment vertical="center"/>
    </xf>
    <xf numFmtId="0" fontId="44" fillId="9" borderId="171" xfId="0" applyFont="1" applyFill="1" applyBorder="1" applyAlignment="1">
      <alignment horizontal="center"/>
    </xf>
    <xf numFmtId="0" fontId="44" fillId="9" borderId="178" xfId="0" applyFont="1" applyFill="1" applyBorder="1" applyAlignment="1">
      <alignment horizontal="center"/>
    </xf>
    <xf numFmtId="0" fontId="21" fillId="9" borderId="153" xfId="0" applyFont="1" applyFill="1" applyBorder="1" applyAlignment="1">
      <alignment horizontal="centerContinuous"/>
    </xf>
    <xf numFmtId="0" fontId="21" fillId="0" borderId="157" xfId="0" applyFont="1" applyBorder="1" applyAlignment="1">
      <alignment horizontal="centerContinuous"/>
    </xf>
    <xf numFmtId="0" fontId="44" fillId="9" borderId="172" xfId="0" applyFont="1" applyFill="1" applyBorder="1" applyAlignment="1">
      <alignment horizontal="center"/>
    </xf>
    <xf numFmtId="164" fontId="44" fillId="9" borderId="0" xfId="0" applyNumberFormat="1" applyFont="1" applyFill="1" applyBorder="1" applyAlignment="1">
      <alignment vertical="center"/>
    </xf>
    <xf numFmtId="0" fontId="83" fillId="9" borderId="0" xfId="0" applyFont="1" applyFill="1" applyBorder="1"/>
    <xf numFmtId="0" fontId="44" fillId="9" borderId="171" xfId="0" applyFont="1" applyFill="1" applyBorder="1" applyAlignment="1">
      <alignment vertical="center"/>
    </xf>
    <xf numFmtId="9" fontId="44" fillId="9" borderId="179" xfId="0" applyNumberFormat="1" applyFont="1" applyFill="1" applyBorder="1" applyAlignment="1">
      <alignment horizontal="center" vertical="center"/>
    </xf>
    <xf numFmtId="9" fontId="44" fillId="9" borderId="180" xfId="0" applyNumberFormat="1" applyFont="1" applyFill="1" applyBorder="1" applyAlignment="1">
      <alignment horizontal="center" vertical="center"/>
    </xf>
    <xf numFmtId="0" fontId="44" fillId="0" borderId="171" xfId="0" applyFont="1" applyBorder="1" applyAlignment="1">
      <alignment vertical="center"/>
    </xf>
    <xf numFmtId="164" fontId="44" fillId="0" borderId="178" xfId="0" applyNumberFormat="1" applyFont="1" applyBorder="1" applyAlignment="1">
      <alignment horizontal="center" vertical="center"/>
    </xf>
    <xf numFmtId="2" fontId="44" fillId="0" borderId="141" xfId="0" applyNumberFormat="1" applyFont="1" applyBorder="1" applyAlignment="1">
      <alignment horizontal="center" vertical="center"/>
    </xf>
    <xf numFmtId="1" fontId="44" fillId="0" borderId="178" xfId="0" applyNumberFormat="1" applyFont="1" applyBorder="1" applyAlignment="1">
      <alignment horizontal="center" vertical="center"/>
    </xf>
    <xf numFmtId="1" fontId="44" fillId="0" borderId="172" xfId="0" applyNumberFormat="1" applyFont="1" applyBorder="1" applyAlignment="1">
      <alignment horizontal="center" vertical="center"/>
    </xf>
    <xf numFmtId="164" fontId="44" fillId="0" borderId="0" xfId="0" applyNumberFormat="1" applyFont="1" applyBorder="1" applyAlignment="1">
      <alignment vertical="center"/>
    </xf>
    <xf numFmtId="1" fontId="44" fillId="9" borderId="178" xfId="0" applyNumberFormat="1" applyFont="1" applyFill="1" applyBorder="1" applyAlignment="1">
      <alignment horizontal="center" vertical="center"/>
    </xf>
    <xf numFmtId="0" fontId="44" fillId="0" borderId="140" xfId="0" applyFont="1" applyBorder="1" applyAlignment="1">
      <alignment vertical="center"/>
    </xf>
    <xf numFmtId="2" fontId="44" fillId="0" borderId="173" xfId="0" applyNumberFormat="1" applyFont="1" applyBorder="1" applyAlignment="1">
      <alignment horizontal="center" vertical="center"/>
    </xf>
    <xf numFmtId="2" fontId="105" fillId="0" borderId="141" xfId="0" applyNumberFormat="1" applyFont="1" applyBorder="1" applyAlignment="1">
      <alignment horizontal="center" vertical="center"/>
    </xf>
    <xf numFmtId="2" fontId="105" fillId="0" borderId="173" xfId="0" applyNumberFormat="1" applyFont="1" applyBorder="1" applyAlignment="1">
      <alignment horizontal="center" vertical="center"/>
    </xf>
    <xf numFmtId="11" fontId="107" fillId="0" borderId="87" xfId="0" applyNumberFormat="1" applyFont="1" applyBorder="1" applyAlignment="1">
      <alignment horizontal="center"/>
    </xf>
    <xf numFmtId="0" fontId="81" fillId="0" borderId="87" xfId="0" applyFont="1" applyBorder="1" applyAlignment="1">
      <alignment horizontal="center"/>
    </xf>
    <xf numFmtId="0" fontId="81" fillId="0" borderId="87" xfId="0" applyFont="1" applyBorder="1"/>
    <xf numFmtId="0" fontId="81" fillId="0" borderId="3" xfId="0" applyFont="1" applyBorder="1"/>
    <xf numFmtId="0" fontId="81" fillId="0" borderId="90" xfId="0" applyFont="1" applyBorder="1" applyAlignment="1">
      <alignment wrapText="1"/>
    </xf>
    <xf numFmtId="0" fontId="81" fillId="0" borderId="91" xfId="0" applyFont="1" applyBorder="1" applyAlignment="1">
      <alignment wrapText="1"/>
    </xf>
    <xf numFmtId="0" fontId="81" fillId="0" borderId="1" xfId="0" applyFont="1" applyBorder="1" applyAlignment="1">
      <alignment wrapText="1"/>
    </xf>
    <xf numFmtId="0" fontId="81" fillId="0" borderId="3" xfId="0" applyFont="1" applyBorder="1" applyAlignment="1">
      <alignment wrapText="1"/>
    </xf>
    <xf numFmtId="1" fontId="82" fillId="0" borderId="87" xfId="0" applyNumberFormat="1" applyFont="1" applyBorder="1" applyAlignment="1">
      <alignment horizontal="center"/>
    </xf>
    <xf numFmtId="0" fontId="81" fillId="0" borderId="90" xfId="0" applyFont="1" applyBorder="1" applyAlignment="1"/>
    <xf numFmtId="0" fontId="81" fillId="0" borderId="92" xfId="0" applyFont="1" applyBorder="1" applyAlignment="1"/>
    <xf numFmtId="0" fontId="81" fillId="0" borderId="91" xfId="0" applyFont="1" applyBorder="1" applyAlignment="1"/>
    <xf numFmtId="0" fontId="81" fillId="0" borderId="92" xfId="0" applyFont="1" applyBorder="1"/>
    <xf numFmtId="0" fontId="81" fillId="0" borderId="91" xfId="0" applyFont="1" applyBorder="1"/>
    <xf numFmtId="0" fontId="81" fillId="0" borderId="90" xfId="0" applyFont="1" applyBorder="1"/>
    <xf numFmtId="0" fontId="82" fillId="0" borderId="92" xfId="0" applyFont="1" applyBorder="1" applyAlignment="1">
      <alignment horizontal="center"/>
    </xf>
    <xf numFmtId="0" fontId="81" fillId="0" borderId="91" xfId="0" applyFont="1" applyBorder="1" applyAlignment="1">
      <alignment horizontal="center"/>
    </xf>
    <xf numFmtId="2" fontId="82" fillId="0" borderId="87" xfId="0" applyNumberFormat="1" applyFont="1" applyBorder="1" applyAlignment="1">
      <alignment horizontal="center"/>
    </xf>
    <xf numFmtId="0" fontId="112" fillId="0" borderId="87" xfId="0" applyFont="1" applyBorder="1"/>
    <xf numFmtId="0" fontId="112" fillId="0" borderId="3" xfId="0" applyFont="1" applyBorder="1"/>
    <xf numFmtId="0" fontId="81" fillId="0" borderId="5" xfId="0" applyFont="1" applyBorder="1" applyAlignment="1">
      <alignment vertical="center" wrapText="1"/>
    </xf>
    <xf numFmtId="0" fontId="82" fillId="0" borderId="6" xfId="0" applyFont="1" applyBorder="1" applyAlignment="1">
      <alignment vertical="center" wrapText="1"/>
    </xf>
    <xf numFmtId="0" fontId="112" fillId="0" borderId="87" xfId="0" applyFont="1" applyBorder="1" applyAlignment="1"/>
    <xf numFmtId="0" fontId="81" fillId="0" borderId="4" xfId="0" applyFont="1" applyBorder="1" applyAlignment="1"/>
    <xf numFmtId="0" fontId="81" fillId="0" borderId="6" xfId="0" applyFont="1" applyBorder="1" applyAlignment="1"/>
    <xf numFmtId="0" fontId="81" fillId="0" borderId="0" xfId="0" applyFont="1" applyBorder="1" applyAlignment="1"/>
    <xf numFmtId="0" fontId="81" fillId="0" borderId="8" xfId="0" applyFont="1" applyBorder="1" applyAlignment="1"/>
    <xf numFmtId="0" fontId="81" fillId="0" borderId="7" xfId="0" applyFont="1" applyBorder="1" applyAlignment="1"/>
    <xf numFmtId="2" fontId="21" fillId="0" borderId="76" xfId="0" applyNumberFormat="1" applyFont="1" applyBorder="1" applyAlignment="1">
      <alignment horizontal="center" vertical="center"/>
    </xf>
    <xf numFmtId="1" fontId="21" fillId="0" borderId="87" xfId="0" applyNumberFormat="1" applyFont="1" applyBorder="1" applyAlignment="1">
      <alignment horizontal="center" vertical="center"/>
    </xf>
    <xf numFmtId="0" fontId="82" fillId="0" borderId="87" xfId="0" applyFont="1" applyBorder="1" applyAlignment="1">
      <alignment horizontal="center"/>
    </xf>
    <xf numFmtId="2" fontId="31" fillId="3" borderId="87" xfId="0" applyNumberFormat="1" applyFont="1" applyFill="1" applyBorder="1" applyAlignment="1">
      <alignment horizontal="center" wrapText="1"/>
    </xf>
    <xf numFmtId="164" fontId="31" fillId="3" borderId="1" xfId="0" applyNumberFormat="1" applyFont="1" applyFill="1" applyBorder="1" applyAlignment="1">
      <alignment horizontal="center"/>
    </xf>
    <xf numFmtId="2" fontId="30" fillId="3" borderId="93" xfId="0" applyNumberFormat="1" applyFont="1" applyFill="1" applyBorder="1" applyAlignment="1">
      <alignment horizontal="center" wrapText="1"/>
    </xf>
    <xf numFmtId="2" fontId="30" fillId="3" borderId="76" xfId="0" applyNumberFormat="1" applyFont="1" applyFill="1" applyBorder="1" applyAlignment="1">
      <alignment horizontal="center"/>
    </xf>
    <xf numFmtId="2" fontId="30" fillId="3" borderId="93" xfId="0" applyNumberFormat="1" applyFont="1" applyFill="1" applyBorder="1" applyAlignment="1">
      <alignment horizontal="center" vertical="center" wrapText="1"/>
    </xf>
    <xf numFmtId="2" fontId="30" fillId="3" borderId="87" xfId="0" applyNumberFormat="1" applyFont="1" applyFill="1" applyBorder="1" applyAlignment="1">
      <alignment horizontal="center" vertical="center" wrapText="1"/>
    </xf>
    <xf numFmtId="164" fontId="23" fillId="0" borderId="87" xfId="0" applyNumberFormat="1" applyFont="1" applyBorder="1" applyAlignment="1">
      <alignment horizontal="center" vertical="center"/>
    </xf>
    <xf numFmtId="1" fontId="0" fillId="0" borderId="0" xfId="0" applyNumberFormat="1"/>
    <xf numFmtId="2" fontId="44" fillId="9" borderId="141" xfId="0" applyNumberFormat="1" applyFont="1" applyFill="1" applyBorder="1" applyAlignment="1">
      <alignment horizontal="center" vertical="center"/>
    </xf>
    <xf numFmtId="0" fontId="5" fillId="0" borderId="0" xfId="0" applyFont="1" applyFill="1" applyBorder="1" applyAlignment="1">
      <alignment horizontal="center" vertical="center"/>
    </xf>
    <xf numFmtId="164" fontId="30" fillId="0" borderId="1" xfId="0" applyNumberFormat="1" applyFont="1" applyFill="1" applyBorder="1" applyAlignment="1">
      <alignment horizontal="center" wrapText="1"/>
    </xf>
    <xf numFmtId="0" fontId="113" fillId="0" borderId="87" xfId="0" applyFont="1" applyBorder="1" applyAlignment="1">
      <alignment vertical="center"/>
    </xf>
    <xf numFmtId="164" fontId="113" fillId="0" borderId="93" xfId="0" applyNumberFormat="1" applyFont="1" applyBorder="1" applyAlignment="1">
      <alignment horizontal="center" vertical="center"/>
    </xf>
    <xf numFmtId="0" fontId="113" fillId="0" borderId="87" xfId="0" applyFont="1" applyBorder="1" applyAlignment="1">
      <alignment horizontal="right" vertical="center"/>
    </xf>
    <xf numFmtId="164" fontId="113" fillId="0" borderId="87" xfId="0" applyNumberFormat="1" applyFont="1" applyBorder="1" applyAlignment="1">
      <alignment horizontal="center" vertical="center"/>
    </xf>
    <xf numFmtId="0" fontId="113" fillId="0" borderId="93" xfId="0" applyFont="1" applyBorder="1" applyAlignment="1">
      <alignment vertical="center"/>
    </xf>
    <xf numFmtId="164" fontId="101" fillId="0" borderId="138" xfId="0" applyNumberFormat="1" applyFont="1" applyBorder="1" applyAlignment="1">
      <alignment vertical="center"/>
    </xf>
    <xf numFmtId="165" fontId="101" fillId="0" borderId="139" xfId="0" applyNumberFormat="1" applyFont="1" applyBorder="1" applyAlignment="1">
      <alignment vertical="center"/>
    </xf>
    <xf numFmtId="164" fontId="23" fillId="0" borderId="141" xfId="0" applyNumberFormat="1" applyFont="1" applyBorder="1" applyAlignment="1">
      <alignment horizontal="center" vertical="center"/>
    </xf>
    <xf numFmtId="0" fontId="113" fillId="0" borderId="141" xfId="0" applyFont="1" applyBorder="1" applyAlignment="1">
      <alignment horizontal="right" vertical="center"/>
    </xf>
    <xf numFmtId="0" fontId="1" fillId="7" borderId="91" xfId="0" applyFont="1" applyFill="1" applyBorder="1" applyAlignment="1">
      <alignment horizontal="center" vertical="center"/>
    </xf>
    <xf numFmtId="0" fontId="1" fillId="7" borderId="93" xfId="0" applyFont="1" applyFill="1" applyBorder="1" applyAlignment="1">
      <alignment horizontal="center" vertical="center"/>
    </xf>
    <xf numFmtId="0" fontId="1" fillId="7" borderId="182" xfId="0" applyFont="1" applyFill="1" applyBorder="1" applyAlignment="1">
      <alignment horizontal="center" vertical="center"/>
    </xf>
    <xf numFmtId="164" fontId="100" fillId="0" borderId="87" xfId="0" applyNumberFormat="1" applyFont="1" applyBorder="1" applyAlignment="1">
      <alignment horizontal="center" vertical="center"/>
    </xf>
    <xf numFmtId="0" fontId="102" fillId="9" borderId="178" xfId="0" applyFont="1" applyFill="1" applyBorder="1" applyAlignment="1">
      <alignment horizontal="center" wrapText="1"/>
    </xf>
    <xf numFmtId="0" fontId="102" fillId="9" borderId="141" xfId="0" applyFont="1" applyFill="1" applyBorder="1" applyAlignment="1">
      <alignment horizontal="center" wrapText="1"/>
    </xf>
    <xf numFmtId="164" fontId="97" fillId="0" borderId="1" xfId="0" applyNumberFormat="1" applyFont="1" applyBorder="1" applyAlignment="1">
      <alignment horizontal="center" vertical="center"/>
    </xf>
    <xf numFmtId="164" fontId="98" fillId="0" borderId="2" xfId="0" applyNumberFormat="1" applyFont="1" applyBorder="1" applyAlignment="1">
      <alignment horizontal="center" vertical="center"/>
    </xf>
    <xf numFmtId="164" fontId="98" fillId="0" borderId="149" xfId="0" applyNumberFormat="1" applyFont="1" applyBorder="1" applyAlignment="1">
      <alignment horizontal="center" vertical="center"/>
    </xf>
    <xf numFmtId="0" fontId="23" fillId="0" borderId="148" xfId="0" applyFont="1" applyBorder="1" applyAlignment="1">
      <alignment horizontal="center" vertical="center" wrapText="1"/>
    </xf>
    <xf numFmtId="0" fontId="100" fillId="0" borderId="2" xfId="0" applyFont="1" applyBorder="1" applyAlignment="1">
      <alignment horizontal="center" vertical="center"/>
    </xf>
    <xf numFmtId="0" fontId="100" fillId="0" borderId="3" xfId="0" applyFont="1" applyBorder="1" applyAlignment="1">
      <alignment horizontal="center" vertical="center"/>
    </xf>
    <xf numFmtId="2" fontId="41" fillId="0" borderId="1" xfId="0" applyNumberFormat="1" applyFont="1" applyBorder="1" applyAlignment="1">
      <alignment horizontal="center" vertical="center"/>
    </xf>
    <xf numFmtId="0" fontId="41" fillId="0" borderId="2" xfId="0" applyFont="1" applyBorder="1" applyAlignment="1">
      <alignment horizontal="center" vertical="center"/>
    </xf>
    <xf numFmtId="0" fontId="41" fillId="0" borderId="149" xfId="0" applyFont="1" applyBorder="1" applyAlignment="1">
      <alignment horizontal="center" vertical="center"/>
    </xf>
    <xf numFmtId="0" fontId="41" fillId="0" borderId="163" xfId="0" applyFont="1" applyBorder="1" applyAlignment="1">
      <alignment horizontal="center" vertical="center"/>
    </xf>
    <xf numFmtId="0" fontId="41" fillId="0" borderId="164" xfId="0" applyFont="1" applyBorder="1" applyAlignment="1">
      <alignment horizontal="center" vertical="center"/>
    </xf>
    <xf numFmtId="0" fontId="41" fillId="0" borderId="167" xfId="0" applyFont="1" applyBorder="1" applyAlignment="1">
      <alignment horizontal="center" vertical="center"/>
    </xf>
    <xf numFmtId="164" fontId="41" fillId="0" borderId="165" xfId="0" applyNumberFormat="1" applyFont="1" applyBorder="1" applyAlignment="1">
      <alignment horizontal="center" vertical="center"/>
    </xf>
    <xf numFmtId="164" fontId="41" fillId="0" borderId="164" xfId="0" applyNumberFormat="1" applyFont="1" applyBorder="1" applyAlignment="1">
      <alignment horizontal="center" vertical="center"/>
    </xf>
    <xf numFmtId="164" fontId="41" fillId="0" borderId="166" xfId="0" applyNumberFormat="1" applyFont="1" applyBorder="1" applyAlignment="1">
      <alignment horizontal="center" vertical="center"/>
    </xf>
    <xf numFmtId="0" fontId="93" fillId="0" borderId="153" xfId="0" applyFont="1" applyBorder="1" applyAlignment="1">
      <alignment vertical="center"/>
    </xf>
    <xf numFmtId="0" fontId="86" fillId="0" borderId="154" xfId="0" applyFont="1" applyBorder="1" applyAlignment="1">
      <alignment vertical="center"/>
    </xf>
    <xf numFmtId="0" fontId="86" fillId="0" borderId="155" xfId="0" applyFont="1" applyBorder="1" applyAlignment="1">
      <alignment vertical="center"/>
    </xf>
    <xf numFmtId="0" fontId="93" fillId="0" borderId="156" xfId="0" applyFont="1" applyBorder="1" applyAlignment="1">
      <alignment horizontal="left" vertical="center"/>
    </xf>
    <xf numFmtId="0" fontId="93" fillId="0" borderId="154" xfId="0" applyFont="1" applyBorder="1" applyAlignment="1">
      <alignment horizontal="left" vertical="center"/>
    </xf>
    <xf numFmtId="0" fontId="93" fillId="0" borderId="157" xfId="0" applyFont="1" applyBorder="1" applyAlignment="1">
      <alignment horizontal="left" vertical="center"/>
    </xf>
    <xf numFmtId="0" fontId="94" fillId="0" borderId="158" xfId="0" applyFont="1" applyBorder="1" applyAlignment="1">
      <alignment horizontal="left" vertical="center"/>
    </xf>
    <xf numFmtId="0" fontId="94" fillId="0" borderId="159" xfId="0" applyFont="1" applyBorder="1" applyAlignment="1">
      <alignment horizontal="left" vertical="center"/>
    </xf>
    <xf numFmtId="0" fontId="90" fillId="0" borderId="159" xfId="0" applyFont="1" applyBorder="1" applyAlignment="1">
      <alignment horizontal="left" vertical="center"/>
    </xf>
    <xf numFmtId="0" fontId="90" fillId="0" borderId="160" xfId="0" applyFont="1" applyBorder="1" applyAlignment="1">
      <alignment horizontal="left" vertical="center"/>
    </xf>
    <xf numFmtId="0" fontId="96" fillId="0" borderId="153" xfId="0" applyFont="1" applyBorder="1" applyAlignment="1">
      <alignment horizontal="center" vertical="center"/>
    </xf>
    <xf numFmtId="0" fontId="96" fillId="0" borderId="154" xfId="0" applyFont="1" applyBorder="1" applyAlignment="1">
      <alignment horizontal="center" vertical="center"/>
    </xf>
    <xf numFmtId="0" fontId="96" fillId="0" borderId="157" xfId="0" applyFont="1" applyBorder="1" applyAlignment="1">
      <alignment horizontal="center" vertical="center"/>
    </xf>
    <xf numFmtId="0" fontId="97" fillId="0" borderId="165" xfId="0" applyFont="1" applyBorder="1" applyAlignment="1">
      <alignment horizontal="center" vertical="center"/>
    </xf>
    <xf numFmtId="0" fontId="98" fillId="0" borderId="164" xfId="0" applyFont="1" applyBorder="1" applyAlignment="1">
      <alignment horizontal="center" vertical="center"/>
    </xf>
    <xf numFmtId="0" fontId="98" fillId="0" borderId="166" xfId="0" applyFont="1" applyBorder="1" applyAlignment="1">
      <alignment horizontal="center" vertical="center"/>
    </xf>
    <xf numFmtId="0" fontId="102" fillId="9" borderId="178" xfId="0" applyFont="1" applyFill="1" applyBorder="1" applyAlignment="1">
      <alignment horizontal="center" vertical="center" wrapText="1"/>
    </xf>
    <xf numFmtId="0" fontId="102" fillId="9" borderId="141" xfId="0" applyFont="1" applyFill="1" applyBorder="1" applyAlignment="1">
      <alignment horizontal="center" vertical="center" wrapText="1"/>
    </xf>
    <xf numFmtId="0" fontId="101" fillId="9" borderId="178" xfId="0" applyFont="1" applyFill="1" applyBorder="1" applyAlignment="1">
      <alignment horizontal="center" vertical="center"/>
    </xf>
    <xf numFmtId="0" fontId="101" fillId="9" borderId="172" xfId="0" applyFont="1" applyFill="1" applyBorder="1" applyAlignment="1">
      <alignment horizontal="center" vertical="center"/>
    </xf>
    <xf numFmtId="0" fontId="101" fillId="9" borderId="141" xfId="0" applyFont="1" applyFill="1" applyBorder="1" applyAlignment="1">
      <alignment horizontal="center" vertical="center"/>
    </xf>
    <xf numFmtId="0" fontId="101" fillId="9" borderId="173" xfId="0" applyFont="1" applyFill="1" applyBorder="1" applyAlignment="1">
      <alignment horizontal="center" vertical="center"/>
    </xf>
    <xf numFmtId="0" fontId="23" fillId="0" borderId="163" xfId="0" applyFont="1" applyBorder="1" applyAlignment="1">
      <alignment horizontal="center" vertical="center"/>
    </xf>
    <xf numFmtId="0" fontId="23" fillId="0" borderId="164" xfId="0" applyFont="1" applyBorder="1" applyAlignment="1">
      <alignment horizontal="center" vertical="center"/>
    </xf>
    <xf numFmtId="0" fontId="23" fillId="0" borderId="167" xfId="0" applyFont="1" applyBorder="1" applyAlignment="1">
      <alignment horizontal="center" vertical="center"/>
    </xf>
    <xf numFmtId="0" fontId="99" fillId="0" borderId="153" xfId="0" applyFont="1" applyBorder="1" applyAlignment="1">
      <alignment horizontal="center" vertical="center"/>
    </xf>
    <xf numFmtId="0" fontId="99" fillId="0" borderId="154" xfId="0" applyFont="1" applyBorder="1" applyAlignment="1">
      <alignment horizontal="center" vertical="center"/>
    </xf>
    <xf numFmtId="0" fontId="99" fillId="0" borderId="157" xfId="0" applyFont="1" applyBorder="1" applyAlignment="1">
      <alignment horizontal="center" vertical="center"/>
    </xf>
    <xf numFmtId="0" fontId="92" fillId="0" borderId="150" xfId="0" applyFont="1" applyBorder="1" applyAlignment="1">
      <alignment horizontal="center" vertical="center"/>
    </xf>
    <xf numFmtId="0" fontId="92" fillId="0" borderId="151" xfId="0" applyFont="1" applyBorder="1" applyAlignment="1">
      <alignment horizontal="center" vertical="center"/>
    </xf>
    <xf numFmtId="0" fontId="92" fillId="0" borderId="152" xfId="0" applyFont="1" applyBorder="1" applyAlignment="1">
      <alignment horizontal="center" vertical="center"/>
    </xf>
    <xf numFmtId="0" fontId="91" fillId="0" borderId="84" xfId="0" applyFont="1" applyBorder="1" applyAlignment="1">
      <alignment horizontal="center" vertical="center"/>
    </xf>
    <xf numFmtId="0" fontId="91" fillId="0" borderId="146" xfId="0" applyFont="1" applyBorder="1" applyAlignment="1">
      <alignment horizontal="center" vertical="center"/>
    </xf>
    <xf numFmtId="0" fontId="41" fillId="0" borderId="85" xfId="0" applyFont="1" applyBorder="1" applyAlignment="1">
      <alignment vertical="center"/>
    </xf>
    <xf numFmtId="0" fontId="92" fillId="0" borderId="0" xfId="0" applyFont="1" applyBorder="1" applyAlignment="1">
      <alignment vertical="center"/>
    </xf>
    <xf numFmtId="0" fontId="41" fillId="0" borderId="92" xfId="0" applyFont="1" applyBorder="1" applyAlignment="1">
      <alignment horizontal="center" vertical="center"/>
    </xf>
    <xf numFmtId="0" fontId="41" fillId="0" borderId="92" xfId="0" applyFont="1" applyBorder="1" applyAlignment="1">
      <alignment horizontal="left" vertical="center"/>
    </xf>
    <xf numFmtId="0" fontId="41" fillId="0" borderId="147" xfId="0" applyFont="1" applyBorder="1" applyAlignment="1">
      <alignment horizontal="left" vertical="center"/>
    </xf>
    <xf numFmtId="0" fontId="40" fillId="0" borderId="148" xfId="0" applyFont="1" applyBorder="1" applyAlignment="1" applyProtection="1">
      <alignment vertical="center"/>
      <protection locked="0"/>
    </xf>
    <xf numFmtId="0" fontId="35" fillId="0" borderId="2" xfId="0" applyFont="1" applyBorder="1" applyAlignment="1">
      <alignment vertical="center"/>
    </xf>
    <xf numFmtId="165" fontId="40" fillId="0" borderId="2" xfId="0" applyNumberFormat="1" applyFont="1" applyBorder="1" applyAlignment="1">
      <alignment horizontal="left" vertical="center"/>
    </xf>
    <xf numFmtId="0" fontId="35" fillId="0" borderId="2" xfId="0" applyFont="1" applyBorder="1" applyAlignment="1">
      <alignment horizontal="left" vertical="center"/>
    </xf>
    <xf numFmtId="0" fontId="35" fillId="0" borderId="149" xfId="0" applyFont="1" applyBorder="1" applyAlignment="1">
      <alignment horizontal="left" vertical="center"/>
    </xf>
    <xf numFmtId="0" fontId="40" fillId="0" borderId="148" xfId="0" applyFont="1" applyBorder="1" applyAlignment="1">
      <alignment vertical="center"/>
    </xf>
    <xf numFmtId="0" fontId="82" fillId="0" borderId="2" xfId="0" applyFont="1" applyBorder="1" applyAlignment="1">
      <alignment vertical="center"/>
    </xf>
    <xf numFmtId="0" fontId="82" fillId="0" borderId="3" xfId="0" applyFont="1" applyBorder="1" applyAlignment="1">
      <alignment vertical="center"/>
    </xf>
    <xf numFmtId="14" fontId="38" fillId="0" borderId="1" xfId="0" applyNumberFormat="1" applyFont="1" applyBorder="1" applyAlignment="1">
      <alignment horizontal="center" vertical="center"/>
    </xf>
    <xf numFmtId="14" fontId="38" fillId="0" borderId="2" xfId="0" applyNumberFormat="1" applyFont="1" applyBorder="1" applyAlignment="1">
      <alignment horizontal="center" vertical="center"/>
    </xf>
    <xf numFmtId="14" fontId="38" fillId="0" borderId="3" xfId="0" applyNumberFormat="1" applyFont="1" applyBorder="1" applyAlignment="1">
      <alignment horizontal="center" vertical="center"/>
    </xf>
    <xf numFmtId="0" fontId="44" fillId="0" borderId="1" xfId="0" applyFont="1" applyBorder="1" applyAlignment="1">
      <alignment vertical="center"/>
    </xf>
    <xf numFmtId="0" fontId="83" fillId="0" borderId="2" xfId="0" applyFont="1" applyBorder="1" applyAlignment="1">
      <alignment vertical="center"/>
    </xf>
    <xf numFmtId="0" fontId="83" fillId="0" borderId="3" xfId="0" applyFont="1" applyBorder="1" applyAlignment="1">
      <alignment vertical="center"/>
    </xf>
    <xf numFmtId="14" fontId="90" fillId="0" borderId="1" xfId="0" applyNumberFormat="1" applyFont="1" applyBorder="1" applyAlignment="1">
      <alignment horizontal="center" vertical="center"/>
    </xf>
    <xf numFmtId="14" fontId="90" fillId="0" borderId="2" xfId="0" applyNumberFormat="1" applyFont="1" applyBorder="1" applyAlignment="1">
      <alignment horizontal="center" vertical="center"/>
    </xf>
    <xf numFmtId="0" fontId="90" fillId="0" borderId="2" xfId="0" applyFont="1" applyBorder="1" applyAlignment="1">
      <alignment horizontal="center" vertical="center"/>
    </xf>
    <xf numFmtId="0" fontId="90" fillId="0" borderId="149" xfId="0" applyFont="1" applyBorder="1" applyAlignment="1">
      <alignment horizontal="center" vertical="center"/>
    </xf>
    <xf numFmtId="1" fontId="100" fillId="0" borderId="87" xfId="0" applyNumberFormat="1" applyFont="1" applyBorder="1" applyAlignment="1">
      <alignment horizontal="center" vertical="center"/>
    </xf>
    <xf numFmtId="1" fontId="100" fillId="0" borderId="183" xfId="0" applyNumberFormat="1" applyFont="1" applyBorder="1" applyAlignment="1">
      <alignment horizontal="center" vertical="center"/>
    </xf>
    <xf numFmtId="1" fontId="41" fillId="0" borderId="168" xfId="0" applyNumberFormat="1" applyFont="1" applyBorder="1" applyAlignment="1">
      <alignment horizontal="center" vertical="center"/>
    </xf>
    <xf numFmtId="0" fontId="41" fillId="0" borderId="151" xfId="0" applyFont="1" applyBorder="1" applyAlignment="1">
      <alignment horizontal="center" vertical="center"/>
    </xf>
    <xf numFmtId="0" fontId="41" fillId="0" borderId="152" xfId="0" applyFont="1" applyBorder="1" applyAlignment="1">
      <alignment horizontal="center" vertical="center"/>
    </xf>
    <xf numFmtId="1" fontId="113" fillId="0" borderId="93" xfId="0" applyNumberFormat="1" applyFont="1" applyBorder="1" applyAlignment="1">
      <alignment horizontal="center" vertical="center"/>
    </xf>
    <xf numFmtId="1" fontId="113" fillId="0" borderId="182" xfId="0" applyNumberFormat="1" applyFont="1" applyBorder="1" applyAlignment="1">
      <alignment horizontal="center" vertical="center"/>
    </xf>
    <xf numFmtId="164" fontId="97" fillId="0" borderId="168" xfId="0" applyNumberFormat="1" applyFont="1" applyBorder="1" applyAlignment="1">
      <alignment horizontal="center" vertical="center"/>
    </xf>
    <xf numFmtId="0" fontId="98" fillId="0" borderId="151" xfId="0" applyFont="1" applyBorder="1" applyAlignment="1">
      <alignment horizontal="center" vertical="center"/>
    </xf>
    <xf numFmtId="0" fontId="98" fillId="0" borderId="152" xfId="0" applyFont="1" applyBorder="1" applyAlignment="1">
      <alignment horizontal="center" vertical="center"/>
    </xf>
    <xf numFmtId="1" fontId="113" fillId="0" borderId="87" xfId="0" applyNumberFormat="1" applyFont="1" applyBorder="1" applyAlignment="1">
      <alignment horizontal="center" vertical="center"/>
    </xf>
    <xf numFmtId="1" fontId="113" fillId="0" borderId="183" xfId="0" applyNumberFormat="1" applyFont="1" applyBorder="1" applyAlignment="1">
      <alignment horizontal="center" vertical="center"/>
    </xf>
    <xf numFmtId="1" fontId="23" fillId="0" borderId="87" xfId="0" applyNumberFormat="1" applyFont="1" applyBorder="1" applyAlignment="1">
      <alignment horizontal="center" vertical="center"/>
    </xf>
    <xf numFmtId="1" fontId="23" fillId="0" borderId="183" xfId="0" applyNumberFormat="1" applyFont="1" applyBorder="1" applyAlignment="1">
      <alignment horizontal="center" vertical="center"/>
    </xf>
    <xf numFmtId="2" fontId="3" fillId="0" borderId="60" xfId="0" applyNumberFormat="1" applyFont="1" applyFill="1" applyBorder="1" applyAlignment="1">
      <alignment horizontal="center" vertical="center"/>
    </xf>
    <xf numFmtId="2" fontId="3" fillId="0" borderId="62" xfId="0" applyNumberFormat="1" applyFont="1" applyFill="1" applyBorder="1" applyAlignment="1">
      <alignment horizontal="center" vertical="center"/>
    </xf>
    <xf numFmtId="164" fontId="0" fillId="0" borderId="76" xfId="0" applyNumberFormat="1" applyFont="1" applyFill="1" applyBorder="1" applyAlignment="1">
      <alignment horizontal="center" vertical="center" wrapText="1"/>
    </xf>
    <xf numFmtId="0" fontId="82" fillId="0" borderId="87" xfId="0" applyFont="1" applyBorder="1" applyAlignment="1">
      <alignment horizontal="center"/>
    </xf>
    <xf numFmtId="0" fontId="41" fillId="0" borderId="150" xfId="0" applyFont="1" applyBorder="1" applyAlignment="1">
      <alignment horizontal="center" vertical="center"/>
    </xf>
    <xf numFmtId="0" fontId="90" fillId="0" borderId="151" xfId="0" applyFont="1" applyBorder="1" applyAlignment="1">
      <alignment horizontal="center" vertical="center"/>
    </xf>
    <xf numFmtId="0" fontId="90" fillId="0" borderId="169" xfId="0" applyFont="1" applyBorder="1" applyAlignment="1">
      <alignment horizontal="center" vertical="center"/>
    </xf>
    <xf numFmtId="0" fontId="90" fillId="0" borderId="152" xfId="0" applyFont="1" applyBorder="1" applyAlignment="1">
      <alignment horizontal="center" vertical="center"/>
    </xf>
    <xf numFmtId="0" fontId="82" fillId="0" borderId="1" xfId="0" applyFont="1" applyBorder="1" applyAlignment="1">
      <alignment horizontal="center"/>
    </xf>
    <xf numFmtId="0" fontId="82" fillId="0" borderId="3" xfId="0" applyFont="1" applyBorder="1" applyAlignment="1">
      <alignment horizontal="center"/>
    </xf>
    <xf numFmtId="164" fontId="35" fillId="0" borderId="178" xfId="0" applyNumberFormat="1" applyFont="1" applyBorder="1" applyAlignment="1">
      <alignment horizontal="center" vertical="center"/>
    </xf>
    <xf numFmtId="0" fontId="35" fillId="0" borderId="165" xfId="0" applyFont="1" applyBorder="1" applyAlignment="1">
      <alignment horizontal="center" vertical="center"/>
    </xf>
    <xf numFmtId="0" fontId="35" fillId="0" borderId="166" xfId="0" applyFont="1" applyBorder="1" applyAlignment="1">
      <alignment horizontal="center" vertical="center"/>
    </xf>
    <xf numFmtId="164" fontId="0" fillId="0" borderId="77" xfId="0" applyNumberFormat="1" applyFont="1" applyFill="1" applyBorder="1" applyAlignment="1">
      <alignment horizontal="center" vertical="center" wrapText="1"/>
    </xf>
    <xf numFmtId="0" fontId="38" fillId="8" borderId="92" xfId="0" applyFont="1" applyFill="1" applyBorder="1" applyAlignment="1">
      <alignment horizontal="center"/>
    </xf>
    <xf numFmtId="0" fontId="0" fillId="8" borderId="92" xfId="0" applyFill="1" applyBorder="1" applyAlignment="1">
      <alignment horizontal="center"/>
    </xf>
    <xf numFmtId="2" fontId="3" fillId="0" borderId="61" xfId="0" applyNumberFormat="1" applyFont="1" applyFill="1" applyBorder="1" applyAlignment="1">
      <alignment horizontal="center" vertical="center"/>
    </xf>
    <xf numFmtId="2" fontId="35" fillId="0" borderId="148" xfId="0" applyNumberFormat="1" applyFont="1" applyBorder="1" applyAlignment="1">
      <alignment horizontal="center" vertical="center"/>
    </xf>
    <xf numFmtId="2" fontId="35" fillId="0" borderId="2" xfId="0" applyNumberFormat="1" applyFont="1" applyBorder="1" applyAlignment="1">
      <alignment horizontal="center" vertical="center"/>
    </xf>
    <xf numFmtId="2" fontId="35" fillId="0" borderId="3" xfId="0" applyNumberFormat="1" applyFont="1" applyBorder="1" applyAlignment="1">
      <alignment horizontal="center" vertical="center"/>
    </xf>
    <xf numFmtId="2" fontId="35" fillId="0" borderId="150" xfId="0" applyNumberFormat="1" applyFont="1" applyBorder="1" applyAlignment="1">
      <alignment horizontal="center" vertical="center"/>
    </xf>
    <xf numFmtId="2" fontId="35" fillId="0" borderId="151" xfId="0" applyNumberFormat="1" applyFont="1" applyBorder="1" applyAlignment="1">
      <alignment horizontal="center" vertical="center"/>
    </xf>
    <xf numFmtId="2" fontId="35" fillId="0" borderId="169" xfId="0" applyNumberFormat="1" applyFont="1" applyBorder="1" applyAlignment="1">
      <alignment horizontal="center" vertical="center"/>
    </xf>
    <xf numFmtId="0" fontId="79" fillId="0" borderId="148" xfId="0" applyFont="1" applyBorder="1" applyAlignment="1">
      <alignment horizontal="left" vertical="center"/>
    </xf>
    <xf numFmtId="0" fontId="82" fillId="0" borderId="149" xfId="0" applyFont="1" applyBorder="1" applyAlignment="1">
      <alignment vertical="center"/>
    </xf>
    <xf numFmtId="165" fontId="35" fillId="0" borderId="148" xfId="0" applyNumberFormat="1" applyFont="1" applyBorder="1" applyAlignment="1">
      <alignment horizontal="center" vertical="center"/>
    </xf>
    <xf numFmtId="165" fontId="35" fillId="0" borderId="2" xfId="0" applyNumberFormat="1" applyFont="1" applyBorder="1" applyAlignment="1">
      <alignment horizontal="center" vertical="center"/>
    </xf>
    <xf numFmtId="165" fontId="35" fillId="0" borderId="3" xfId="0" applyNumberFormat="1" applyFont="1" applyBorder="1" applyAlignment="1">
      <alignment horizontal="center" vertical="center"/>
    </xf>
    <xf numFmtId="164" fontId="35" fillId="0" borderId="1" xfId="0" applyNumberFormat="1" applyFont="1" applyBorder="1" applyAlignment="1">
      <alignment horizontal="center" vertical="center"/>
    </xf>
    <xf numFmtId="164" fontId="35" fillId="0" borderId="2" xfId="0" applyNumberFormat="1" applyFont="1" applyBorder="1" applyAlignment="1">
      <alignment horizontal="center" vertical="center"/>
    </xf>
    <xf numFmtId="164" fontId="35" fillId="0" borderId="149" xfId="0" applyNumberFormat="1" applyFont="1" applyBorder="1" applyAlignment="1">
      <alignment horizontal="center" vertical="center"/>
    </xf>
    <xf numFmtId="0" fontId="35" fillId="0" borderId="148" xfId="0" applyFont="1" applyBorder="1" applyAlignment="1">
      <alignment horizontal="left" vertical="center"/>
    </xf>
    <xf numFmtId="0" fontId="35" fillId="0" borderId="1" xfId="0" applyFont="1" applyBorder="1" applyAlignment="1">
      <alignment horizontal="center" vertical="center"/>
    </xf>
    <xf numFmtId="0" fontId="35" fillId="0" borderId="2" xfId="0" applyFont="1" applyBorder="1" applyAlignment="1">
      <alignment horizontal="center" vertical="center"/>
    </xf>
    <xf numFmtId="0" fontId="35" fillId="0" borderId="149" xfId="0" applyFont="1" applyBorder="1" applyAlignment="1">
      <alignment horizontal="center" vertical="center"/>
    </xf>
    <xf numFmtId="0" fontId="35" fillId="0" borderId="150" xfId="0" applyFont="1" applyBorder="1" applyAlignment="1">
      <alignment horizontal="left" vertical="center"/>
    </xf>
    <xf numFmtId="0" fontId="82" fillId="0" borderId="151" xfId="0" applyFont="1" applyBorder="1" applyAlignment="1">
      <alignment vertical="center"/>
    </xf>
    <xf numFmtId="0" fontId="82" fillId="0" borderId="152" xfId="0" applyFont="1" applyBorder="1" applyAlignment="1">
      <alignment vertical="center"/>
    </xf>
    <xf numFmtId="0" fontId="35" fillId="0" borderId="150" xfId="0" applyFont="1" applyFill="1" applyBorder="1" applyAlignment="1">
      <alignment horizontal="center" vertical="center"/>
    </xf>
    <xf numFmtId="0" fontId="35" fillId="0" borderId="151" xfId="0" applyFont="1" applyFill="1" applyBorder="1" applyAlignment="1">
      <alignment horizontal="center" vertical="center"/>
    </xf>
    <xf numFmtId="0" fontId="35" fillId="0" borderId="169" xfId="0" applyFont="1" applyFill="1" applyBorder="1" applyAlignment="1">
      <alignment horizontal="center" vertical="center"/>
    </xf>
    <xf numFmtId="0" fontId="35" fillId="0" borderId="168" xfId="0" applyFont="1" applyBorder="1" applyAlignment="1">
      <alignment horizontal="center" vertical="center"/>
    </xf>
    <xf numFmtId="0" fontId="35" fillId="0" borderId="151" xfId="0" applyFont="1" applyBorder="1" applyAlignment="1">
      <alignment horizontal="center" vertical="center"/>
    </xf>
    <xf numFmtId="0" fontId="35" fillId="0" borderId="152" xfId="0" applyFont="1" applyBorder="1" applyAlignment="1">
      <alignment horizontal="center" vertical="center"/>
    </xf>
    <xf numFmtId="0" fontId="44" fillId="0" borderId="85" xfId="0" applyFont="1" applyBorder="1" applyAlignment="1"/>
    <xf numFmtId="0" fontId="44" fillId="0" borderId="0" xfId="0" applyFont="1" applyBorder="1" applyAlignment="1"/>
    <xf numFmtId="0" fontId="44" fillId="0" borderId="85" xfId="0" applyFont="1" applyBorder="1" applyAlignment="1">
      <alignment horizontal="right"/>
    </xf>
    <xf numFmtId="0" fontId="44" fillId="0" borderId="0" xfId="0" applyFont="1" applyBorder="1" applyAlignment="1">
      <alignment horizontal="right"/>
    </xf>
    <xf numFmtId="0" fontId="44" fillId="0" borderId="170" xfId="0" applyFont="1" applyBorder="1" applyAlignment="1">
      <alignment horizontal="right"/>
    </xf>
    <xf numFmtId="0" fontId="86" fillId="0" borderId="85" xfId="0" applyFont="1" applyBorder="1" applyAlignment="1">
      <alignment horizontal="center"/>
    </xf>
    <xf numFmtId="0" fontId="86" fillId="0" borderId="0" xfId="0" applyFont="1" applyBorder="1" applyAlignment="1">
      <alignment horizontal="center"/>
    </xf>
    <xf numFmtId="0" fontId="86" fillId="0" borderId="170" xfId="0" applyFont="1" applyBorder="1" applyAlignment="1">
      <alignment horizontal="center"/>
    </xf>
    <xf numFmtId="0" fontId="0" fillId="0" borderId="85" xfId="0" applyBorder="1" applyAlignment="1">
      <alignment horizontal="center"/>
    </xf>
    <xf numFmtId="0" fontId="0" fillId="0" borderId="0" xfId="0" applyAlignment="1">
      <alignment horizontal="center"/>
    </xf>
    <xf numFmtId="0" fontId="109" fillId="0" borderId="85" xfId="0" applyFont="1" applyBorder="1" applyAlignment="1">
      <alignment horizontal="left" vertical="center"/>
    </xf>
    <xf numFmtId="0" fontId="109" fillId="0" borderId="0" xfId="0" applyFont="1" applyBorder="1" applyAlignment="1">
      <alignment horizontal="left" vertical="center"/>
    </xf>
    <xf numFmtId="0" fontId="109" fillId="0" borderId="161" xfId="0" applyFont="1" applyBorder="1" applyAlignment="1">
      <alignment horizontal="left" vertical="center"/>
    </xf>
    <xf numFmtId="0" fontId="109" fillId="0" borderId="86" xfId="0" applyFont="1" applyBorder="1" applyAlignment="1">
      <alignment horizontal="left" vertical="center"/>
    </xf>
    <xf numFmtId="0" fontId="109" fillId="0" borderId="85" xfId="0" applyFont="1" applyBorder="1" applyAlignment="1">
      <alignment horizontal="right"/>
    </xf>
    <xf numFmtId="0" fontId="109" fillId="0" borderId="0" xfId="0" applyFont="1" applyBorder="1" applyAlignment="1">
      <alignment horizontal="right"/>
    </xf>
    <xf numFmtId="0" fontId="109" fillId="0" borderId="170" xfId="0" applyFont="1" applyBorder="1" applyAlignment="1">
      <alignment horizontal="right"/>
    </xf>
    <xf numFmtId="0" fontId="109" fillId="0" borderId="161" xfId="0" applyFont="1" applyBorder="1" applyAlignment="1">
      <alignment horizontal="right"/>
    </xf>
    <xf numFmtId="0" fontId="109" fillId="0" borderId="86" xfId="0" applyFont="1" applyBorder="1" applyAlignment="1">
      <alignment horizontal="right"/>
    </xf>
    <xf numFmtId="0" fontId="109" fillId="0" borderId="162" xfId="0" applyFont="1" applyBorder="1" applyAlignment="1">
      <alignment horizontal="right"/>
    </xf>
    <xf numFmtId="0" fontId="82" fillId="0" borderId="83" xfId="0" applyFont="1" applyBorder="1" applyAlignment="1">
      <alignment horizontal="center"/>
    </xf>
    <xf numFmtId="0" fontId="82" fillId="0" borderId="84" xfId="0" applyFont="1" applyBorder="1" applyAlignment="1">
      <alignment horizontal="center"/>
    </xf>
    <xf numFmtId="0" fontId="82" fillId="0" borderId="146" xfId="0" applyFont="1" applyBorder="1" applyAlignment="1">
      <alignment horizontal="center"/>
    </xf>
    <xf numFmtId="1" fontId="23" fillId="0" borderId="141" xfId="0" applyNumberFormat="1" applyFont="1" applyBorder="1" applyAlignment="1">
      <alignment horizontal="center" vertical="center"/>
    </xf>
    <xf numFmtId="1" fontId="23" fillId="0" borderId="173" xfId="0" applyNumberFormat="1" applyFont="1" applyBorder="1" applyAlignment="1">
      <alignment horizontal="center" vertical="center"/>
    </xf>
    <xf numFmtId="2" fontId="31" fillId="3" borderId="1" xfId="0" applyNumberFormat="1" applyFont="1" applyFill="1" applyBorder="1" applyAlignment="1">
      <alignment horizontal="center" wrapText="1"/>
    </xf>
    <xf numFmtId="2" fontId="31" fillId="3" borderId="3" xfId="0" applyNumberFormat="1" applyFont="1" applyFill="1" applyBorder="1" applyAlignment="1">
      <alignment horizontal="center" wrapText="1"/>
    </xf>
    <xf numFmtId="164" fontId="35" fillId="0" borderId="87" xfId="0" applyNumberFormat="1" applyFont="1" applyBorder="1" applyAlignment="1">
      <alignment horizontal="center" vertical="center"/>
    </xf>
    <xf numFmtId="164" fontId="35" fillId="0" borderId="141" xfId="0" applyNumberFormat="1" applyFont="1" applyBorder="1" applyAlignment="1">
      <alignment horizontal="center" vertical="center"/>
    </xf>
    <xf numFmtId="0" fontId="0" fillId="10" borderId="5" xfId="0" applyFill="1" applyBorder="1" applyAlignment="1">
      <alignment horizontal="center" vertical="center" wrapText="1"/>
    </xf>
    <xf numFmtId="0" fontId="0" fillId="10" borderId="6" xfId="0" applyFill="1" applyBorder="1" applyAlignment="1">
      <alignment horizontal="center" vertical="center" wrapText="1"/>
    </xf>
    <xf numFmtId="2" fontId="35" fillId="0" borderId="163" xfId="0" applyNumberFormat="1" applyFont="1" applyBorder="1" applyAlignment="1">
      <alignment horizontal="center" vertical="center"/>
    </xf>
    <xf numFmtId="2" fontId="35" fillId="0" borderId="164" xfId="0" applyNumberFormat="1" applyFont="1" applyBorder="1" applyAlignment="1">
      <alignment horizontal="center" vertical="center"/>
    </xf>
    <xf numFmtId="2" fontId="35" fillId="0" borderId="167" xfId="0" applyNumberFormat="1" applyFont="1" applyBorder="1" applyAlignment="1">
      <alignment horizontal="center" vertical="center"/>
    </xf>
    <xf numFmtId="0" fontId="44" fillId="9" borderId="83" xfId="0" applyFont="1" applyFill="1" applyBorder="1" applyAlignment="1">
      <alignment horizontal="center" vertical="center"/>
    </xf>
    <xf numFmtId="0" fontId="44" fillId="9" borderId="174" xfId="0" applyFont="1" applyFill="1" applyBorder="1" applyAlignment="1">
      <alignment horizontal="center" vertical="center"/>
    </xf>
    <xf numFmtId="165" fontId="44" fillId="0" borderId="150" xfId="0" applyNumberFormat="1" applyFont="1" applyBorder="1" applyAlignment="1">
      <alignment horizontal="center" vertical="center"/>
    </xf>
    <xf numFmtId="165" fontId="44" fillId="0" borderId="152" xfId="0" applyNumberFormat="1" applyFont="1" applyBorder="1" applyAlignment="1">
      <alignment horizontal="center" vertical="center"/>
    </xf>
    <xf numFmtId="2" fontId="44" fillId="0" borderId="163" xfId="0" applyNumberFormat="1" applyFont="1" applyBorder="1" applyAlignment="1">
      <alignment horizontal="center" vertical="center"/>
    </xf>
    <xf numFmtId="2" fontId="44" fillId="0" borderId="166" xfId="0" applyNumberFormat="1" applyFont="1" applyBorder="1" applyAlignment="1">
      <alignment horizontal="center" vertical="center"/>
    </xf>
    <xf numFmtId="0" fontId="1" fillId="0" borderId="83" xfId="0" applyFont="1" applyBorder="1" applyAlignment="1"/>
    <xf numFmtId="0" fontId="1" fillId="0" borderId="84" xfId="0" applyFont="1" applyBorder="1" applyAlignment="1"/>
    <xf numFmtId="0" fontId="1" fillId="0" borderId="146" xfId="0" applyFont="1" applyBorder="1" applyAlignment="1"/>
    <xf numFmtId="0" fontId="0" fillId="0" borderId="83" xfId="0" applyBorder="1" applyAlignment="1">
      <alignment horizontal="center"/>
    </xf>
    <xf numFmtId="0" fontId="0" fillId="0" borderId="84" xfId="0" applyBorder="1" applyAlignment="1">
      <alignment horizontal="center"/>
    </xf>
    <xf numFmtId="0" fontId="0" fillId="0" borderId="84" xfId="0" applyBorder="1" applyAlignment="1">
      <alignment horizontal="left"/>
    </xf>
    <xf numFmtId="0" fontId="0" fillId="0" borderId="146" xfId="0" applyBorder="1" applyAlignment="1">
      <alignment horizontal="left"/>
    </xf>
    <xf numFmtId="0" fontId="1" fillId="0" borderId="85" xfId="0" applyFont="1" applyBorder="1" applyAlignment="1">
      <alignment horizontal="center" wrapText="1"/>
    </xf>
    <xf numFmtId="0" fontId="1" fillId="0" borderId="161" xfId="0" applyFont="1" applyBorder="1" applyAlignment="1">
      <alignment horizontal="center" wrapText="1"/>
    </xf>
    <xf numFmtId="0" fontId="1" fillId="0" borderId="85" xfId="0" applyFont="1" applyBorder="1" applyAlignment="1">
      <alignment horizontal="center" vertical="center" wrapText="1"/>
    </xf>
    <xf numFmtId="0" fontId="1" fillId="0" borderId="0" xfId="0" applyFont="1" applyBorder="1" applyAlignment="1">
      <alignment horizontal="center" vertical="center" wrapText="1"/>
    </xf>
    <xf numFmtId="0" fontId="1" fillId="0" borderId="170" xfId="0" applyFont="1" applyBorder="1" applyAlignment="1">
      <alignment horizontal="center" vertical="center" wrapText="1"/>
    </xf>
    <xf numFmtId="0" fontId="1" fillId="0" borderId="161" xfId="0" applyFont="1" applyBorder="1" applyAlignment="1">
      <alignment horizontal="left"/>
    </xf>
    <xf numFmtId="0" fontId="1" fillId="0" borderId="86" xfId="0" applyFont="1" applyBorder="1" applyAlignment="1">
      <alignment horizontal="left"/>
    </xf>
    <xf numFmtId="0" fontId="1" fillId="0" borderId="162" xfId="0" applyFont="1" applyBorder="1" applyAlignment="1">
      <alignment horizontal="left"/>
    </xf>
    <xf numFmtId="0" fontId="1" fillId="0" borderId="164" xfId="0" applyFont="1" applyBorder="1" applyAlignment="1">
      <alignment horizontal="center"/>
    </xf>
    <xf numFmtId="14" fontId="82" fillId="0" borderId="2" xfId="0" applyNumberFormat="1" applyFont="1" applyBorder="1" applyAlignment="1">
      <alignment horizontal="center"/>
    </xf>
    <xf numFmtId="0" fontId="82" fillId="0" borderId="2" xfId="0" applyFont="1" applyBorder="1" applyAlignment="1">
      <alignment horizontal="center"/>
    </xf>
    <xf numFmtId="0" fontId="83" fillId="0" borderId="2" xfId="0" applyFont="1" applyBorder="1" applyAlignment="1">
      <alignment horizontal="center"/>
    </xf>
    <xf numFmtId="0" fontId="83" fillId="0" borderId="3" xfId="0" applyFont="1" applyBorder="1" applyAlignment="1">
      <alignment horizontal="center"/>
    </xf>
    <xf numFmtId="0" fontId="82" fillId="0" borderId="4" xfId="0" applyFont="1" applyBorder="1" applyAlignment="1">
      <alignment horizontal="center"/>
    </xf>
    <xf numFmtId="0" fontId="82" fillId="0" borderId="0" xfId="0" applyFont="1" applyAlignment="1">
      <alignment horizontal="center"/>
    </xf>
    <xf numFmtId="0" fontId="84" fillId="0" borderId="0" xfId="0" applyFont="1" applyAlignment="1">
      <alignment horizontal="left"/>
    </xf>
    <xf numFmtId="0" fontId="81" fillId="0" borderId="0" xfId="0" applyFont="1" applyAlignment="1">
      <alignment horizontal="left"/>
    </xf>
    <xf numFmtId="0" fontId="82" fillId="0" borderId="1" xfId="0" applyFont="1" applyFill="1" applyBorder="1" applyAlignment="1">
      <alignment horizontal="center"/>
    </xf>
    <xf numFmtId="0" fontId="82" fillId="0" borderId="2" xfId="0" applyFont="1" applyFill="1" applyBorder="1" applyAlignment="1">
      <alignment horizontal="center"/>
    </xf>
    <xf numFmtId="0" fontId="82" fillId="0" borderId="3" xfId="0" applyFont="1" applyFill="1" applyBorder="1" applyAlignment="1">
      <alignment horizontal="center"/>
    </xf>
    <xf numFmtId="0" fontId="81" fillId="0" borderId="0" xfId="0" applyFont="1" applyBorder="1" applyAlignment="1">
      <alignment horizontal="center"/>
    </xf>
    <xf numFmtId="11" fontId="85" fillId="0" borderId="87" xfId="0" applyNumberFormat="1" applyFont="1" applyBorder="1" applyAlignment="1">
      <alignment horizontal="center"/>
    </xf>
    <xf numFmtId="0" fontId="84" fillId="0" borderId="83" xfId="0" applyFont="1" applyBorder="1" applyAlignment="1">
      <alignment horizontal="left"/>
    </xf>
    <xf numFmtId="0" fontId="81" fillId="0" borderId="84" xfId="0" applyFont="1" applyBorder="1" applyAlignment="1">
      <alignment horizontal="left"/>
    </xf>
    <xf numFmtId="0" fontId="81" fillId="0" borderId="146" xfId="0" applyFont="1" applyBorder="1" applyAlignment="1">
      <alignment horizontal="left"/>
    </xf>
    <xf numFmtId="0" fontId="81" fillId="0" borderId="85" xfId="0" applyFont="1" applyBorder="1" applyAlignment="1">
      <alignment horizontal="left"/>
    </xf>
    <xf numFmtId="0" fontId="81" fillId="0" borderId="0" xfId="0" applyFont="1" applyBorder="1" applyAlignment="1">
      <alignment horizontal="left"/>
    </xf>
    <xf numFmtId="0" fontId="81" fillId="0" borderId="170" xfId="0" applyFont="1" applyBorder="1" applyAlignment="1">
      <alignment horizontal="left"/>
    </xf>
    <xf numFmtId="0" fontId="82" fillId="0" borderId="85" xfId="0" applyFont="1" applyBorder="1" applyAlignment="1">
      <alignment horizontal="center"/>
    </xf>
    <xf numFmtId="0" fontId="82" fillId="0" borderId="0" xfId="0" applyFont="1" applyBorder="1" applyAlignment="1">
      <alignment horizontal="center"/>
    </xf>
    <xf numFmtId="0" fontId="82" fillId="0" borderId="170" xfId="0" applyFont="1" applyBorder="1" applyAlignment="1">
      <alignment horizontal="center"/>
    </xf>
    <xf numFmtId="0" fontId="82" fillId="0" borderId="8" xfId="0" applyFont="1" applyBorder="1" applyAlignment="1">
      <alignment horizontal="center"/>
    </xf>
    <xf numFmtId="0" fontId="82" fillId="0" borderId="7" xfId="0" applyFont="1" applyBorder="1" applyAlignment="1">
      <alignment horizontal="center"/>
    </xf>
    <xf numFmtId="0" fontId="82" fillId="0" borderId="145" xfId="0" applyFont="1" applyBorder="1" applyAlignment="1">
      <alignment horizontal="center"/>
    </xf>
    <xf numFmtId="0" fontId="82" fillId="0" borderId="92" xfId="0" applyFont="1" applyBorder="1" applyAlignment="1">
      <alignment horizontal="center"/>
    </xf>
    <xf numFmtId="0" fontId="82" fillId="0" borderId="147" xfId="0" applyFont="1" applyBorder="1" applyAlignment="1">
      <alignment horizontal="center"/>
    </xf>
    <xf numFmtId="0" fontId="82" fillId="0" borderId="181" xfId="0" applyFont="1" applyBorder="1" applyAlignment="1">
      <alignment horizontal="center"/>
    </xf>
    <xf numFmtId="0" fontId="82" fillId="0" borderId="144" xfId="0" applyFont="1" applyBorder="1" applyAlignment="1">
      <alignment horizontal="center"/>
    </xf>
    <xf numFmtId="0" fontId="82" fillId="0" borderId="85" xfId="0" applyFont="1" applyBorder="1" applyAlignment="1"/>
    <xf numFmtId="0" fontId="82" fillId="0" borderId="0" xfId="0" applyFont="1" applyBorder="1" applyAlignment="1"/>
    <xf numFmtId="0" fontId="82" fillId="0" borderId="0" xfId="0" applyFont="1" applyBorder="1" applyAlignment="1">
      <alignment horizontal="right"/>
    </xf>
    <xf numFmtId="164" fontId="81" fillId="0" borderId="0" xfId="0" applyNumberFormat="1" applyFont="1" applyBorder="1" applyAlignment="1">
      <alignment horizontal="center"/>
    </xf>
    <xf numFmtId="0" fontId="82" fillId="0" borderId="85" xfId="0" applyFont="1" applyBorder="1" applyAlignment="1">
      <alignment horizontal="left"/>
    </xf>
    <xf numFmtId="0" fontId="82" fillId="0" borderId="0" xfId="0" applyFont="1" applyBorder="1" applyAlignment="1">
      <alignment horizontal="left"/>
    </xf>
    <xf numFmtId="0" fontId="84" fillId="0" borderId="144" xfId="0" applyFont="1" applyBorder="1" applyAlignment="1">
      <alignment horizontal="center"/>
    </xf>
    <xf numFmtId="0" fontId="81" fillId="0" borderId="4" xfId="0" applyFont="1" applyBorder="1" applyAlignment="1">
      <alignment horizontal="center"/>
    </xf>
    <xf numFmtId="0" fontId="81" fillId="0" borderId="181" xfId="0" applyFont="1" applyBorder="1" applyAlignment="1">
      <alignment horizontal="center"/>
    </xf>
    <xf numFmtId="0" fontId="82" fillId="0" borderId="85" xfId="0" applyFont="1" applyBorder="1" applyAlignment="1">
      <alignment horizontal="center" vertical="top"/>
    </xf>
    <xf numFmtId="0" fontId="82" fillId="0" borderId="0" xfId="0" applyFont="1" applyBorder="1" applyAlignment="1">
      <alignment horizontal="center" vertical="top"/>
    </xf>
    <xf numFmtId="0" fontId="82" fillId="0" borderId="170" xfId="0" applyFont="1" applyBorder="1" applyAlignment="1">
      <alignment horizontal="center" vertical="top"/>
    </xf>
    <xf numFmtId="0" fontId="81" fillId="0" borderId="161" xfId="0" applyFont="1" applyBorder="1" applyAlignment="1">
      <alignment horizontal="left"/>
    </xf>
    <xf numFmtId="0" fontId="81" fillId="0" borderId="86" xfId="0" applyFont="1" applyBorder="1" applyAlignment="1">
      <alignment horizontal="left"/>
    </xf>
    <xf numFmtId="0" fontId="81" fillId="0" borderId="162" xfId="0" applyFont="1" applyBorder="1" applyAlignment="1">
      <alignment horizontal="left"/>
    </xf>
    <xf numFmtId="0" fontId="0" fillId="0" borderId="0" xfId="0" applyBorder="1" applyAlignment="1">
      <alignment horizontal="center" wrapText="1"/>
    </xf>
    <xf numFmtId="0" fontId="0" fillId="0" borderId="86" xfId="0" applyBorder="1" applyAlignment="1">
      <alignment horizontal="center" wrapText="1"/>
    </xf>
    <xf numFmtId="0" fontId="82" fillId="0" borderId="161" xfId="0" applyFont="1" applyBorder="1" applyAlignment="1">
      <alignment horizontal="center"/>
    </xf>
    <xf numFmtId="0" fontId="82" fillId="0" borderId="86" xfId="0" applyFont="1" applyBorder="1" applyAlignment="1">
      <alignment horizontal="center"/>
    </xf>
    <xf numFmtId="0" fontId="82" fillId="0" borderId="162" xfId="0" applyFont="1" applyBorder="1" applyAlignment="1">
      <alignment horizontal="center"/>
    </xf>
    <xf numFmtId="0" fontId="82" fillId="0" borderId="83" xfId="0" applyFont="1" applyBorder="1" applyAlignment="1">
      <alignment horizontal="left" vertical="top"/>
    </xf>
    <xf numFmtId="0" fontId="82" fillId="0" borderId="84" xfId="0" applyFont="1" applyBorder="1" applyAlignment="1">
      <alignment horizontal="left" vertical="top"/>
    </xf>
    <xf numFmtId="0" fontId="82" fillId="0" borderId="146" xfId="0" applyFont="1" applyBorder="1" applyAlignment="1">
      <alignment horizontal="left" vertical="top"/>
    </xf>
    <xf numFmtId="0" fontId="82" fillId="0" borderId="170" xfId="0" applyFont="1" applyBorder="1" applyAlignment="1">
      <alignment horizontal="left"/>
    </xf>
    <xf numFmtId="0" fontId="81" fillId="0" borderId="85" xfId="0" applyFont="1" applyBorder="1" applyAlignment="1">
      <alignment horizontal="right"/>
    </xf>
    <xf numFmtId="0" fontId="81" fillId="0" borderId="0" xfId="0" applyFont="1" applyBorder="1" applyAlignment="1">
      <alignment horizontal="right"/>
    </xf>
    <xf numFmtId="0" fontId="0" fillId="0" borderId="0" xfId="0" applyBorder="1" applyAlignment="1">
      <alignment horizontal="center"/>
    </xf>
    <xf numFmtId="0" fontId="0" fillId="0" borderId="170" xfId="0" applyBorder="1" applyAlignment="1">
      <alignment horizontal="left"/>
    </xf>
    <xf numFmtId="0" fontId="81" fillId="0" borderId="0" xfId="0" applyFont="1" applyAlignment="1">
      <alignment horizontal="center"/>
    </xf>
    <xf numFmtId="0" fontId="0" fillId="0" borderId="161" xfId="0" applyBorder="1" applyAlignment="1">
      <alignment horizontal="center"/>
    </xf>
    <xf numFmtId="0" fontId="0" fillId="0" borderId="86" xfId="0" applyBorder="1" applyAlignment="1">
      <alignment horizontal="center"/>
    </xf>
    <xf numFmtId="0" fontId="0" fillId="0" borderId="86" xfId="0" applyBorder="1" applyAlignment="1">
      <alignment horizontal="left"/>
    </xf>
    <xf numFmtId="0" fontId="0" fillId="0" borderId="162" xfId="0" applyBorder="1" applyAlignment="1">
      <alignment horizontal="left"/>
    </xf>
    <xf numFmtId="0" fontId="0" fillId="0" borderId="164" xfId="0" applyBorder="1" applyAlignment="1">
      <alignment horizontal="center"/>
    </xf>
    <xf numFmtId="0" fontId="82" fillId="0" borderId="2" xfId="0" applyFont="1" applyBorder="1" applyAlignment="1">
      <alignment horizontal="center" wrapText="1"/>
    </xf>
    <xf numFmtId="0" fontId="82" fillId="0" borderId="3" xfId="0" applyFont="1" applyBorder="1" applyAlignment="1">
      <alignment horizontal="center" wrapText="1"/>
    </xf>
    <xf numFmtId="11" fontId="107" fillId="0" borderId="87" xfId="0" applyNumberFormat="1" applyFont="1" applyBorder="1" applyAlignment="1">
      <alignment horizontal="center"/>
    </xf>
    <xf numFmtId="0" fontId="81" fillId="0" borderId="87" xfId="0" applyFont="1" applyBorder="1" applyAlignment="1">
      <alignment horizontal="center"/>
    </xf>
    <xf numFmtId="0" fontId="82" fillId="0" borderId="5" xfId="0" applyFont="1" applyBorder="1" applyAlignment="1">
      <alignment horizontal="center"/>
    </xf>
    <xf numFmtId="0" fontId="82" fillId="0" borderId="6" xfId="0" applyFont="1" applyBorder="1" applyAlignment="1">
      <alignment horizontal="center"/>
    </xf>
    <xf numFmtId="0" fontId="109" fillId="0" borderId="87" xfId="0" applyFont="1" applyBorder="1" applyAlignment="1">
      <alignment horizontal="center" vertical="top" wrapText="1"/>
    </xf>
    <xf numFmtId="0" fontId="109" fillId="0" borderId="88" xfId="0" applyFont="1" applyBorder="1" applyAlignment="1">
      <alignment horizontal="center" vertical="top" wrapText="1"/>
    </xf>
    <xf numFmtId="0" fontId="81" fillId="0" borderId="87" xfId="0" applyFont="1" applyBorder="1" applyAlignment="1">
      <alignment horizontal="center" vertical="center" wrapText="1"/>
    </xf>
    <xf numFmtId="0" fontId="81" fillId="0" borderId="88" xfId="0" applyFont="1" applyBorder="1" applyAlignment="1">
      <alignment horizontal="center" vertical="center" wrapText="1"/>
    </xf>
    <xf numFmtId="0" fontId="81" fillId="0" borderId="3" xfId="0" applyFont="1" applyBorder="1" applyAlignment="1">
      <alignment horizontal="center" vertical="center"/>
    </xf>
    <xf numFmtId="0" fontId="81" fillId="0" borderId="87" xfId="0" applyFont="1" applyBorder="1" applyAlignment="1">
      <alignment horizontal="center" vertical="center"/>
    </xf>
    <xf numFmtId="0" fontId="110" fillId="0" borderId="87" xfId="0" applyFont="1" applyBorder="1" applyAlignment="1">
      <alignment horizontal="center" vertical="center"/>
    </xf>
    <xf numFmtId="0" fontId="110" fillId="0" borderId="5" xfId="0" applyFont="1" applyBorder="1" applyAlignment="1">
      <alignment horizontal="center" vertical="center" wrapText="1"/>
    </xf>
    <xf numFmtId="0" fontId="110" fillId="0" borderId="6" xfId="0" applyFont="1" applyBorder="1" applyAlignment="1">
      <alignment horizontal="center" vertical="center" wrapText="1"/>
    </xf>
    <xf numFmtId="0" fontId="110" fillId="0" borderId="7" xfId="0" applyFont="1" applyBorder="1" applyAlignment="1">
      <alignment horizontal="center" vertical="center" wrapText="1"/>
    </xf>
    <xf numFmtId="0" fontId="110" fillId="0" borderId="8" xfId="0" applyFont="1" applyBorder="1" applyAlignment="1">
      <alignment horizontal="center" vertical="center" wrapText="1"/>
    </xf>
    <xf numFmtId="0" fontId="110" fillId="0" borderId="90" xfId="0" applyFont="1" applyBorder="1" applyAlignment="1">
      <alignment horizontal="center" vertical="center" wrapText="1"/>
    </xf>
    <xf numFmtId="0" fontId="110" fillId="0" borderId="91" xfId="0" applyFont="1" applyBorder="1" applyAlignment="1">
      <alignment horizontal="center" vertical="center" wrapText="1"/>
    </xf>
    <xf numFmtId="0" fontId="110" fillId="0" borderId="87" xfId="0" applyFont="1" applyBorder="1" applyAlignment="1">
      <alignment horizontal="center" wrapText="1"/>
    </xf>
    <xf numFmtId="0" fontId="81" fillId="0" borderId="89" xfId="0" applyFont="1" applyBorder="1" applyAlignment="1">
      <alignment horizontal="center"/>
    </xf>
    <xf numFmtId="0" fontId="110" fillId="0" borderId="87" xfId="0" applyFont="1" applyBorder="1" applyAlignment="1">
      <alignment horizontal="center" vertical="center" wrapText="1"/>
    </xf>
    <xf numFmtId="0" fontId="81" fillId="0" borderId="5" xfId="0" applyFont="1" applyBorder="1" applyAlignment="1">
      <alignment horizontal="center" vertical="center" wrapText="1"/>
    </xf>
    <xf numFmtId="0" fontId="81" fillId="0" borderId="4" xfId="0" applyFont="1" applyBorder="1" applyAlignment="1">
      <alignment horizontal="center" vertical="center" wrapText="1"/>
    </xf>
    <xf numFmtId="0" fontId="81" fillId="0" borderId="90" xfId="0" applyFont="1" applyBorder="1" applyAlignment="1">
      <alignment horizontal="center" vertical="center" wrapText="1"/>
    </xf>
    <xf numFmtId="0" fontId="81" fillId="0" borderId="92" xfId="0" applyFont="1" applyBorder="1" applyAlignment="1">
      <alignment horizontal="center" vertical="center" wrapText="1"/>
    </xf>
    <xf numFmtId="0" fontId="81" fillId="0" borderId="6" xfId="0" applyFont="1" applyBorder="1" applyAlignment="1">
      <alignment horizontal="center" vertical="center" wrapText="1"/>
    </xf>
    <xf numFmtId="0" fontId="81" fillId="0" borderId="91" xfId="0" applyFont="1" applyBorder="1" applyAlignment="1">
      <alignment horizontal="center" vertical="center" wrapText="1"/>
    </xf>
    <xf numFmtId="164" fontId="82" fillId="0" borderId="87" xfId="0" applyNumberFormat="1" applyFont="1" applyBorder="1" applyAlignment="1">
      <alignment horizontal="center"/>
    </xf>
    <xf numFmtId="0" fontId="81" fillId="0" borderId="7" xfId="0" applyFont="1" applyBorder="1" applyAlignment="1">
      <alignment horizontal="center" wrapText="1"/>
    </xf>
    <xf numFmtId="0" fontId="81" fillId="0" borderId="8" xfId="0" applyFont="1" applyBorder="1" applyAlignment="1">
      <alignment horizontal="left"/>
    </xf>
    <xf numFmtId="0" fontId="81" fillId="0" borderId="0" xfId="0" applyFont="1" applyBorder="1" applyAlignment="1">
      <alignment horizontal="center" wrapText="1"/>
    </xf>
    <xf numFmtId="0" fontId="81" fillId="0" borderId="8" xfId="0" applyFont="1" applyBorder="1" applyAlignment="1">
      <alignment horizontal="center" wrapText="1"/>
    </xf>
    <xf numFmtId="0" fontId="81" fillId="0" borderId="92" xfId="0" applyFont="1" applyBorder="1" applyAlignment="1">
      <alignment horizontal="center" wrapText="1"/>
    </xf>
    <xf numFmtId="0" fontId="81" fillId="0" borderId="90" xfId="0" applyFont="1" applyBorder="1" applyAlignment="1">
      <alignment horizontal="center" wrapText="1"/>
    </xf>
    <xf numFmtId="0" fontId="81" fillId="0" borderId="91" xfId="0" applyFont="1" applyBorder="1" applyAlignment="1">
      <alignment horizontal="center" wrapText="1"/>
    </xf>
    <xf numFmtId="0" fontId="81" fillId="0" borderId="2" xfId="0" applyFont="1" applyBorder="1" applyAlignment="1">
      <alignment horizontal="center" wrapText="1"/>
    </xf>
    <xf numFmtId="0" fontId="81" fillId="0" borderId="89" xfId="0" applyFont="1" applyBorder="1" applyAlignment="1">
      <alignment horizontal="center" vertical="center" wrapText="1"/>
    </xf>
    <xf numFmtId="0" fontId="81" fillId="0" borderId="93" xfId="0" applyFont="1" applyBorder="1" applyAlignment="1">
      <alignment horizontal="center" vertical="center" wrapText="1"/>
    </xf>
    <xf numFmtId="0" fontId="81" fillId="0" borderId="5" xfId="0" applyFont="1" applyBorder="1" applyAlignment="1">
      <alignment horizontal="center"/>
    </xf>
    <xf numFmtId="0" fontId="81" fillId="0" borderId="6" xfId="0" applyFont="1" applyBorder="1" applyAlignment="1">
      <alignment horizontal="center"/>
    </xf>
    <xf numFmtId="0" fontId="81" fillId="0" borderId="7" xfId="0" applyFont="1" applyBorder="1" applyAlignment="1">
      <alignment horizontal="center"/>
    </xf>
    <xf numFmtId="0" fontId="81" fillId="0" borderId="8" xfId="0" applyFont="1" applyBorder="1" applyAlignment="1">
      <alignment horizontal="center"/>
    </xf>
    <xf numFmtId="0" fontId="81" fillId="0" borderId="5" xfId="0" applyFont="1" applyBorder="1" applyAlignment="1">
      <alignment horizontal="left"/>
    </xf>
    <xf numFmtId="0" fontId="81" fillId="0" borderId="4" xfId="0" applyFont="1" applyBorder="1" applyAlignment="1">
      <alignment horizontal="left"/>
    </xf>
    <xf numFmtId="0" fontId="81" fillId="0" borderId="6" xfId="0" applyFont="1" applyBorder="1" applyAlignment="1">
      <alignment horizontal="left"/>
    </xf>
    <xf numFmtId="0" fontId="81" fillId="0" borderId="90" xfId="0" applyFont="1" applyBorder="1" applyAlignment="1">
      <alignment horizontal="left"/>
    </xf>
    <xf numFmtId="0" fontId="81" fillId="0" borderId="92" xfId="0" applyFont="1" applyBorder="1" applyAlignment="1">
      <alignment horizontal="left"/>
    </xf>
    <xf numFmtId="0" fontId="81" fillId="0" borderId="5" xfId="0" applyFont="1" applyBorder="1" applyAlignment="1">
      <alignment horizontal="left" wrapText="1"/>
    </xf>
    <xf numFmtId="0" fontId="81" fillId="0" borderId="4" xfId="0" applyFont="1" applyBorder="1" applyAlignment="1">
      <alignment horizontal="left" wrapText="1"/>
    </xf>
    <xf numFmtId="0" fontId="81" fillId="0" borderId="6" xfId="0" applyFont="1" applyBorder="1" applyAlignment="1">
      <alignment horizontal="left" wrapText="1"/>
    </xf>
    <xf numFmtId="0" fontId="81" fillId="0" borderId="7" xfId="0" applyFont="1" applyBorder="1" applyAlignment="1">
      <alignment horizontal="left" wrapText="1"/>
    </xf>
    <xf numFmtId="0" fontId="81" fillId="0" borderId="0" xfId="0" applyFont="1" applyBorder="1" applyAlignment="1">
      <alignment horizontal="left" wrapText="1"/>
    </xf>
    <xf numFmtId="0" fontId="81" fillId="0" borderId="8" xfId="0" applyFont="1" applyBorder="1" applyAlignment="1">
      <alignment horizontal="left" wrapText="1"/>
    </xf>
    <xf numFmtId="0" fontId="81" fillId="0" borderId="90" xfId="0" applyFont="1" applyBorder="1" applyAlignment="1"/>
    <xf numFmtId="0" fontId="81" fillId="0" borderId="92" xfId="0" applyFont="1" applyBorder="1" applyAlignment="1"/>
    <xf numFmtId="0" fontId="81" fillId="0" borderId="1" xfId="0" applyFont="1" applyBorder="1" applyAlignment="1">
      <alignment horizontal="center"/>
    </xf>
    <xf numFmtId="0" fontId="81" fillId="0" borderId="2" xfId="0" applyFont="1" applyBorder="1" applyAlignment="1">
      <alignment horizontal="center"/>
    </xf>
    <xf numFmtId="0" fontId="81" fillId="0" borderId="3" xfId="0" applyFont="1" applyBorder="1" applyAlignment="1">
      <alignment horizontal="center"/>
    </xf>
    <xf numFmtId="0" fontId="81" fillId="0" borderId="5" xfId="0" applyFont="1" applyBorder="1" applyAlignment="1">
      <alignment horizontal="left" vertical="center" wrapText="1"/>
    </xf>
    <xf numFmtId="0" fontId="81" fillId="0" borderId="4" xfId="0" applyFont="1" applyBorder="1" applyAlignment="1">
      <alignment horizontal="left" vertical="center" wrapText="1"/>
    </xf>
    <xf numFmtId="0" fontId="81" fillId="0" borderId="90" xfId="0" applyFont="1" applyBorder="1" applyAlignment="1">
      <alignment horizontal="left" vertical="center" wrapText="1"/>
    </xf>
    <xf numFmtId="0" fontId="81" fillId="0" borderId="92" xfId="0" applyFont="1" applyBorder="1" applyAlignment="1">
      <alignment horizontal="left" vertical="center" wrapText="1"/>
    </xf>
    <xf numFmtId="0" fontId="82" fillId="0" borderId="4" xfId="0" applyFont="1" applyBorder="1" applyAlignment="1">
      <alignment horizontal="center" vertical="top"/>
    </xf>
    <xf numFmtId="0" fontId="81" fillId="0" borderId="6" xfId="0" applyFont="1" applyBorder="1" applyAlignment="1">
      <alignment horizontal="center" vertical="top"/>
    </xf>
    <xf numFmtId="0" fontId="81" fillId="0" borderId="8" xfId="0" applyFont="1" applyBorder="1" applyAlignment="1">
      <alignment horizontal="center" vertical="top"/>
    </xf>
    <xf numFmtId="0" fontId="81" fillId="0" borderId="5" xfId="0" applyFont="1" applyBorder="1" applyAlignment="1">
      <alignment horizontal="left" vertical="center"/>
    </xf>
    <xf numFmtId="0" fontId="81" fillId="0" borderId="4" xfId="0" applyFont="1" applyBorder="1" applyAlignment="1">
      <alignment horizontal="left" vertical="center"/>
    </xf>
    <xf numFmtId="0" fontId="81" fillId="0" borderId="7" xfId="0" applyFont="1" applyBorder="1" applyAlignment="1">
      <alignment horizontal="left" vertical="center"/>
    </xf>
    <xf numFmtId="0" fontId="81" fillId="0" borderId="0" xfId="0" applyFont="1" applyBorder="1" applyAlignment="1">
      <alignment horizontal="left" vertical="center"/>
    </xf>
    <xf numFmtId="0" fontId="81" fillId="0" borderId="90" xfId="0" applyFont="1" applyBorder="1" applyAlignment="1">
      <alignment horizontal="left" vertical="center"/>
    </xf>
    <xf numFmtId="0" fontId="81" fillId="0" borderId="92" xfId="0" applyFont="1" applyBorder="1" applyAlignment="1">
      <alignment horizontal="left" vertical="center"/>
    </xf>
    <xf numFmtId="0" fontId="81" fillId="0" borderId="0" xfId="0" applyFont="1" applyBorder="1" applyAlignment="1">
      <alignment horizontal="center" vertical="center"/>
    </xf>
    <xf numFmtId="0" fontId="81" fillId="0" borderId="8" xfId="0" applyFont="1" applyBorder="1" applyAlignment="1">
      <alignment horizontal="center" vertical="center"/>
    </xf>
    <xf numFmtId="0" fontId="81" fillId="0" borderId="91" xfId="0" applyFont="1" applyBorder="1" applyAlignment="1">
      <alignment horizontal="left" vertical="center" wrapText="1"/>
    </xf>
    <xf numFmtId="0" fontId="81" fillId="0" borderId="87" xfId="0" applyFont="1" applyBorder="1" applyAlignment="1">
      <alignment horizontal="left"/>
    </xf>
    <xf numFmtId="0" fontId="81" fillId="0" borderId="90" xfId="0" applyFont="1" applyBorder="1" applyAlignment="1">
      <alignment horizontal="center"/>
    </xf>
    <xf numFmtId="0" fontId="81" fillId="0" borderId="91" xfId="0" applyFont="1" applyBorder="1" applyAlignment="1">
      <alignment horizontal="center"/>
    </xf>
    <xf numFmtId="0" fontId="84" fillId="0" borderId="5" xfId="0" applyFont="1" applyBorder="1" applyAlignment="1">
      <alignment horizontal="left"/>
    </xf>
    <xf numFmtId="0" fontId="84" fillId="0" borderId="4" xfId="0" applyFont="1" applyBorder="1" applyAlignment="1">
      <alignment horizontal="left"/>
    </xf>
    <xf numFmtId="0" fontId="84" fillId="0" borderId="6" xfId="0" applyFont="1" applyBorder="1" applyAlignment="1">
      <alignment horizontal="left"/>
    </xf>
    <xf numFmtId="0" fontId="81" fillId="0" borderId="92" xfId="0" applyFont="1" applyBorder="1" applyAlignment="1">
      <alignment horizontal="center"/>
    </xf>
    <xf numFmtId="0" fontId="81" fillId="0" borderId="5" xfId="0" applyFont="1" applyBorder="1" applyAlignment="1">
      <alignment horizontal="left" vertical="top"/>
    </xf>
    <xf numFmtId="0" fontId="81" fillId="0" borderId="4" xfId="0" applyFont="1" applyBorder="1" applyAlignment="1">
      <alignment horizontal="left" vertical="top"/>
    </xf>
    <xf numFmtId="0" fontId="81" fillId="0" borderId="7" xfId="0" applyFont="1" applyBorder="1" applyAlignment="1">
      <alignment horizontal="left" vertical="top"/>
    </xf>
    <xf numFmtId="0" fontId="81" fillId="0" borderId="0" xfId="0" applyFont="1" applyBorder="1" applyAlignment="1">
      <alignment horizontal="left" vertical="top"/>
    </xf>
    <xf numFmtId="0" fontId="81" fillId="0" borderId="90" xfId="0" applyFont="1" applyBorder="1" applyAlignment="1">
      <alignment horizontal="left" vertical="top"/>
    </xf>
    <xf numFmtId="0" fontId="81" fillId="0" borderId="92" xfId="0" applyFont="1" applyBorder="1" applyAlignment="1">
      <alignment horizontal="left" vertical="top"/>
    </xf>
    <xf numFmtId="0" fontId="1" fillId="0" borderId="83" xfId="0" applyFont="1" applyBorder="1" applyAlignment="1">
      <alignment horizontal="center"/>
    </xf>
    <xf numFmtId="0" fontId="1" fillId="0" borderId="84" xfId="0" applyFont="1" applyBorder="1" applyAlignment="1">
      <alignment horizontal="center"/>
    </xf>
    <xf numFmtId="0" fontId="1" fillId="0" borderId="161" xfId="0" applyFont="1" applyBorder="1" applyAlignment="1">
      <alignment horizontal="center"/>
    </xf>
    <xf numFmtId="0" fontId="1" fillId="0" borderId="86" xfId="0" applyFont="1" applyBorder="1" applyAlignment="1">
      <alignment horizontal="center"/>
    </xf>
    <xf numFmtId="0" fontId="82" fillId="0" borderId="2" xfId="0" applyFont="1" applyBorder="1" applyAlignment="1">
      <alignment horizontal="left"/>
    </xf>
    <xf numFmtId="0" fontId="2" fillId="0" borderId="83" xfId="0" applyFont="1" applyBorder="1" applyAlignment="1">
      <alignment vertical="top" wrapText="1"/>
    </xf>
    <xf numFmtId="0" fontId="2" fillId="0" borderId="84" xfId="0" applyFont="1" applyBorder="1" applyAlignment="1">
      <alignment vertical="top" wrapText="1"/>
    </xf>
    <xf numFmtId="0" fontId="2" fillId="0" borderId="185" xfId="0" applyFont="1" applyBorder="1" applyAlignment="1">
      <alignment vertical="top" wrapText="1"/>
    </xf>
    <xf numFmtId="0" fontId="2" fillId="0" borderId="161" xfId="0" applyFont="1" applyBorder="1" applyAlignment="1">
      <alignment vertical="top" wrapText="1"/>
    </xf>
    <xf numFmtId="0" fontId="2" fillId="0" borderId="86" xfId="0" applyFont="1" applyBorder="1" applyAlignment="1">
      <alignment vertical="top" wrapText="1"/>
    </xf>
    <xf numFmtId="0" fontId="2" fillId="0" borderId="187" xfId="0" applyFont="1" applyBorder="1" applyAlignment="1">
      <alignment vertical="top" wrapText="1"/>
    </xf>
    <xf numFmtId="0" fontId="7" fillId="0" borderId="186" xfId="0" applyFont="1" applyBorder="1" applyAlignment="1">
      <alignment vertical="top" wrapText="1"/>
    </xf>
    <xf numFmtId="0" fontId="7" fillId="0" borderId="84" xfId="0" applyFont="1" applyBorder="1" applyAlignment="1">
      <alignment vertical="top" wrapText="1"/>
    </xf>
    <xf numFmtId="0" fontId="7" fillId="0" borderId="146" xfId="0" applyFont="1" applyBorder="1" applyAlignment="1">
      <alignment vertical="top" wrapText="1"/>
    </xf>
    <xf numFmtId="0" fontId="7" fillId="0" borderId="188" xfId="0" applyFont="1" applyBorder="1" applyAlignment="1">
      <alignment vertical="top" wrapText="1"/>
    </xf>
    <xf numFmtId="0" fontId="7" fillId="0" borderId="86" xfId="0" applyFont="1" applyBorder="1" applyAlignment="1">
      <alignment vertical="top" wrapText="1"/>
    </xf>
    <xf numFmtId="0" fontId="7" fillId="0" borderId="162" xfId="0" applyFont="1" applyBorder="1" applyAlignment="1">
      <alignment vertical="top" wrapText="1"/>
    </xf>
    <xf numFmtId="0" fontId="1" fillId="2" borderId="85" xfId="0" applyFont="1" applyFill="1" applyBorder="1" applyAlignment="1">
      <alignment horizontal="center" vertical="center"/>
    </xf>
    <xf numFmtId="0" fontId="1" fillId="2" borderId="0" xfId="0" applyFont="1" applyFill="1" applyBorder="1" applyAlignment="1">
      <alignment horizontal="center" vertical="center"/>
    </xf>
    <xf numFmtId="0" fontId="1" fillId="2" borderId="8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1" fillId="2" borderId="181" xfId="0" applyFont="1" applyFill="1" applyBorder="1" applyAlignment="1">
      <alignment horizontal="center"/>
    </xf>
    <xf numFmtId="0" fontId="1" fillId="2" borderId="90" xfId="0" applyFont="1" applyFill="1" applyBorder="1" applyAlignment="1">
      <alignment horizontal="center"/>
    </xf>
    <xf numFmtId="0" fontId="1" fillId="2" borderId="92" xfId="0" applyFont="1" applyFill="1" applyBorder="1" applyAlignment="1">
      <alignment horizontal="center"/>
    </xf>
    <xf numFmtId="0" fontId="1" fillId="2" borderId="147" xfId="0" applyFont="1" applyFill="1" applyBorder="1" applyAlignment="1">
      <alignment horizontal="center"/>
    </xf>
    <xf numFmtId="0" fontId="1" fillId="2" borderId="85" xfId="0" applyFont="1" applyFill="1" applyBorder="1" applyAlignment="1">
      <alignment horizontal="left" vertical="center"/>
    </xf>
    <xf numFmtId="0" fontId="1" fillId="2" borderId="0" xfId="0" applyFont="1" applyFill="1" applyBorder="1" applyAlignment="1">
      <alignment horizontal="left" vertical="center"/>
    </xf>
    <xf numFmtId="0" fontId="1" fillId="2" borderId="8" xfId="0" applyFont="1" applyFill="1" applyBorder="1" applyAlignment="1">
      <alignment horizontal="left" vertical="center"/>
    </xf>
    <xf numFmtId="2" fontId="1" fillId="7" borderId="88" xfId="0" applyNumberFormat="1" applyFont="1" applyFill="1" applyBorder="1" applyAlignment="1">
      <alignment horizontal="center"/>
    </xf>
    <xf numFmtId="2" fontId="1" fillId="7" borderId="93" xfId="0" applyNumberFormat="1" applyFont="1" applyFill="1" applyBorder="1" applyAlignment="1">
      <alignment horizontal="center"/>
    </xf>
    <xf numFmtId="2" fontId="1" fillId="7" borderId="184" xfId="0" applyNumberFormat="1" applyFont="1" applyFill="1" applyBorder="1" applyAlignment="1">
      <alignment horizontal="center"/>
    </xf>
    <xf numFmtId="2" fontId="1" fillId="7" borderId="182" xfId="0" applyNumberFormat="1" applyFont="1" applyFill="1" applyBorder="1" applyAlignment="1">
      <alignment horizontal="center"/>
    </xf>
    <xf numFmtId="0" fontId="115" fillId="2" borderId="85" xfId="0" applyFont="1" applyFill="1" applyBorder="1" applyAlignment="1">
      <alignment horizontal="left" vertical="center"/>
    </xf>
    <xf numFmtId="0" fontId="115" fillId="2" borderId="0" xfId="0" applyFont="1" applyFill="1" applyBorder="1" applyAlignment="1">
      <alignment horizontal="left" vertical="center"/>
    </xf>
    <xf numFmtId="0" fontId="115" fillId="2" borderId="8" xfId="0" applyFont="1" applyFill="1" applyBorder="1" applyAlignment="1">
      <alignment horizontal="left" vertical="center"/>
    </xf>
    <xf numFmtId="0" fontId="115" fillId="2" borderId="145" xfId="0" applyFont="1" applyFill="1" applyBorder="1" applyAlignment="1">
      <alignment horizontal="left" vertical="center"/>
    </xf>
    <xf numFmtId="0" fontId="115" fillId="2" borderId="92" xfId="0" applyFont="1" applyFill="1" applyBorder="1" applyAlignment="1">
      <alignment horizontal="left" vertical="center"/>
    </xf>
    <xf numFmtId="0" fontId="115" fillId="2" borderId="91" xfId="0" applyFont="1" applyFill="1" applyBorder="1" applyAlignment="1">
      <alignment horizontal="left" vertical="center"/>
    </xf>
    <xf numFmtId="2" fontId="6" fillId="7" borderId="5" xfId="0" applyNumberFormat="1" applyFont="1" applyFill="1" applyBorder="1" applyAlignment="1">
      <alignment horizontal="center"/>
    </xf>
    <xf numFmtId="2" fontId="6" fillId="7" borderId="4" xfId="0" applyNumberFormat="1" applyFont="1" applyFill="1" applyBorder="1" applyAlignment="1">
      <alignment horizontal="center"/>
    </xf>
    <xf numFmtId="2" fontId="6" fillId="7" borderId="181" xfId="0" applyNumberFormat="1" applyFont="1" applyFill="1" applyBorder="1" applyAlignment="1">
      <alignment horizontal="center"/>
    </xf>
    <xf numFmtId="2" fontId="6" fillId="7" borderId="90" xfId="0" applyNumberFormat="1" applyFont="1" applyFill="1" applyBorder="1" applyAlignment="1">
      <alignment horizontal="center"/>
    </xf>
    <xf numFmtId="2" fontId="6" fillId="7" borderId="92" xfId="0" applyNumberFormat="1" applyFont="1" applyFill="1" applyBorder="1" applyAlignment="1">
      <alignment horizontal="center"/>
    </xf>
    <xf numFmtId="2" fontId="6" fillId="7" borderId="147" xfId="0" applyNumberFormat="1" applyFont="1" applyFill="1" applyBorder="1" applyAlignment="1">
      <alignment horizontal="center"/>
    </xf>
    <xf numFmtId="0" fontId="116" fillId="0" borderId="144" xfId="0" applyFont="1" applyBorder="1" applyAlignment="1">
      <alignment vertical="top"/>
    </xf>
    <xf numFmtId="0" fontId="118" fillId="0" borderId="4" xfId="0" applyFont="1" applyBorder="1" applyAlignment="1">
      <alignment vertical="top"/>
    </xf>
    <xf numFmtId="0" fontId="118" fillId="0" borderId="181" xfId="0" applyFont="1" applyBorder="1" applyAlignment="1">
      <alignment vertical="top"/>
    </xf>
    <xf numFmtId="0" fontId="118" fillId="0" borderId="161" xfId="0" applyFont="1" applyBorder="1" applyAlignment="1">
      <alignment vertical="top"/>
    </xf>
    <xf numFmtId="0" fontId="118" fillId="0" borderId="86" xfId="0" applyFont="1" applyBorder="1" applyAlignment="1">
      <alignment vertical="top"/>
    </xf>
    <xf numFmtId="0" fontId="118" fillId="0" borderId="162" xfId="0" applyFont="1" applyBorder="1" applyAlignment="1">
      <alignment vertical="top"/>
    </xf>
    <xf numFmtId="0" fontId="1" fillId="7" borderId="88" xfId="0" applyFont="1" applyFill="1" applyBorder="1" applyAlignment="1">
      <alignment horizontal="center"/>
    </xf>
    <xf numFmtId="0" fontId="1" fillId="7" borderId="93" xfId="0" applyFont="1" applyFill="1" applyBorder="1" applyAlignment="1">
      <alignment horizontal="center"/>
    </xf>
    <xf numFmtId="0" fontId="1" fillId="7" borderId="184" xfId="0" applyFont="1" applyFill="1" applyBorder="1" applyAlignment="1">
      <alignment horizontal="center"/>
    </xf>
    <xf numFmtId="0" fontId="1" fillId="7" borderId="182" xfId="0" applyFont="1" applyFill="1" applyBorder="1" applyAlignment="1">
      <alignment horizontal="center"/>
    </xf>
    <xf numFmtId="0" fontId="1" fillId="7" borderId="181" xfId="0" applyFont="1" applyFill="1" applyBorder="1" applyAlignment="1">
      <alignment horizontal="center"/>
    </xf>
    <xf numFmtId="0" fontId="1" fillId="7" borderId="147" xfId="0" applyFont="1" applyFill="1" applyBorder="1" applyAlignment="1">
      <alignment horizontal="center"/>
    </xf>
    <xf numFmtId="0" fontId="1" fillId="7" borderId="6" xfId="0" applyFont="1" applyFill="1" applyBorder="1" applyAlignment="1">
      <alignment horizontal="center"/>
    </xf>
    <xf numFmtId="0" fontId="1" fillId="7" borderId="91" xfId="0" applyFont="1" applyFill="1" applyBorder="1" applyAlignment="1">
      <alignment horizontal="center"/>
    </xf>
    <xf numFmtId="0" fontId="1" fillId="0" borderId="85" xfId="0" applyFont="1" applyBorder="1" applyAlignment="1">
      <alignment horizontal="center"/>
    </xf>
    <xf numFmtId="0" fontId="1" fillId="0" borderId="0" xfId="0" applyFont="1" applyBorder="1" applyAlignment="1">
      <alignment horizontal="center"/>
    </xf>
    <xf numFmtId="0" fontId="1" fillId="0" borderId="0" xfId="0" applyFont="1" applyBorder="1" applyAlignment="1">
      <alignment horizontal="left"/>
    </xf>
    <xf numFmtId="0" fontId="1" fillId="0" borderId="170" xfId="0" applyFont="1" applyBorder="1" applyAlignment="1">
      <alignment horizontal="left"/>
    </xf>
    <xf numFmtId="0" fontId="1" fillId="0" borderId="145" xfId="0" applyFont="1" applyBorder="1" applyAlignment="1">
      <alignment horizontal="left" vertical="center"/>
    </xf>
    <xf numFmtId="0" fontId="1" fillId="0" borderId="92" xfId="0" applyFont="1" applyBorder="1" applyAlignment="1">
      <alignment horizontal="left" vertical="center"/>
    </xf>
    <xf numFmtId="0" fontId="1" fillId="0" borderId="147" xfId="0" applyFont="1" applyBorder="1" applyAlignment="1">
      <alignment horizontal="left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0" borderId="170" xfId="0" applyFont="1" applyBorder="1" applyAlignment="1">
      <alignment horizontal="center"/>
    </xf>
    <xf numFmtId="0" fontId="0" fillId="0" borderId="146" xfId="0" applyBorder="1" applyAlignment="1">
      <alignment horizontal="center"/>
    </xf>
    <xf numFmtId="0" fontId="0" fillId="0" borderId="170" xfId="0" applyBorder="1" applyAlignment="1">
      <alignment horizontal="center"/>
    </xf>
    <xf numFmtId="0" fontId="114" fillId="0" borderId="148" xfId="0" applyFont="1" applyBorder="1" applyAlignment="1">
      <alignment horizontal="center"/>
    </xf>
    <xf numFmtId="0" fontId="114" fillId="0" borderId="2" xfId="0" applyFont="1" applyBorder="1" applyAlignment="1">
      <alignment horizontal="center"/>
    </xf>
    <xf numFmtId="0" fontId="114" fillId="0" borderId="149" xfId="0" applyFont="1" applyBorder="1" applyAlignment="1">
      <alignment horizontal="center"/>
    </xf>
    <xf numFmtId="0" fontId="0" fillId="0" borderId="144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181" xfId="0" applyBorder="1" applyAlignment="1">
      <alignment horizontal="center"/>
    </xf>
    <xf numFmtId="0" fontId="0" fillId="0" borderId="28" xfId="0" applyFont="1" applyBorder="1" applyAlignment="1">
      <alignment horizontal="left" vertical="center"/>
    </xf>
    <xf numFmtId="0" fontId="1" fillId="0" borderId="2" xfId="0" applyFont="1" applyBorder="1" applyAlignment="1">
      <alignment horizontal="left" vertical="center"/>
    </xf>
    <xf numFmtId="0" fontId="1" fillId="0" borderId="29" xfId="0" applyFont="1" applyBorder="1" applyAlignment="1">
      <alignment horizontal="left" vertical="center"/>
    </xf>
    <xf numFmtId="0" fontId="0" fillId="0" borderId="9" xfId="0" applyFont="1" applyBorder="1" applyAlignment="1">
      <alignment horizontal="center"/>
    </xf>
    <xf numFmtId="0" fontId="0" fillId="0" borderId="14" xfId="0" applyFont="1" applyBorder="1" applyAlignment="1">
      <alignment horizontal="center"/>
    </xf>
    <xf numFmtId="0" fontId="0" fillId="0" borderId="16" xfId="0" applyFont="1" applyBorder="1" applyAlignment="1">
      <alignment horizontal="center"/>
    </xf>
    <xf numFmtId="0" fontId="7" fillId="0" borderId="10" xfId="0" applyFont="1" applyBorder="1" applyAlignment="1">
      <alignment horizontal="center" vertical="center" wrapText="1"/>
    </xf>
    <xf numFmtId="0" fontId="7" fillId="0" borderId="11" xfId="0" applyFont="1" applyBorder="1" applyAlignment="1">
      <alignment horizontal="center" vertical="center" wrapText="1"/>
    </xf>
    <xf numFmtId="0" fontId="0" fillId="0" borderId="12" xfId="0" applyFont="1" applyBorder="1" applyAlignment="1">
      <alignment horizontal="left" vertical="center" wrapText="1"/>
    </xf>
    <xf numFmtId="0" fontId="0" fillId="0" borderId="13" xfId="0" applyFont="1" applyBorder="1" applyAlignment="1">
      <alignment horizontal="left" vertical="center" wrapText="1"/>
    </xf>
    <xf numFmtId="0" fontId="9" fillId="0" borderId="5" xfId="0" applyFont="1" applyBorder="1" applyAlignment="1">
      <alignment horizontal="center" vertical="center"/>
    </xf>
    <xf numFmtId="0" fontId="9" fillId="0" borderId="4" xfId="0" applyFont="1" applyBorder="1" applyAlignment="1">
      <alignment horizontal="center" vertical="center"/>
    </xf>
    <xf numFmtId="0" fontId="9" fillId="0" borderId="6" xfId="0" applyFont="1" applyBorder="1" applyAlignment="1">
      <alignment horizontal="center" vertical="center"/>
    </xf>
    <xf numFmtId="0" fontId="9" fillId="0" borderId="17" xfId="0" applyFont="1" applyBorder="1" applyAlignment="1">
      <alignment horizontal="center" vertical="center"/>
    </xf>
    <xf numFmtId="0" fontId="9" fillId="0" borderId="18" xfId="0" applyFont="1" applyBorder="1" applyAlignment="1">
      <alignment horizontal="center" vertical="center"/>
    </xf>
    <xf numFmtId="0" fontId="9" fillId="0" borderId="19" xfId="0" applyFont="1" applyBorder="1" applyAlignment="1">
      <alignment horizontal="center" vertical="center"/>
    </xf>
    <xf numFmtId="0" fontId="0" fillId="0" borderId="0" xfId="0" applyFont="1" applyBorder="1" applyAlignment="1">
      <alignment horizontal="left" vertical="center"/>
    </xf>
    <xf numFmtId="0" fontId="0" fillId="0" borderId="15" xfId="0" applyFont="1" applyBorder="1" applyAlignment="1">
      <alignment horizontal="left" vertical="center"/>
    </xf>
    <xf numFmtId="0" fontId="5" fillId="0" borderId="20" xfId="0" applyFont="1" applyBorder="1" applyAlignment="1">
      <alignment horizontal="left" vertical="center"/>
    </xf>
    <xf numFmtId="0" fontId="5" fillId="0" borderId="21" xfId="0" applyFont="1" applyBorder="1" applyAlignment="1">
      <alignment horizontal="left" vertical="center"/>
    </xf>
    <xf numFmtId="0" fontId="0" fillId="0" borderId="9" xfId="0" applyFont="1" applyBorder="1" applyAlignment="1">
      <alignment horizontal="center" vertical="center"/>
    </xf>
    <xf numFmtId="0" fontId="0" fillId="0" borderId="23" xfId="0" applyFont="1" applyBorder="1" applyAlignment="1">
      <alignment horizontal="center" vertical="center"/>
    </xf>
    <xf numFmtId="0" fontId="1" fillId="2" borderId="10" xfId="0" applyFont="1" applyFill="1" applyBorder="1" applyAlignment="1">
      <alignment horizontal="center" vertical="center"/>
    </xf>
    <xf numFmtId="0" fontId="1" fillId="2" borderId="11" xfId="0" applyFont="1" applyFill="1" applyBorder="1" applyAlignment="1">
      <alignment horizontal="center" vertical="center"/>
    </xf>
    <xf numFmtId="0" fontId="1" fillId="2" borderId="22" xfId="0" applyFont="1" applyFill="1" applyBorder="1" applyAlignment="1">
      <alignment horizontal="center" vertical="center"/>
    </xf>
    <xf numFmtId="0" fontId="4" fillId="2" borderId="7" xfId="0" applyFont="1" applyFill="1" applyBorder="1" applyAlignment="1">
      <alignment horizontal="center" vertical="center"/>
    </xf>
    <xf numFmtId="0" fontId="1" fillId="2" borderId="15" xfId="0" applyFont="1" applyFill="1" applyBorder="1" applyAlignment="1">
      <alignment horizontal="center" vertical="center"/>
    </xf>
    <xf numFmtId="0" fontId="1" fillId="0" borderId="20" xfId="0" applyFont="1" applyBorder="1" applyAlignment="1">
      <alignment horizontal="center" vertical="center"/>
    </xf>
    <xf numFmtId="0" fontId="1" fillId="0" borderId="25" xfId="0" applyFont="1" applyBorder="1" applyAlignment="1">
      <alignment horizontal="center" vertical="center"/>
    </xf>
    <xf numFmtId="0" fontId="1" fillId="0" borderId="21" xfId="0" applyFont="1" applyBorder="1" applyAlignment="1">
      <alignment horizontal="center" vertical="center"/>
    </xf>
    <xf numFmtId="0" fontId="0" fillId="0" borderId="26" xfId="0" applyFont="1" applyBorder="1" applyAlignment="1">
      <alignment horizontal="center" vertical="center"/>
    </xf>
    <xf numFmtId="0" fontId="0" fillId="0" borderId="27" xfId="0" applyFont="1" applyBorder="1" applyAlignment="1">
      <alignment horizontal="center" vertical="center"/>
    </xf>
    <xf numFmtId="0" fontId="0" fillId="0" borderId="13" xfId="0" applyFont="1" applyBorder="1" applyAlignment="1">
      <alignment horizontal="center" vertical="center"/>
    </xf>
    <xf numFmtId="0" fontId="0" fillId="0" borderId="2" xfId="0" applyFont="1" applyBorder="1" applyAlignment="1">
      <alignment horizontal="left" vertical="center"/>
    </xf>
    <xf numFmtId="0" fontId="0" fillId="0" borderId="3" xfId="0" applyFont="1" applyBorder="1" applyAlignment="1">
      <alignment horizontal="left" vertical="center"/>
    </xf>
    <xf numFmtId="0" fontId="0" fillId="0" borderId="5" xfId="0" applyFont="1" applyBorder="1" applyAlignment="1">
      <alignment horizontal="left" vertical="center"/>
    </xf>
    <xf numFmtId="0" fontId="0" fillId="0" borderId="4" xfId="0" applyFont="1" applyBorder="1" applyAlignment="1">
      <alignment horizontal="left" vertical="center"/>
    </xf>
    <xf numFmtId="0" fontId="0" fillId="0" borderId="30" xfId="0" applyFont="1" applyBorder="1" applyAlignment="1">
      <alignment horizontal="left" vertical="center"/>
    </xf>
    <xf numFmtId="0" fontId="0" fillId="0" borderId="1" xfId="0" applyFont="1" applyBorder="1" applyAlignment="1">
      <alignment horizontal="left" vertical="center"/>
    </xf>
    <xf numFmtId="0" fontId="0" fillId="0" borderId="29" xfId="0" applyFont="1" applyBorder="1" applyAlignment="1">
      <alignment horizontal="left" vertical="center"/>
    </xf>
    <xf numFmtId="0" fontId="0" fillId="0" borderId="16" xfId="0" applyFont="1" applyBorder="1" applyAlignment="1">
      <alignment horizontal="left" vertical="center"/>
    </xf>
    <xf numFmtId="0" fontId="0" fillId="0" borderId="18" xfId="0" applyFont="1" applyBorder="1" applyAlignment="1">
      <alignment horizontal="left" vertical="center"/>
    </xf>
    <xf numFmtId="0" fontId="0" fillId="0" borderId="17" xfId="0" applyFont="1" applyBorder="1" applyAlignment="1">
      <alignment horizontal="left" vertical="center"/>
    </xf>
    <xf numFmtId="0" fontId="0" fillId="0" borderId="31" xfId="0" applyFont="1" applyBorder="1" applyAlignment="1">
      <alignment horizontal="left" vertical="center"/>
    </xf>
    <xf numFmtId="0" fontId="1" fillId="3" borderId="32" xfId="0" applyFont="1" applyFill="1" applyBorder="1" applyAlignment="1">
      <alignment horizontal="center" vertical="center"/>
    </xf>
    <xf numFmtId="0" fontId="1" fillId="3" borderId="36" xfId="0" applyFont="1" applyFill="1" applyBorder="1" applyAlignment="1">
      <alignment horizontal="center" vertical="center"/>
    </xf>
    <xf numFmtId="0" fontId="0" fillId="0" borderId="12" xfId="0" applyFont="1" applyBorder="1" applyAlignment="1">
      <alignment horizontal="center" vertical="center"/>
    </xf>
    <xf numFmtId="0" fontId="0" fillId="0" borderId="33" xfId="0" applyFont="1" applyBorder="1" applyAlignment="1">
      <alignment horizontal="center" vertical="center"/>
    </xf>
    <xf numFmtId="0" fontId="1" fillId="0" borderId="12" xfId="0" applyFont="1" applyBorder="1" applyAlignment="1">
      <alignment horizontal="center" vertical="center"/>
    </xf>
    <xf numFmtId="0" fontId="1" fillId="0" borderId="27" xfId="0" applyFont="1" applyBorder="1" applyAlignment="1">
      <alignment horizontal="center" vertical="center"/>
    </xf>
    <xf numFmtId="0" fontId="1" fillId="0" borderId="33" xfId="0" applyFont="1" applyBorder="1" applyAlignment="1">
      <alignment horizontal="center" vertical="center"/>
    </xf>
    <xf numFmtId="0" fontId="0" fillId="0" borderId="1" xfId="0" applyFont="1" applyBorder="1" applyAlignment="1">
      <alignment horizontal="center" vertical="center"/>
    </xf>
    <xf numFmtId="0" fontId="0" fillId="0" borderId="3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29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29" xfId="0" applyFont="1" applyBorder="1" applyAlignment="1">
      <alignment horizontal="center" vertical="center"/>
    </xf>
    <xf numFmtId="0" fontId="5" fillId="0" borderId="1" xfId="0" applyFont="1" applyFill="1" applyBorder="1" applyAlignment="1">
      <alignment horizontal="center" vertical="center"/>
    </xf>
    <xf numFmtId="0" fontId="5" fillId="0" borderId="2" xfId="0" applyFont="1" applyFill="1" applyBorder="1" applyAlignment="1">
      <alignment horizontal="center" vertical="center"/>
    </xf>
    <xf numFmtId="0" fontId="5" fillId="0" borderId="3" xfId="0" applyFont="1" applyFill="1" applyBorder="1" applyAlignment="1">
      <alignment horizontal="center" vertical="center"/>
    </xf>
    <xf numFmtId="0" fontId="3" fillId="0" borderId="5" xfId="0" applyFont="1" applyFill="1" applyBorder="1" applyAlignment="1">
      <alignment horizontal="center" vertical="center"/>
    </xf>
    <xf numFmtId="0" fontId="3" fillId="0" borderId="4" xfId="0" applyFont="1" applyFill="1" applyBorder="1" applyAlignment="1">
      <alignment horizontal="center" vertical="center"/>
    </xf>
    <xf numFmtId="0" fontId="3" fillId="0" borderId="30" xfId="0" applyFont="1" applyFill="1" applyBorder="1" applyAlignment="1">
      <alignment horizontal="center" vertical="center"/>
    </xf>
    <xf numFmtId="0" fontId="5" fillId="0" borderId="17" xfId="0" applyFont="1" applyFill="1" applyBorder="1" applyAlignment="1">
      <alignment horizontal="center" vertical="center"/>
    </xf>
    <xf numFmtId="0" fontId="5" fillId="0" borderId="19" xfId="0" applyFont="1" applyFill="1" applyBorder="1" applyAlignment="1">
      <alignment horizontal="center" vertical="center"/>
    </xf>
    <xf numFmtId="0" fontId="5" fillId="0" borderId="20" xfId="0" applyFont="1" applyFill="1" applyBorder="1" applyAlignment="1">
      <alignment horizontal="center" vertical="center"/>
    </xf>
    <xf numFmtId="0" fontId="5" fillId="0" borderId="38" xfId="0" applyFont="1" applyFill="1" applyBorder="1" applyAlignment="1">
      <alignment horizontal="center" vertical="center"/>
    </xf>
    <xf numFmtId="0" fontId="3" fillId="0" borderId="20" xfId="0" applyFont="1" applyFill="1" applyBorder="1" applyAlignment="1">
      <alignment horizontal="center" vertical="center"/>
    </xf>
    <xf numFmtId="0" fontId="3" fillId="0" borderId="25" xfId="0" applyFont="1" applyFill="1" applyBorder="1" applyAlignment="1">
      <alignment horizontal="center" vertical="center"/>
    </xf>
    <xf numFmtId="0" fontId="3" fillId="0" borderId="21" xfId="0" applyFont="1" applyFill="1" applyBorder="1" applyAlignment="1">
      <alignment horizontal="center" vertical="center"/>
    </xf>
    <xf numFmtId="0" fontId="5" fillId="4" borderId="40" xfId="0" applyFont="1" applyFill="1" applyBorder="1" applyAlignment="1">
      <alignment horizontal="center" vertical="center"/>
    </xf>
    <xf numFmtId="0" fontId="5" fillId="4" borderId="41" xfId="0" applyFont="1" applyFill="1" applyBorder="1" applyAlignment="1">
      <alignment horizontal="center" vertical="center"/>
    </xf>
    <xf numFmtId="0" fontId="5" fillId="0" borderId="40" xfId="0" applyFont="1" applyFill="1" applyBorder="1" applyAlignment="1">
      <alignment horizontal="center" vertical="center"/>
    </xf>
    <xf numFmtId="0" fontId="5" fillId="0" borderId="42" xfId="0" applyFont="1" applyFill="1" applyBorder="1" applyAlignment="1">
      <alignment horizontal="center" vertical="center"/>
    </xf>
    <xf numFmtId="0" fontId="5" fillId="0" borderId="41" xfId="0" applyFont="1" applyFill="1" applyBorder="1" applyAlignment="1">
      <alignment horizontal="center" vertical="center"/>
    </xf>
    <xf numFmtId="164" fontId="1" fillId="4" borderId="40" xfId="0" applyNumberFormat="1" applyFont="1" applyFill="1" applyBorder="1" applyAlignment="1">
      <alignment horizontal="center" vertical="center"/>
    </xf>
    <xf numFmtId="164" fontId="1" fillId="4" borderId="41" xfId="0" applyNumberFormat="1" applyFont="1" applyFill="1" applyBorder="1" applyAlignment="1">
      <alignment horizontal="center" vertical="center"/>
    </xf>
    <xf numFmtId="0" fontId="1" fillId="3" borderId="43" xfId="0" applyFont="1" applyFill="1" applyBorder="1" applyAlignment="1">
      <alignment horizontal="center" vertical="center"/>
    </xf>
    <xf numFmtId="0" fontId="1" fillId="3" borderId="44" xfId="0" applyFont="1" applyFill="1" applyBorder="1" applyAlignment="1">
      <alignment horizontal="center" vertical="center"/>
    </xf>
    <xf numFmtId="0" fontId="1" fillId="3" borderId="45" xfId="0" applyFont="1" applyFill="1" applyBorder="1" applyAlignment="1">
      <alignment horizontal="center" vertical="center"/>
    </xf>
    <xf numFmtId="0" fontId="5" fillId="0" borderId="47" xfId="0" applyFont="1" applyFill="1" applyBorder="1" applyAlignment="1">
      <alignment horizontal="center" vertical="center"/>
    </xf>
    <xf numFmtId="0" fontId="5" fillId="0" borderId="48" xfId="0" applyFont="1" applyFill="1" applyBorder="1" applyAlignment="1">
      <alignment horizontal="center" vertical="center"/>
    </xf>
    <xf numFmtId="0" fontId="5" fillId="0" borderId="49" xfId="0" applyFont="1" applyFill="1" applyBorder="1" applyAlignment="1">
      <alignment horizontal="center" vertical="center"/>
    </xf>
    <xf numFmtId="0" fontId="5" fillId="0" borderId="50" xfId="0" applyFont="1" applyFill="1" applyBorder="1" applyAlignment="1">
      <alignment horizontal="center" vertical="center"/>
    </xf>
    <xf numFmtId="0" fontId="5" fillId="0" borderId="52" xfId="0" applyFont="1" applyFill="1" applyBorder="1" applyAlignment="1">
      <alignment horizontal="center" vertical="center"/>
    </xf>
    <xf numFmtId="0" fontId="5" fillId="0" borderId="53" xfId="0" applyFont="1" applyFill="1" applyBorder="1" applyAlignment="1">
      <alignment horizontal="center" vertical="center"/>
    </xf>
    <xf numFmtId="0" fontId="5" fillId="0" borderId="54" xfId="0" applyFont="1" applyFill="1" applyBorder="1" applyAlignment="1">
      <alignment horizontal="center" vertical="center"/>
    </xf>
    <xf numFmtId="0" fontId="5" fillId="0" borderId="0" xfId="0" applyFont="1" applyFill="1" applyBorder="1" applyAlignment="1">
      <alignment horizontal="center" vertical="center"/>
    </xf>
    <xf numFmtId="0" fontId="5" fillId="0" borderId="55" xfId="0" applyFont="1" applyFill="1" applyBorder="1" applyAlignment="1">
      <alignment horizontal="center" vertical="center"/>
    </xf>
    <xf numFmtId="0" fontId="3" fillId="3" borderId="63" xfId="0" applyFont="1" applyFill="1" applyBorder="1" applyAlignment="1">
      <alignment horizontal="center" vertical="center" wrapText="1"/>
    </xf>
    <xf numFmtId="0" fontId="3" fillId="3" borderId="11" xfId="0" applyFont="1" applyFill="1" applyBorder="1" applyAlignment="1">
      <alignment horizontal="center" vertical="center" wrapText="1"/>
    </xf>
    <xf numFmtId="0" fontId="3" fillId="3" borderId="64" xfId="0" applyFont="1" applyFill="1" applyBorder="1" applyAlignment="1">
      <alignment horizontal="center" vertical="center" wrapText="1"/>
    </xf>
    <xf numFmtId="0" fontId="5" fillId="0" borderId="7" xfId="0" applyFont="1" applyFill="1" applyBorder="1" applyAlignment="1">
      <alignment horizontal="center" vertical="center"/>
    </xf>
    <xf numFmtId="0" fontId="5" fillId="0" borderId="8" xfId="0" applyFont="1" applyFill="1" applyBorder="1" applyAlignment="1">
      <alignment horizontal="center" vertical="center"/>
    </xf>
    <xf numFmtId="2" fontId="3" fillId="0" borderId="57" xfId="0" applyNumberFormat="1" applyFont="1" applyFill="1" applyBorder="1" applyAlignment="1">
      <alignment horizontal="center" vertical="center"/>
    </xf>
    <xf numFmtId="2" fontId="3" fillId="0" borderId="58" xfId="0" applyNumberFormat="1" applyFont="1" applyFill="1" applyBorder="1" applyAlignment="1">
      <alignment horizontal="center" vertical="center"/>
    </xf>
    <xf numFmtId="2" fontId="3" fillId="0" borderId="52" xfId="0" applyNumberFormat="1" applyFont="1" applyFill="1" applyBorder="1" applyAlignment="1">
      <alignment horizontal="center" vertical="center"/>
    </xf>
    <xf numFmtId="2" fontId="3" fillId="0" borderId="54" xfId="0" applyNumberFormat="1" applyFont="1" applyFill="1" applyBorder="1" applyAlignment="1">
      <alignment horizontal="center" vertical="center"/>
    </xf>
    <xf numFmtId="0" fontId="2" fillId="3" borderId="40" xfId="0" applyFont="1" applyFill="1" applyBorder="1" applyAlignment="1">
      <alignment horizontal="center" vertical="center" wrapText="1"/>
    </xf>
    <xf numFmtId="0" fontId="2" fillId="3" borderId="41" xfId="0" applyFont="1" applyFill="1" applyBorder="1" applyAlignment="1">
      <alignment horizontal="center" vertical="center" wrapText="1"/>
    </xf>
    <xf numFmtId="0" fontId="1" fillId="0" borderId="78" xfId="0" applyFont="1" applyFill="1" applyBorder="1" applyAlignment="1">
      <alignment horizontal="center" vertical="center" wrapText="1"/>
    </xf>
    <xf numFmtId="0" fontId="1" fillId="0" borderId="79" xfId="0" applyFont="1" applyFill="1" applyBorder="1" applyAlignment="1">
      <alignment horizontal="center" vertical="center" wrapText="1"/>
    </xf>
    <xf numFmtId="0" fontId="1" fillId="0" borderId="72" xfId="0" applyFont="1" applyFill="1" applyBorder="1" applyAlignment="1">
      <alignment horizontal="center" vertical="center" wrapText="1"/>
    </xf>
    <xf numFmtId="0" fontId="1" fillId="0" borderId="80" xfId="0" applyFont="1" applyFill="1" applyBorder="1" applyAlignment="1">
      <alignment horizontal="center" vertical="center" wrapText="1"/>
    </xf>
    <xf numFmtId="0" fontId="1" fillId="0" borderId="81" xfId="0" applyFont="1" applyFill="1" applyBorder="1" applyAlignment="1">
      <alignment horizontal="center" vertical="center" wrapText="1"/>
    </xf>
    <xf numFmtId="0" fontId="1" fillId="0" borderId="82" xfId="0" applyFont="1" applyFill="1" applyBorder="1" applyAlignment="1">
      <alignment horizontal="center" vertical="center" wrapText="1"/>
    </xf>
    <xf numFmtId="165" fontId="12" fillId="5" borderId="40" xfId="0" applyNumberFormat="1" applyFont="1" applyFill="1" applyBorder="1" applyAlignment="1">
      <alignment horizontal="center" vertical="center" wrapText="1"/>
    </xf>
    <xf numFmtId="165" fontId="12" fillId="5" borderId="41" xfId="0" applyNumberFormat="1" applyFont="1" applyFill="1" applyBorder="1" applyAlignment="1">
      <alignment horizontal="center" vertical="center" wrapText="1"/>
    </xf>
    <xf numFmtId="164" fontId="12" fillId="5" borderId="40" xfId="0" applyNumberFormat="1" applyFont="1" applyFill="1" applyBorder="1" applyAlignment="1">
      <alignment horizontal="center" vertical="center" wrapText="1"/>
    </xf>
    <xf numFmtId="164" fontId="12" fillId="5" borderId="41" xfId="0" applyNumberFormat="1" applyFont="1" applyFill="1" applyBorder="1" applyAlignment="1">
      <alignment horizontal="center" vertical="center" wrapText="1"/>
    </xf>
    <xf numFmtId="0" fontId="29" fillId="0" borderId="103" xfId="0" applyFont="1" applyBorder="1" applyAlignment="1">
      <alignment horizontal="center"/>
    </xf>
    <xf numFmtId="0" fontId="29" fillId="0" borderId="103" xfId="0" applyFont="1" applyFill="1" applyBorder="1" applyAlignment="1">
      <alignment horizontal="center" vertical="center" wrapText="1"/>
    </xf>
    <xf numFmtId="0" fontId="23" fillId="6" borderId="0" xfId="0" applyFont="1" applyFill="1" applyBorder="1" applyAlignment="1">
      <alignment horizontal="center" vertical="center"/>
    </xf>
    <xf numFmtId="0" fontId="23" fillId="0" borderId="94" xfId="0" applyFont="1" applyBorder="1" applyAlignment="1">
      <alignment horizontal="center"/>
    </xf>
    <xf numFmtId="0" fontId="23" fillId="0" borderId="95" xfId="0" applyFont="1" applyBorder="1" applyAlignment="1">
      <alignment horizontal="center"/>
    </xf>
    <xf numFmtId="0" fontId="23" fillId="0" borderId="95" xfId="0" applyFont="1" applyBorder="1" applyAlignment="1">
      <alignment horizontal="center" vertical="center" wrapText="1"/>
    </xf>
    <xf numFmtId="0" fontId="23" fillId="0" borderId="92" xfId="0" applyFont="1" applyBorder="1" applyAlignment="1">
      <alignment horizontal="center" vertical="center" wrapText="1"/>
    </xf>
    <xf numFmtId="1" fontId="23" fillId="3" borderId="96" xfId="0" applyNumberFormat="1" applyFont="1" applyFill="1" applyBorder="1" applyAlignment="1">
      <alignment horizontal="center" vertical="center"/>
    </xf>
    <xf numFmtId="1" fontId="23" fillId="3" borderId="127" xfId="0" applyNumberFormat="1" applyFont="1" applyFill="1" applyBorder="1" applyAlignment="1">
      <alignment horizontal="center" vertical="center"/>
    </xf>
    <xf numFmtId="0" fontId="23" fillId="0" borderId="126" xfId="0" applyFont="1" applyBorder="1" applyAlignment="1">
      <alignment horizontal="center"/>
    </xf>
    <xf numFmtId="0" fontId="23" fillId="0" borderId="92" xfId="0" applyFont="1" applyBorder="1" applyAlignment="1">
      <alignment horizontal="center"/>
    </xf>
    <xf numFmtId="0" fontId="29" fillId="0" borderId="0" xfId="0" applyFont="1" applyBorder="1" applyAlignment="1">
      <alignment horizontal="center" vertical="center" wrapText="1"/>
    </xf>
    <xf numFmtId="0" fontId="29" fillId="0" borderId="0" xfId="0" applyFont="1" applyFill="1" applyBorder="1" applyAlignment="1">
      <alignment horizontal="center" vertical="center" wrapText="1"/>
    </xf>
    <xf numFmtId="0" fontId="23" fillId="3" borderId="0" xfId="0" applyFont="1" applyFill="1" applyBorder="1" applyAlignment="1">
      <alignment horizontal="center" vertical="center"/>
    </xf>
    <xf numFmtId="0" fontId="23" fillId="3" borderId="55" xfId="0" applyFont="1" applyFill="1" applyBorder="1" applyAlignment="1">
      <alignment horizontal="center" vertical="center"/>
    </xf>
    <xf numFmtId="0" fontId="23" fillId="6" borderId="7" xfId="0" applyFont="1" applyFill="1" applyBorder="1" applyAlignment="1">
      <alignment horizontal="center" vertical="center"/>
    </xf>
    <xf numFmtId="0" fontId="23" fillId="6" borderId="55" xfId="0" applyFont="1" applyFill="1" applyBorder="1" applyAlignment="1">
      <alignment horizontal="center" vertical="center"/>
    </xf>
    <xf numFmtId="0" fontId="23" fillId="6" borderId="133" xfId="0" applyFont="1" applyFill="1" applyBorder="1" applyAlignment="1">
      <alignment horizontal="center" vertical="center"/>
    </xf>
    <xf numFmtId="0" fontId="23" fillId="6" borderId="103" xfId="0" applyFont="1" applyFill="1" applyBorder="1" applyAlignment="1">
      <alignment horizontal="center" vertical="center"/>
    </xf>
    <xf numFmtId="0" fontId="23" fillId="6" borderId="104" xfId="0" applyFont="1" applyFill="1" applyBorder="1" applyAlignment="1">
      <alignment horizontal="center" vertical="center"/>
    </xf>
    <xf numFmtId="0" fontId="36" fillId="6" borderId="0" xfId="0" applyFont="1" applyFill="1" applyBorder="1" applyAlignment="1">
      <alignment horizontal="center" vertical="center"/>
    </xf>
    <xf numFmtId="0" fontId="36" fillId="6" borderId="55" xfId="0" applyFont="1" applyFill="1" applyBorder="1" applyAlignment="1">
      <alignment horizontal="center" vertical="center"/>
    </xf>
    <xf numFmtId="0" fontId="29" fillId="0" borderId="6" xfId="0" applyFont="1" applyBorder="1" applyAlignment="1">
      <alignment horizontal="center" wrapText="1"/>
    </xf>
    <xf numFmtId="0" fontId="29" fillId="0" borderId="88" xfId="0" applyFont="1" applyBorder="1" applyAlignment="1">
      <alignment horizontal="center" wrapText="1"/>
    </xf>
    <xf numFmtId="0" fontId="30" fillId="0" borderId="106" xfId="0" applyFont="1" applyBorder="1" applyAlignment="1">
      <alignment horizontal="center" wrapText="1"/>
    </xf>
    <xf numFmtId="0" fontId="30" fillId="0" borderId="107" xfId="0" applyFont="1" applyBorder="1" applyAlignment="1">
      <alignment horizontal="center" wrapText="1"/>
    </xf>
    <xf numFmtId="0" fontId="30" fillId="0" borderId="108" xfId="0" applyFont="1" applyBorder="1" applyAlignment="1">
      <alignment horizontal="center" wrapText="1"/>
    </xf>
    <xf numFmtId="0" fontId="30" fillId="0" borderId="92" xfId="0" applyFont="1" applyBorder="1" applyAlignment="1">
      <alignment horizontal="center" wrapText="1"/>
    </xf>
    <xf numFmtId="0" fontId="30" fillId="0" borderId="91" xfId="0" applyFont="1" applyBorder="1" applyAlignment="1">
      <alignment horizontal="center" wrapText="1"/>
    </xf>
    <xf numFmtId="0" fontId="30" fillId="0" borderId="90" xfId="0" applyFont="1" applyBorder="1" applyAlignment="1">
      <alignment horizontal="center" wrapText="1"/>
    </xf>
    <xf numFmtId="2" fontId="34" fillId="3" borderId="7" xfId="0" applyNumberFormat="1" applyFont="1" applyFill="1" applyBorder="1" applyAlignment="1">
      <alignment horizontal="center" vertical="center"/>
    </xf>
    <xf numFmtId="2" fontId="34" fillId="3" borderId="0" xfId="0" applyNumberFormat="1" applyFont="1" applyFill="1" applyBorder="1" applyAlignment="1">
      <alignment horizontal="center" vertical="center"/>
    </xf>
    <xf numFmtId="2" fontId="34" fillId="3" borderId="55" xfId="0" applyNumberFormat="1" applyFont="1" applyFill="1" applyBorder="1" applyAlignment="1">
      <alignment horizontal="center" vertical="center"/>
    </xf>
    <xf numFmtId="0" fontId="30" fillId="0" borderId="122" xfId="0" applyFont="1" applyBorder="1" applyAlignment="1">
      <alignment horizontal="center" wrapText="1"/>
    </xf>
    <xf numFmtId="0" fontId="30" fillId="0" borderId="87" xfId="0" applyFont="1" applyBorder="1" applyAlignment="1">
      <alignment horizontal="center" wrapText="1"/>
    </xf>
    <xf numFmtId="0" fontId="30" fillId="0" borderId="3" xfId="0" applyFont="1" applyBorder="1" applyAlignment="1">
      <alignment horizontal="center" wrapText="1"/>
    </xf>
    <xf numFmtId="0" fontId="30" fillId="6" borderId="122" xfId="0" applyFont="1" applyFill="1" applyBorder="1" applyAlignment="1">
      <alignment horizontal="center" vertical="center"/>
    </xf>
    <xf numFmtId="0" fontId="30" fillId="6" borderId="87" xfId="0" applyFont="1" applyFill="1" applyBorder="1" applyAlignment="1">
      <alignment horizontal="center" vertical="center"/>
    </xf>
    <xf numFmtId="0" fontId="29" fillId="0" borderId="130" xfId="0" applyFont="1" applyBorder="1" applyAlignment="1">
      <alignment horizontal="center" wrapText="1"/>
    </xf>
    <xf numFmtId="0" fontId="29" fillId="0" borderId="2" xfId="0" applyFont="1" applyBorder="1" applyAlignment="1">
      <alignment horizontal="center" wrapText="1"/>
    </xf>
    <xf numFmtId="0" fontId="29" fillId="0" borderId="3" xfId="0" applyFont="1" applyBorder="1" applyAlignment="1">
      <alignment horizontal="center" wrapText="1"/>
    </xf>
    <xf numFmtId="0" fontId="29" fillId="6" borderId="99" xfId="0" applyFont="1" applyFill="1" applyBorder="1" applyAlignment="1">
      <alignment horizontal="center" vertical="center"/>
    </xf>
    <xf numFmtId="0" fontId="29" fillId="6" borderId="100" xfId="0" applyFont="1" applyFill="1" applyBorder="1" applyAlignment="1">
      <alignment horizontal="center" vertical="center"/>
    </xf>
    <xf numFmtId="0" fontId="29" fillId="0" borderId="91" xfId="0" applyFont="1" applyBorder="1" applyAlignment="1">
      <alignment horizontal="center" wrapText="1"/>
    </xf>
    <xf numFmtId="0" fontId="29" fillId="0" borderId="93" xfId="0" applyFont="1" applyBorder="1" applyAlignment="1">
      <alignment horizontal="center" wrapText="1"/>
    </xf>
    <xf numFmtId="0" fontId="29" fillId="0" borderId="131" xfId="0" applyFont="1" applyBorder="1" applyAlignment="1">
      <alignment horizontal="center" wrapText="1"/>
    </xf>
    <xf numFmtId="0" fontId="30" fillId="0" borderId="129" xfId="0" applyFont="1" applyBorder="1" applyAlignment="1">
      <alignment horizontal="center" wrapText="1"/>
    </xf>
    <xf numFmtId="0" fontId="30" fillId="0" borderId="88" xfId="0" applyFont="1" applyBorder="1" applyAlignment="1">
      <alignment horizontal="center" wrapText="1"/>
    </xf>
    <xf numFmtId="2" fontId="31" fillId="3" borderId="87" xfId="0" applyNumberFormat="1" applyFont="1" applyFill="1" applyBorder="1" applyAlignment="1">
      <alignment horizontal="center" wrapText="1"/>
    </xf>
    <xf numFmtId="0" fontId="30" fillId="0" borderId="128" xfId="0" applyFont="1" applyBorder="1" applyAlignment="1">
      <alignment horizontal="center" vertical="center" wrapText="1"/>
    </xf>
    <xf numFmtId="0" fontId="30" fillId="0" borderId="93" xfId="0" applyFont="1" applyBorder="1" applyAlignment="1">
      <alignment horizontal="center" vertical="center" wrapText="1"/>
    </xf>
    <xf numFmtId="0" fontId="21" fillId="0" borderId="101" xfId="0" applyFont="1" applyBorder="1" applyAlignment="1">
      <alignment horizontal="center" vertical="center" wrapText="1"/>
    </xf>
    <xf numFmtId="0" fontId="21" fillId="0" borderId="0" xfId="0" applyFont="1" applyBorder="1" applyAlignment="1">
      <alignment horizontal="center" vertical="center" wrapText="1"/>
    </xf>
    <xf numFmtId="0" fontId="21" fillId="0" borderId="55" xfId="0" applyFont="1" applyBorder="1" applyAlignment="1">
      <alignment horizontal="center" vertical="center" wrapText="1"/>
    </xf>
    <xf numFmtId="0" fontId="20" fillId="0" borderId="98" xfId="0" applyFont="1" applyBorder="1" applyAlignment="1">
      <alignment horizontal="center" vertical="center" wrapText="1"/>
    </xf>
    <xf numFmtId="0" fontId="20" fillId="0" borderId="99" xfId="0" applyFont="1" applyBorder="1" applyAlignment="1">
      <alignment horizontal="center" vertical="center" wrapText="1"/>
    </xf>
    <xf numFmtId="0" fontId="20" fillId="0" borderId="100" xfId="0" applyFont="1" applyBorder="1" applyAlignment="1">
      <alignment horizontal="center" vertical="center" wrapText="1"/>
    </xf>
    <xf numFmtId="0" fontId="29" fillId="0" borderId="126" xfId="0" applyFont="1" applyBorder="1" applyAlignment="1">
      <alignment horizontal="center" vertical="center" wrapText="1"/>
    </xf>
    <xf numFmtId="0" fontId="29" fillId="0" borderId="92" xfId="0" applyFont="1" applyBorder="1" applyAlignment="1">
      <alignment horizontal="center" vertical="center" wrapText="1"/>
    </xf>
    <xf numFmtId="0" fontId="30" fillId="0" borderId="90" xfId="0" applyFont="1" applyBorder="1" applyAlignment="1">
      <alignment horizontal="center" vertical="center" wrapText="1"/>
    </xf>
    <xf numFmtId="0" fontId="30" fillId="0" borderId="91" xfId="0" applyFont="1" applyBorder="1" applyAlignment="1">
      <alignment horizontal="center" vertical="center" wrapText="1"/>
    </xf>
    <xf numFmtId="0" fontId="30" fillId="0" borderId="7" xfId="0" applyFont="1" applyBorder="1" applyAlignment="1">
      <alignment horizontal="center" vertical="center" wrapText="1"/>
    </xf>
    <xf numFmtId="0" fontId="30" fillId="0" borderId="0" xfId="0" applyFont="1" applyBorder="1" applyAlignment="1">
      <alignment horizontal="center" vertical="center" wrapText="1"/>
    </xf>
    <xf numFmtId="0" fontId="29" fillId="0" borderId="92" xfId="0" applyFont="1" applyBorder="1" applyAlignment="1">
      <alignment horizontal="center" wrapText="1"/>
    </xf>
    <xf numFmtId="0" fontId="29" fillId="0" borderId="127" xfId="0" applyFont="1" applyBorder="1" applyAlignment="1">
      <alignment horizontal="center" vertical="center" wrapText="1"/>
    </xf>
    <xf numFmtId="0" fontId="23" fillId="0" borderId="99" xfId="0" applyFont="1" applyFill="1" applyBorder="1" applyAlignment="1">
      <alignment horizontal="center" vertical="center"/>
    </xf>
    <xf numFmtId="0" fontId="23" fillId="0" borderId="106" xfId="0" applyFont="1" applyFill="1" applyBorder="1" applyAlignment="1">
      <alignment horizontal="center" vertical="center"/>
    </xf>
    <xf numFmtId="0" fontId="23" fillId="0" borderId="108" xfId="0" applyFont="1" applyFill="1" applyBorder="1" applyAlignment="1">
      <alignment horizontal="center" vertical="center"/>
    </xf>
    <xf numFmtId="0" fontId="25" fillId="0" borderId="106" xfId="0" applyFont="1" applyBorder="1" applyAlignment="1">
      <alignment horizontal="right" vertical="center"/>
    </xf>
    <xf numFmtId="0" fontId="25" fillId="0" borderId="107" xfId="0" applyFont="1" applyBorder="1" applyAlignment="1">
      <alignment horizontal="right" vertical="center"/>
    </xf>
    <xf numFmtId="0" fontId="25" fillId="0" borderId="108" xfId="0" applyFont="1" applyBorder="1" applyAlignment="1">
      <alignment horizontal="right" vertical="center"/>
    </xf>
    <xf numFmtId="0" fontId="22" fillId="0" borderId="106" xfId="0" applyFont="1" applyBorder="1" applyAlignment="1">
      <alignment horizontal="right" vertical="center"/>
    </xf>
    <xf numFmtId="0" fontId="22" fillId="0" borderId="108" xfId="0" applyFont="1" applyBorder="1" applyAlignment="1">
      <alignment horizontal="right" vertical="center"/>
    </xf>
    <xf numFmtId="0" fontId="22" fillId="0" borderId="8" xfId="0" applyFont="1" applyBorder="1" applyAlignment="1">
      <alignment horizontal="right" vertical="center"/>
    </xf>
    <xf numFmtId="0" fontId="22" fillId="0" borderId="89" xfId="0" applyFont="1" applyBorder="1" applyAlignment="1">
      <alignment horizontal="right" vertical="center"/>
    </xf>
    <xf numFmtId="0" fontId="22" fillId="0" borderId="7" xfId="0" applyFont="1" applyBorder="1" applyAlignment="1">
      <alignment horizontal="right" vertical="center"/>
    </xf>
    <xf numFmtId="0" fontId="22" fillId="0" borderId="113" xfId="0" applyFont="1" applyBorder="1" applyAlignment="1">
      <alignment horizontal="center" vertical="center"/>
    </xf>
    <xf numFmtId="0" fontId="22" fillId="0" borderId="119" xfId="0" applyFont="1" applyBorder="1" applyAlignment="1">
      <alignment horizontal="center" vertical="center"/>
    </xf>
    <xf numFmtId="0" fontId="22" fillId="0" borderId="125" xfId="0" applyFont="1" applyBorder="1" applyAlignment="1">
      <alignment horizontal="center" vertical="center"/>
    </xf>
    <xf numFmtId="0" fontId="22" fillId="0" borderId="114" xfId="0" applyFont="1" applyBorder="1" applyAlignment="1">
      <alignment horizontal="right" vertical="center"/>
    </xf>
    <xf numFmtId="0" fontId="22" fillId="0" borderId="115" xfId="0" applyFont="1" applyBorder="1" applyAlignment="1">
      <alignment horizontal="right" vertical="center"/>
    </xf>
    <xf numFmtId="0" fontId="22" fillId="0" borderId="116" xfId="0" applyFont="1" applyBorder="1" applyAlignment="1">
      <alignment horizontal="right" vertical="center"/>
    </xf>
    <xf numFmtId="0" fontId="22" fillId="0" borderId="97" xfId="0" applyFont="1" applyBorder="1" applyAlignment="1">
      <alignment horizontal="center" vertical="center"/>
    </xf>
    <xf numFmtId="0" fontId="22" fillId="0" borderId="121" xfId="0" applyFont="1" applyBorder="1" applyAlignment="1">
      <alignment horizontal="center" vertical="center"/>
    </xf>
    <xf numFmtId="0" fontId="22" fillId="0" borderId="117" xfId="0" applyFont="1" applyBorder="1" applyAlignment="1">
      <alignment horizontal="center" vertical="center"/>
    </xf>
    <xf numFmtId="0" fontId="22" fillId="0" borderId="118" xfId="0" applyFont="1" applyBorder="1" applyAlignment="1">
      <alignment horizontal="center" vertical="center"/>
    </xf>
    <xf numFmtId="0" fontId="22" fillId="0" borderId="122" xfId="0" applyFont="1" applyBorder="1" applyAlignment="1">
      <alignment horizontal="center" vertical="center"/>
    </xf>
    <xf numFmtId="0" fontId="22" fillId="0" borderId="123" xfId="0" applyFont="1" applyBorder="1" applyAlignment="1">
      <alignment horizontal="center" vertical="center"/>
    </xf>
    <xf numFmtId="0" fontId="22" fillId="0" borderId="75" xfId="0" applyFont="1" applyBorder="1" applyAlignment="1">
      <alignment horizontal="center" vertical="center"/>
    </xf>
    <xf numFmtId="0" fontId="22" fillId="0" borderId="77" xfId="0" applyFont="1" applyBorder="1" applyAlignment="1">
      <alignment horizontal="center" vertical="center"/>
    </xf>
    <xf numFmtId="0" fontId="22" fillId="0" borderId="107" xfId="0" applyFont="1" applyBorder="1" applyAlignment="1">
      <alignment horizontal="right" vertical="center"/>
    </xf>
    <xf numFmtId="0" fontId="24" fillId="0" borderId="106" xfId="0" applyFont="1" applyBorder="1" applyAlignment="1">
      <alignment horizontal="right" vertical="center" wrapText="1"/>
    </xf>
    <xf numFmtId="0" fontId="24" fillId="0" borderId="108" xfId="0" applyFont="1" applyBorder="1" applyAlignment="1">
      <alignment horizontal="right" vertical="center" wrapText="1"/>
    </xf>
    <xf numFmtId="0" fontId="22" fillId="0" borderId="124" xfId="0" applyFont="1" applyBorder="1" applyAlignment="1">
      <alignment horizontal="right" vertical="center"/>
    </xf>
    <xf numFmtId="0" fontId="22" fillId="0" borderId="110" xfId="0" applyFont="1" applyBorder="1" applyAlignment="1">
      <alignment horizontal="right" vertical="center"/>
    </xf>
    <xf numFmtId="0" fontId="22" fillId="0" borderId="111" xfId="0" applyFont="1" applyBorder="1" applyAlignment="1">
      <alignment horizontal="right" vertical="center"/>
    </xf>
    <xf numFmtId="0" fontId="20" fillId="0" borderId="0" xfId="0" applyFont="1" applyBorder="1" applyAlignment="1">
      <alignment horizontal="right" vertical="center" wrapText="1"/>
    </xf>
    <xf numFmtId="0" fontId="20" fillId="0" borderId="55" xfId="0" applyFont="1" applyBorder="1" applyAlignment="1">
      <alignment horizontal="right" vertical="center" wrapText="1"/>
    </xf>
    <xf numFmtId="0" fontId="21" fillId="0" borderId="56" xfId="0" applyFont="1" applyFill="1" applyBorder="1" applyAlignment="1">
      <alignment horizontal="center" vertical="center" wrapText="1"/>
    </xf>
    <xf numFmtId="0" fontId="21" fillId="0" borderId="89" xfId="0" applyFont="1" applyFill="1" applyBorder="1" applyAlignment="1">
      <alignment horizontal="center" vertical="center" wrapText="1"/>
    </xf>
    <xf numFmtId="0" fontId="21" fillId="0" borderId="112" xfId="0" applyFont="1" applyFill="1" applyBorder="1" applyAlignment="1">
      <alignment horizontal="center" vertical="center" wrapText="1"/>
    </xf>
    <xf numFmtId="0" fontId="20" fillId="0" borderId="101" xfId="0" applyFont="1" applyBorder="1" applyAlignment="1">
      <alignment horizontal="right" vertical="center" wrapText="1"/>
    </xf>
    <xf numFmtId="14" fontId="21" fillId="0" borderId="109" xfId="0" applyNumberFormat="1" applyFont="1" applyFill="1" applyBorder="1" applyAlignment="1">
      <alignment horizontal="center" vertical="center" wrapText="1"/>
    </xf>
    <xf numFmtId="0" fontId="21" fillId="0" borderId="110" xfId="0" applyFont="1" applyFill="1" applyBorder="1" applyAlignment="1">
      <alignment horizontal="center" vertical="center" wrapText="1"/>
    </xf>
    <xf numFmtId="0" fontId="21" fillId="0" borderId="111" xfId="0" applyFont="1" applyFill="1" applyBorder="1" applyAlignment="1">
      <alignment horizontal="center" vertical="center" wrapText="1"/>
    </xf>
    <xf numFmtId="14" fontId="29" fillId="0" borderId="106" xfId="0" applyNumberFormat="1" applyFont="1" applyFill="1" applyBorder="1" applyAlignment="1">
      <alignment horizontal="center" vertical="center" wrapText="1"/>
    </xf>
    <xf numFmtId="0" fontId="29" fillId="0" borderId="107" xfId="0" applyFont="1" applyFill="1" applyBorder="1" applyAlignment="1">
      <alignment horizontal="center" vertical="center" wrapText="1"/>
    </xf>
    <xf numFmtId="0" fontId="29" fillId="0" borderId="108" xfId="0" applyFont="1" applyFill="1" applyBorder="1" applyAlignment="1">
      <alignment horizontal="center" vertical="center" wrapText="1"/>
    </xf>
    <xf numFmtId="0" fontId="21" fillId="0" borderId="109" xfId="0" applyFont="1" applyFill="1" applyBorder="1" applyAlignment="1">
      <alignment horizontal="center" vertical="center" wrapText="1"/>
    </xf>
    <xf numFmtId="0" fontId="15" fillId="0" borderId="94" xfId="0" applyFont="1" applyBorder="1" applyAlignment="1">
      <alignment horizontal="center" vertical="center"/>
    </xf>
    <xf numFmtId="0" fontId="15" fillId="0" borderId="95" xfId="0" applyFont="1" applyBorder="1" applyAlignment="1">
      <alignment horizontal="center" vertical="center"/>
    </xf>
    <xf numFmtId="0" fontId="15" fillId="0" borderId="96" xfId="0" applyFont="1" applyBorder="1" applyAlignment="1">
      <alignment horizontal="center" vertical="center"/>
    </xf>
    <xf numFmtId="0" fontId="15" fillId="0" borderId="102" xfId="0" applyFont="1" applyBorder="1" applyAlignment="1">
      <alignment horizontal="center" vertical="center"/>
    </xf>
    <xf numFmtId="0" fontId="15" fillId="0" borderId="103" xfId="0" applyFont="1" applyBorder="1" applyAlignment="1">
      <alignment horizontal="center" vertical="center"/>
    </xf>
    <xf numFmtId="0" fontId="15" fillId="0" borderId="104" xfId="0" applyFont="1" applyBorder="1" applyAlignment="1">
      <alignment horizontal="center" vertical="center"/>
    </xf>
    <xf numFmtId="0" fontId="16" fillId="0" borderId="98" xfId="0" applyFont="1" applyBorder="1" applyAlignment="1">
      <alignment horizontal="center" vertical="center"/>
    </xf>
    <xf numFmtId="0" fontId="16" fillId="0" borderId="99" xfId="0" applyFont="1" applyBorder="1" applyAlignment="1">
      <alignment horizontal="center" vertical="center"/>
    </xf>
    <xf numFmtId="0" fontId="16" fillId="0" borderId="100" xfId="0" applyFont="1" applyBorder="1" applyAlignment="1">
      <alignment horizontal="center" vertical="center"/>
    </xf>
    <xf numFmtId="0" fontId="18" fillId="0" borderId="98" xfId="0" applyFont="1" applyBorder="1" applyAlignment="1">
      <alignment horizontal="center" vertical="center"/>
    </xf>
    <xf numFmtId="0" fontId="18" fillId="0" borderId="99" xfId="0" applyFont="1" applyBorder="1" applyAlignment="1">
      <alignment horizontal="center" vertical="center"/>
    </xf>
    <xf numFmtId="0" fontId="18" fillId="0" borderId="100" xfId="0" applyFont="1" applyBorder="1" applyAlignment="1">
      <alignment horizontal="center" vertical="center"/>
    </xf>
    <xf numFmtId="0" fontId="19" fillId="0" borderId="98" xfId="0" applyFont="1" applyBorder="1" applyAlignment="1">
      <alignment horizontal="center" vertical="center"/>
    </xf>
    <xf numFmtId="0" fontId="19" fillId="0" borderId="99" xfId="0" applyFont="1" applyBorder="1" applyAlignment="1">
      <alignment horizontal="center" vertical="center"/>
    </xf>
    <xf numFmtId="0" fontId="19" fillId="0" borderId="100" xfId="0" applyFont="1" applyBorder="1" applyAlignment="1">
      <alignment horizontal="center" vertical="center"/>
    </xf>
    <xf numFmtId="0" fontId="21" fillId="0" borderId="106" xfId="0" applyFont="1" applyFill="1" applyBorder="1" applyAlignment="1">
      <alignment horizontal="center" vertical="center" wrapText="1"/>
    </xf>
    <xf numFmtId="0" fontId="21" fillId="0" borderId="107" xfId="0" applyFont="1" applyFill="1" applyBorder="1" applyAlignment="1">
      <alignment horizontal="center" vertical="center" wrapText="1"/>
    </xf>
    <xf numFmtId="0" fontId="21" fillId="0" borderId="108" xfId="0" applyFont="1" applyFill="1" applyBorder="1" applyAlignment="1">
      <alignment horizontal="center" vertical="center" wrapText="1"/>
    </xf>
    <xf numFmtId="14" fontId="21" fillId="0" borderId="106" xfId="0" applyNumberFormat="1" applyFont="1" applyFill="1" applyBorder="1" applyAlignment="1">
      <alignment horizontal="center" vertical="center" wrapText="1"/>
    </xf>
    <xf numFmtId="14" fontId="21" fillId="0" borderId="107" xfId="0" applyNumberFormat="1" applyFont="1" applyFill="1" applyBorder="1" applyAlignment="1">
      <alignment horizontal="center" vertical="center" wrapText="1"/>
    </xf>
    <xf numFmtId="14" fontId="21" fillId="0" borderId="108" xfId="0" applyNumberFormat="1" applyFont="1" applyFill="1" applyBorder="1" applyAlignment="1">
      <alignment horizontal="center" vertical="center" wrapText="1"/>
    </xf>
    <xf numFmtId="49" fontId="21" fillId="0" borderId="109" xfId="0" applyNumberFormat="1" applyFont="1" applyFill="1" applyBorder="1" applyAlignment="1">
      <alignment horizontal="center" vertical="center" wrapText="1"/>
    </xf>
    <xf numFmtId="0" fontId="76" fillId="0" borderId="103" xfId="0" applyFont="1" applyBorder="1" applyAlignment="1">
      <alignment horizontal="right" vertical="center" wrapText="1"/>
    </xf>
    <xf numFmtId="0" fontId="21" fillId="0" borderId="103" xfId="0" applyFont="1" applyBorder="1" applyAlignment="1">
      <alignment horizontal="right" vertical="center" wrapText="1"/>
    </xf>
    <xf numFmtId="0" fontId="21" fillId="7" borderId="103" xfId="0" applyFont="1" applyFill="1" applyBorder="1" applyAlignment="1">
      <alignment horizontal="center" vertical="center" wrapText="1"/>
    </xf>
    <xf numFmtId="0" fontId="74" fillId="0" borderId="85" xfId="0" applyFont="1" applyFill="1" applyBorder="1" applyAlignment="1">
      <alignment horizontal="center" vertical="center"/>
    </xf>
    <xf numFmtId="0" fontId="74" fillId="0" borderId="0" xfId="0" applyFont="1" applyFill="1" applyBorder="1" applyAlignment="1">
      <alignment horizontal="center" vertical="center"/>
    </xf>
    <xf numFmtId="0" fontId="74" fillId="0" borderId="55" xfId="0" applyFont="1" applyFill="1" applyBorder="1" applyAlignment="1">
      <alignment horizontal="center" vertical="center"/>
    </xf>
    <xf numFmtId="0" fontId="73" fillId="0" borderId="1" xfId="0" applyFont="1" applyFill="1" applyBorder="1" applyAlignment="1">
      <alignment horizontal="right"/>
    </xf>
    <xf numFmtId="0" fontId="73" fillId="0" borderId="2" xfId="0" applyFont="1" applyFill="1" applyBorder="1" applyAlignment="1">
      <alignment horizontal="right"/>
    </xf>
    <xf numFmtId="0" fontId="76" fillId="0" borderId="0" xfId="0" applyFont="1" applyFill="1" applyBorder="1" applyAlignment="1">
      <alignment horizontal="center"/>
    </xf>
    <xf numFmtId="0" fontId="0" fillId="0" borderId="0" xfId="0" applyFill="1" applyBorder="1" applyAlignment="1">
      <alignment horizontal="center"/>
    </xf>
    <xf numFmtId="0" fontId="77" fillId="0" borderId="0" xfId="0" applyFont="1" applyFill="1" applyBorder="1" applyAlignment="1">
      <alignment horizontal="center"/>
    </xf>
    <xf numFmtId="0" fontId="21" fillId="0" borderId="4" xfId="0" applyFont="1" applyBorder="1" applyAlignment="1">
      <alignment horizontal="right" vertical="center" wrapText="1"/>
    </xf>
    <xf numFmtId="0" fontId="76" fillId="7" borderId="0" xfId="0" applyFont="1" applyFill="1" applyBorder="1" applyAlignment="1">
      <alignment horizontal="center" vertical="center" wrapText="1"/>
    </xf>
    <xf numFmtId="0" fontId="51" fillId="0" borderId="138" xfId="0" applyFont="1" applyFill="1" applyBorder="1" applyAlignment="1">
      <alignment horizontal="center" wrapText="1"/>
    </xf>
    <xf numFmtId="0" fontId="51" fillId="0" borderId="93" xfId="0" applyFont="1" applyFill="1" applyBorder="1" applyAlignment="1">
      <alignment horizontal="center" wrapText="1"/>
    </xf>
    <xf numFmtId="0" fontId="68" fillId="0" borderId="90" xfId="0" applyFont="1" applyFill="1" applyBorder="1" applyAlignment="1">
      <alignment horizontal="center" vertical="center"/>
    </xf>
    <xf numFmtId="0" fontId="68" fillId="0" borderId="92" xfId="0" applyFont="1" applyFill="1" applyBorder="1" applyAlignment="1">
      <alignment horizontal="center" vertical="center"/>
    </xf>
    <xf numFmtId="0" fontId="51" fillId="0" borderId="139" xfId="0" applyFont="1" applyFill="1" applyBorder="1" applyAlignment="1">
      <alignment horizontal="center" wrapText="1"/>
    </xf>
    <xf numFmtId="0" fontId="51" fillId="0" borderId="87" xfId="0" applyFont="1" applyFill="1" applyBorder="1" applyAlignment="1">
      <alignment horizontal="center" wrapText="1"/>
    </xf>
    <xf numFmtId="0" fontId="51" fillId="0" borderId="140" xfId="0" applyFont="1" applyFill="1" applyBorder="1" applyAlignment="1">
      <alignment horizontal="center" wrapText="1"/>
    </xf>
    <xf numFmtId="0" fontId="51" fillId="0" borderId="141" xfId="0" applyFont="1" applyFill="1" applyBorder="1" applyAlignment="1">
      <alignment horizontal="center" wrapText="1"/>
    </xf>
    <xf numFmtId="0" fontId="73" fillId="0" borderId="83" xfId="0" applyFont="1" applyFill="1" applyBorder="1" applyAlignment="1">
      <alignment horizontal="center" vertical="center"/>
    </xf>
    <xf numFmtId="0" fontId="73" fillId="0" borderId="84" xfId="0" applyFont="1" applyFill="1" applyBorder="1" applyAlignment="1">
      <alignment horizontal="center" vertical="center"/>
    </xf>
    <xf numFmtId="0" fontId="73" fillId="0" borderId="143" xfId="0" applyFont="1" applyFill="1" applyBorder="1" applyAlignment="1">
      <alignment horizontal="center" vertical="center"/>
    </xf>
    <xf numFmtId="0" fontId="68" fillId="0" borderId="0" xfId="0" applyFont="1" applyFill="1" applyBorder="1" applyAlignment="1">
      <alignment horizontal="center" wrapText="1"/>
    </xf>
    <xf numFmtId="0" fontId="47" fillId="0" borderId="0" xfId="0" applyFont="1" applyFill="1" applyBorder="1" applyAlignment="1">
      <alignment horizontal="center" vertical="center"/>
    </xf>
    <xf numFmtId="0" fontId="51" fillId="0" borderId="0" xfId="0" applyFont="1" applyFill="1" applyBorder="1" applyAlignment="1">
      <alignment horizontal="center" wrapText="1"/>
    </xf>
    <xf numFmtId="0" fontId="68" fillId="0" borderId="101" xfId="0" applyFont="1" applyFill="1" applyBorder="1" applyAlignment="1">
      <alignment horizontal="center" vertical="center"/>
    </xf>
    <xf numFmtId="0" fontId="68" fillId="0" borderId="0" xfId="0" applyFont="1" applyFill="1" applyBorder="1" applyAlignment="1">
      <alignment horizontal="center" vertical="center"/>
    </xf>
    <xf numFmtId="0" fontId="69" fillId="0" borderId="0" xfId="0" applyFont="1" applyFill="1" applyBorder="1" applyAlignment="1">
      <alignment horizontal="center"/>
    </xf>
    <xf numFmtId="0" fontId="69" fillId="0" borderId="55" xfId="0" applyFont="1" applyFill="1" applyBorder="1" applyAlignment="1">
      <alignment horizontal="center"/>
    </xf>
    <xf numFmtId="0" fontId="70" fillId="0" borderId="101" xfId="0" applyFont="1" applyFill="1" applyBorder="1" applyAlignment="1">
      <alignment horizontal="center" wrapText="1"/>
    </xf>
    <xf numFmtId="0" fontId="70" fillId="0" borderId="0" xfId="0" applyFont="1" applyFill="1" applyBorder="1" applyAlignment="1">
      <alignment horizontal="center" vertical="center"/>
    </xf>
    <xf numFmtId="0" fontId="0" fillId="0" borderId="0" xfId="0" applyFill="1" applyBorder="1"/>
    <xf numFmtId="0" fontId="21" fillId="7" borderId="75" xfId="0" applyFont="1" applyFill="1" applyBorder="1" applyAlignment="1">
      <alignment horizontal="center" vertical="center"/>
    </xf>
    <xf numFmtId="0" fontId="21" fillId="7" borderId="76" xfId="0" applyFont="1" applyFill="1" applyBorder="1" applyAlignment="1">
      <alignment horizontal="center" vertical="center"/>
    </xf>
    <xf numFmtId="0" fontId="21" fillId="7" borderId="137" xfId="0" applyFont="1" applyFill="1" applyBorder="1" applyAlignment="1">
      <alignment horizontal="center" vertical="center"/>
    </xf>
    <xf numFmtId="2" fontId="21" fillId="0" borderId="76" xfId="0" applyNumberFormat="1" applyFont="1" applyBorder="1" applyAlignment="1">
      <alignment horizontal="center" vertical="center"/>
    </xf>
    <xf numFmtId="2" fontId="21" fillId="7" borderId="76" xfId="0" applyNumberFormat="1" applyFont="1" applyFill="1" applyBorder="1" applyAlignment="1">
      <alignment horizontal="center" vertical="center"/>
    </xf>
    <xf numFmtId="2" fontId="62" fillId="0" borderId="76" xfId="0" applyNumberFormat="1" applyFont="1" applyFill="1" applyBorder="1" applyAlignment="1">
      <alignment horizontal="center" vertical="center"/>
    </xf>
    <xf numFmtId="2" fontId="62" fillId="0" borderId="77" xfId="0" applyNumberFormat="1" applyFont="1" applyFill="1" applyBorder="1" applyAlignment="1">
      <alignment horizontal="center" vertical="center"/>
    </xf>
    <xf numFmtId="0" fontId="21" fillId="7" borderId="128" xfId="0" applyFont="1" applyFill="1" applyBorder="1" applyAlignment="1">
      <alignment horizontal="center"/>
    </xf>
    <xf numFmtId="0" fontId="21" fillId="7" borderId="93" xfId="0" applyFont="1" applyFill="1" applyBorder="1" applyAlignment="1">
      <alignment horizontal="center"/>
    </xf>
    <xf numFmtId="0" fontId="44" fillId="7" borderId="91" xfId="0" applyFont="1" applyFill="1" applyBorder="1" applyAlignment="1">
      <alignment horizontal="center" vertical="center"/>
    </xf>
    <xf numFmtId="0" fontId="44" fillId="7" borderId="93" xfId="0" applyFont="1" applyFill="1" applyBorder="1" applyAlignment="1">
      <alignment horizontal="center" vertical="center"/>
    </xf>
    <xf numFmtId="9" fontId="44" fillId="0" borderId="93" xfId="0" applyNumberFormat="1" applyFont="1" applyBorder="1" applyAlignment="1">
      <alignment horizontal="center" vertical="center"/>
    </xf>
    <xf numFmtId="9" fontId="44" fillId="7" borderId="93" xfId="0" applyNumberFormat="1" applyFont="1" applyFill="1" applyBorder="1" applyAlignment="1">
      <alignment horizontal="center" vertical="center"/>
    </xf>
    <xf numFmtId="9" fontId="44" fillId="0" borderId="131" xfId="0" applyNumberFormat="1" applyFont="1" applyBorder="1" applyAlignment="1">
      <alignment horizontal="center" vertical="center"/>
    </xf>
    <xf numFmtId="0" fontId="21" fillId="7" borderId="122" xfId="0" applyFont="1" applyFill="1" applyBorder="1" applyAlignment="1">
      <alignment horizontal="center" vertical="center"/>
    </xf>
    <xf numFmtId="0" fontId="21" fillId="7" borderId="87" xfId="0" applyFont="1" applyFill="1" applyBorder="1" applyAlignment="1">
      <alignment horizontal="center" vertical="center"/>
    </xf>
    <xf numFmtId="0" fontId="44" fillId="7" borderId="3" xfId="0" applyFont="1" applyFill="1" applyBorder="1" applyAlignment="1">
      <alignment horizontal="center" vertical="center"/>
    </xf>
    <xf numFmtId="0" fontId="44" fillId="7" borderId="87" xfId="0" applyFont="1" applyFill="1" applyBorder="1" applyAlignment="1">
      <alignment horizontal="center" vertical="center"/>
    </xf>
    <xf numFmtId="1" fontId="21" fillId="0" borderId="87" xfId="0" applyNumberFormat="1" applyFont="1" applyBorder="1" applyAlignment="1">
      <alignment horizontal="center" vertical="center"/>
    </xf>
    <xf numFmtId="1" fontId="21" fillId="7" borderId="87" xfId="0" applyNumberFormat="1" applyFont="1" applyFill="1" applyBorder="1" applyAlignment="1">
      <alignment horizontal="center" vertical="center"/>
    </xf>
    <xf numFmtId="0" fontId="62" fillId="0" borderId="87" xfId="0" applyFont="1" applyFill="1" applyBorder="1" applyAlignment="1">
      <alignment horizontal="center" vertical="center"/>
    </xf>
    <xf numFmtId="0" fontId="62" fillId="0" borderId="123" xfId="0" applyFont="1" applyFill="1" applyBorder="1" applyAlignment="1">
      <alignment horizontal="center" vertical="center"/>
    </xf>
    <xf numFmtId="0" fontId="21" fillId="0" borderId="101" xfId="0" applyFont="1" applyFill="1" applyBorder="1" applyAlignment="1">
      <alignment horizontal="center" wrapText="1"/>
    </xf>
    <xf numFmtId="0" fontId="21" fillId="0" borderId="0" xfId="0" applyFont="1" applyFill="1" applyBorder="1" applyAlignment="1">
      <alignment horizontal="center" wrapText="1"/>
    </xf>
    <xf numFmtId="0" fontId="67" fillId="0" borderId="0" xfId="0" applyFont="1" applyFill="1" applyBorder="1" applyAlignment="1">
      <alignment horizontal="center"/>
    </xf>
    <xf numFmtId="0" fontId="67" fillId="0" borderId="55" xfId="0" applyFont="1" applyFill="1" applyBorder="1" applyAlignment="1">
      <alignment horizontal="center"/>
    </xf>
    <xf numFmtId="0" fontId="21" fillId="0" borderId="102" xfId="0" applyFont="1" applyFill="1" applyBorder="1" applyAlignment="1">
      <alignment horizontal="center" wrapText="1"/>
    </xf>
    <xf numFmtId="0" fontId="21" fillId="0" borderId="103" xfId="0" applyFont="1" applyFill="1" applyBorder="1" applyAlignment="1">
      <alignment horizontal="center" wrapText="1"/>
    </xf>
    <xf numFmtId="0" fontId="67" fillId="0" borderId="103" xfId="0" applyFont="1" applyFill="1" applyBorder="1" applyAlignment="1">
      <alignment horizontal="center"/>
    </xf>
    <xf numFmtId="0" fontId="67" fillId="0" borderId="104" xfId="0" applyFont="1" applyFill="1" applyBorder="1" applyAlignment="1">
      <alignment horizontal="center"/>
    </xf>
    <xf numFmtId="0" fontId="21" fillId="0" borderId="75" xfId="0" applyFont="1" applyBorder="1" applyAlignment="1">
      <alignment horizontal="left" vertical="center"/>
    </xf>
    <xf numFmtId="0" fontId="21" fillId="0" borderId="76" xfId="0" applyFont="1" applyBorder="1" applyAlignment="1">
      <alignment vertical="center"/>
    </xf>
    <xf numFmtId="0" fontId="21" fillId="0" borderId="76" xfId="0" applyFont="1" applyBorder="1" applyAlignment="1">
      <alignment horizontal="center" vertical="center"/>
    </xf>
    <xf numFmtId="164" fontId="66" fillId="0" borderId="76" xfId="0" applyNumberFormat="1" applyFont="1" applyBorder="1" applyAlignment="1">
      <alignment horizontal="center" vertical="center"/>
    </xf>
    <xf numFmtId="164" fontId="21" fillId="0" borderId="76" xfId="0" applyNumberFormat="1" applyFont="1" applyBorder="1" applyAlignment="1">
      <alignment horizontal="center" vertical="center"/>
    </xf>
    <xf numFmtId="164" fontId="21" fillId="0" borderId="77" xfId="0" applyNumberFormat="1" applyFont="1" applyBorder="1" applyAlignment="1">
      <alignment horizontal="center" vertical="center"/>
    </xf>
    <xf numFmtId="0" fontId="21" fillId="0" borderId="122" xfId="0" applyFont="1" applyBorder="1" applyAlignment="1">
      <alignment horizontal="left" vertical="center"/>
    </xf>
    <xf numFmtId="0" fontId="21" fillId="0" borderId="87" xfId="0" applyFont="1" applyBorder="1" applyAlignment="1">
      <alignment vertical="center"/>
    </xf>
    <xf numFmtId="2" fontId="21" fillId="0" borderId="87" xfId="0" applyNumberFormat="1" applyFont="1" applyBorder="1" applyAlignment="1">
      <alignment horizontal="center" vertical="center"/>
    </xf>
    <xf numFmtId="0" fontId="64" fillId="0" borderId="1" xfId="0" applyFont="1" applyBorder="1" applyAlignment="1">
      <alignment horizontal="center" vertical="center"/>
    </xf>
    <xf numFmtId="0" fontId="64" fillId="0" borderId="2" xfId="0" applyFont="1" applyBorder="1" applyAlignment="1">
      <alignment horizontal="center" vertical="center"/>
    </xf>
    <xf numFmtId="0" fontId="64" fillId="0" borderId="3" xfId="0" applyFont="1" applyBorder="1" applyAlignment="1">
      <alignment horizontal="center" vertical="center"/>
    </xf>
    <xf numFmtId="164" fontId="21" fillId="0" borderId="87" xfId="0" applyNumberFormat="1" applyFont="1" applyBorder="1" applyAlignment="1">
      <alignment horizontal="center" vertical="center"/>
    </xf>
    <xf numFmtId="164" fontId="21" fillId="0" borderId="123" xfId="0" applyNumberFormat="1" applyFont="1" applyBorder="1" applyAlignment="1">
      <alignment horizontal="center" vertical="center"/>
    </xf>
    <xf numFmtId="0" fontId="21" fillId="7" borderId="93" xfId="0" applyFont="1" applyFill="1" applyBorder="1" applyAlignment="1">
      <alignment horizontal="center" vertical="center"/>
    </xf>
    <xf numFmtId="0" fontId="21" fillId="7" borderId="93" xfId="0" applyFont="1" applyFill="1" applyBorder="1" applyAlignment="1">
      <alignment horizontal="center" vertical="center" wrapText="1"/>
    </xf>
    <xf numFmtId="0" fontId="21" fillId="7" borderId="131" xfId="0" applyFont="1" applyFill="1" applyBorder="1" applyAlignment="1">
      <alignment horizontal="center" vertical="center" wrapText="1"/>
    </xf>
    <xf numFmtId="0" fontId="21" fillId="7" borderId="87" xfId="0" applyFont="1" applyFill="1" applyBorder="1" applyAlignment="1">
      <alignment horizontal="center" vertical="center" wrapText="1"/>
    </xf>
    <xf numFmtId="0" fontId="21" fillId="7" borderId="123" xfId="0" applyFont="1" applyFill="1" applyBorder="1" applyAlignment="1">
      <alignment horizontal="center" vertical="center" wrapText="1"/>
    </xf>
    <xf numFmtId="0" fontId="62" fillId="0" borderId="122" xfId="0" applyFont="1" applyBorder="1" applyAlignment="1">
      <alignment horizontal="left" vertical="center"/>
    </xf>
    <xf numFmtId="165" fontId="21" fillId="0" borderId="87" xfId="0" applyNumberFormat="1" applyFont="1" applyBorder="1" applyAlignment="1">
      <alignment horizontal="center" vertical="center"/>
    </xf>
    <xf numFmtId="2" fontId="64" fillId="0" borderId="1" xfId="0" applyNumberFormat="1" applyFont="1" applyBorder="1" applyAlignment="1">
      <alignment horizontal="center" vertical="center"/>
    </xf>
    <xf numFmtId="2" fontId="64" fillId="0" borderId="2" xfId="0" applyNumberFormat="1" applyFont="1" applyBorder="1" applyAlignment="1">
      <alignment horizontal="center" vertical="center"/>
    </xf>
    <xf numFmtId="2" fontId="64" fillId="0" borderId="3" xfId="0" applyNumberFormat="1" applyFont="1" applyBorder="1" applyAlignment="1">
      <alignment horizontal="center" vertical="center"/>
    </xf>
    <xf numFmtId="2" fontId="21" fillId="0" borderId="1" xfId="0" applyNumberFormat="1" applyFont="1" applyBorder="1" applyAlignment="1">
      <alignment horizontal="center" vertical="center"/>
    </xf>
    <xf numFmtId="2" fontId="21" fillId="0" borderId="3" xfId="0" applyNumberFormat="1" applyFont="1" applyBorder="1" applyAlignment="1">
      <alignment horizontal="center" vertical="center"/>
    </xf>
    <xf numFmtId="0" fontId="50" fillId="0" borderId="99" xfId="0" applyFont="1" applyFill="1" applyBorder="1" applyAlignment="1">
      <alignment horizontal="center" vertical="center"/>
    </xf>
    <xf numFmtId="0" fontId="51" fillId="0" borderId="106" xfId="0" applyFont="1" applyFill="1" applyBorder="1" applyAlignment="1">
      <alignment horizontal="center" vertical="center"/>
    </xf>
    <xf numFmtId="0" fontId="51" fillId="0" borderId="108" xfId="0" applyFont="1" applyFill="1" applyBorder="1" applyAlignment="1">
      <alignment horizontal="center" vertical="center"/>
    </xf>
    <xf numFmtId="0" fontId="49" fillId="0" borderId="124" xfId="0" applyFont="1" applyBorder="1" applyAlignment="1">
      <alignment horizontal="right" vertical="center"/>
    </xf>
    <xf numFmtId="0" fontId="49" fillId="0" borderId="110" xfId="0" applyFont="1" applyBorder="1" applyAlignment="1">
      <alignment horizontal="right" vertical="center"/>
    </xf>
    <xf numFmtId="0" fontId="49" fillId="0" borderId="111" xfId="0" applyFont="1" applyBorder="1" applyAlignment="1">
      <alignment horizontal="right" vertical="center"/>
    </xf>
    <xf numFmtId="0" fontId="52" fillId="0" borderId="106" xfId="0" applyFont="1" applyBorder="1" applyAlignment="1">
      <alignment horizontal="right" vertical="center"/>
    </xf>
    <xf numFmtId="0" fontId="52" fillId="0" borderId="108" xfId="0" applyFont="1" applyBorder="1" applyAlignment="1">
      <alignment horizontal="right" vertical="center"/>
    </xf>
    <xf numFmtId="0" fontId="55" fillId="0" borderId="8" xfId="0" applyFont="1" applyBorder="1" applyAlignment="1">
      <alignment horizontal="right" vertical="center"/>
    </xf>
    <xf numFmtId="0" fontId="51" fillId="0" borderId="89" xfId="0" applyFont="1" applyBorder="1" applyAlignment="1">
      <alignment horizontal="right" vertical="center"/>
    </xf>
    <xf numFmtId="0" fontId="51" fillId="0" borderId="7" xfId="0" applyFont="1" applyBorder="1" applyAlignment="1">
      <alignment horizontal="right" vertical="center"/>
    </xf>
    <xf numFmtId="0" fontId="57" fillId="0" borderId="106" xfId="0" applyFont="1" applyBorder="1" applyAlignment="1">
      <alignment horizontal="right" vertical="center"/>
    </xf>
    <xf numFmtId="0" fontId="57" fillId="0" borderId="108" xfId="0" applyFont="1" applyBorder="1" applyAlignment="1">
      <alignment horizontal="right" vertical="center"/>
    </xf>
    <xf numFmtId="0" fontId="46" fillId="0" borderId="106" xfId="0" applyFont="1" applyBorder="1" applyAlignment="1">
      <alignment horizontal="right" vertical="center"/>
    </xf>
    <xf numFmtId="0" fontId="46" fillId="0" borderId="108" xfId="0" applyFont="1" applyBorder="1" applyAlignment="1">
      <alignment horizontal="right" vertical="center"/>
    </xf>
    <xf numFmtId="0" fontId="20" fillId="0" borderId="113" xfId="0" applyFont="1" applyBorder="1" applyAlignment="1">
      <alignment horizontal="center" vertical="center"/>
    </xf>
    <xf numFmtId="0" fontId="20" fillId="0" borderId="119" xfId="0" applyFont="1" applyBorder="1" applyAlignment="1">
      <alignment horizontal="center" vertical="center"/>
    </xf>
    <xf numFmtId="0" fontId="20" fillId="0" borderId="136" xfId="0" applyFont="1" applyBorder="1" applyAlignment="1">
      <alignment horizontal="center" vertical="center"/>
    </xf>
    <xf numFmtId="0" fontId="20" fillId="0" borderId="135" xfId="0" applyFont="1" applyBorder="1" applyAlignment="1">
      <alignment horizontal="right" vertical="center"/>
    </xf>
    <xf numFmtId="0" fontId="20" fillId="0" borderId="107" xfId="0" applyFont="1" applyBorder="1" applyAlignment="1">
      <alignment horizontal="right" vertical="center"/>
    </xf>
    <xf numFmtId="0" fontId="20" fillId="0" borderId="108" xfId="0" applyFont="1" applyBorder="1" applyAlignment="1">
      <alignment horizontal="right" vertical="center"/>
    </xf>
    <xf numFmtId="0" fontId="20" fillId="0" borderId="97" xfId="0" applyFont="1" applyBorder="1" applyAlignment="1">
      <alignment horizontal="center" vertical="center"/>
    </xf>
    <xf numFmtId="0" fontId="20" fillId="0" borderId="121" xfId="0" applyFont="1" applyBorder="1" applyAlignment="1">
      <alignment horizontal="center" vertical="center"/>
    </xf>
    <xf numFmtId="0" fontId="20" fillId="0" borderId="106" xfId="0" applyFont="1" applyBorder="1" applyAlignment="1">
      <alignment horizontal="right" vertical="center"/>
    </xf>
    <xf numFmtId="0" fontId="46" fillId="0" borderId="117" xfId="0" applyFont="1" applyBorder="1" applyAlignment="1">
      <alignment horizontal="center" vertical="center"/>
    </xf>
    <xf numFmtId="0" fontId="46" fillId="0" borderId="118" xfId="0" applyFont="1" applyBorder="1" applyAlignment="1">
      <alignment horizontal="center" vertical="center"/>
    </xf>
    <xf numFmtId="0" fontId="46" fillId="0" borderId="122" xfId="0" applyFont="1" applyBorder="1" applyAlignment="1">
      <alignment horizontal="center" vertical="center"/>
    </xf>
    <xf numFmtId="0" fontId="46" fillId="0" borderId="123" xfId="0" applyFont="1" applyBorder="1" applyAlignment="1">
      <alignment horizontal="center" vertical="center"/>
    </xf>
    <xf numFmtId="0" fontId="46" fillId="0" borderId="75" xfId="0" applyFont="1" applyBorder="1" applyAlignment="1">
      <alignment horizontal="center" vertical="center"/>
    </xf>
    <xf numFmtId="0" fontId="46" fillId="0" borderId="77" xfId="0" applyFont="1" applyBorder="1" applyAlignment="1">
      <alignment horizontal="center" vertical="center"/>
    </xf>
    <xf numFmtId="0" fontId="46" fillId="0" borderId="135" xfId="0" applyFont="1" applyBorder="1" applyAlignment="1">
      <alignment horizontal="right" vertical="center"/>
    </xf>
    <xf numFmtId="0" fontId="48" fillId="0" borderId="109" xfId="0" applyFont="1" applyBorder="1" applyAlignment="1">
      <alignment horizontal="right" vertical="center" wrapText="1"/>
    </xf>
    <xf numFmtId="0" fontId="48" fillId="0" borderId="111" xfId="0" applyFont="1" applyBorder="1" applyAlignment="1">
      <alignment horizontal="right" vertical="center" wrapText="1"/>
    </xf>
    <xf numFmtId="0" fontId="46" fillId="0" borderId="8" xfId="0" applyFont="1" applyBorder="1" applyAlignment="1">
      <alignment horizontal="right" vertical="center"/>
    </xf>
    <xf numFmtId="0" fontId="46" fillId="0" borderId="112" xfId="0" applyFont="1" applyBorder="1" applyAlignment="1">
      <alignment horizontal="right" vertical="center"/>
    </xf>
    <xf numFmtId="14" fontId="29" fillId="0" borderId="102" xfId="0" applyNumberFormat="1" applyFont="1" applyFill="1" applyBorder="1" applyAlignment="1">
      <alignment horizontal="center" vertical="center" wrapText="1"/>
    </xf>
    <xf numFmtId="0" fontId="29" fillId="0" borderId="104" xfId="0" applyFont="1" applyFill="1" applyBorder="1" applyAlignment="1">
      <alignment horizontal="center" vertical="center" wrapText="1"/>
    </xf>
    <xf numFmtId="0" fontId="21" fillId="0" borderId="106" xfId="0" applyFont="1" applyFill="1" applyBorder="1" applyAlignment="1">
      <alignment horizontal="left" vertical="center" wrapText="1"/>
    </xf>
    <xf numFmtId="0" fontId="21" fillId="0" borderId="107" xfId="0" applyFont="1" applyFill="1" applyBorder="1" applyAlignment="1">
      <alignment horizontal="left" vertical="center" wrapText="1"/>
    </xf>
    <xf numFmtId="0" fontId="21" fillId="0" borderId="108" xfId="0" applyFont="1" applyFill="1" applyBorder="1" applyAlignment="1">
      <alignment horizontal="left" vertical="center" wrapText="1"/>
    </xf>
    <xf numFmtId="0" fontId="44" fillId="0" borderId="109" xfId="0" applyFont="1" applyFill="1" applyBorder="1" applyAlignment="1">
      <alignment horizontal="center" vertical="center" wrapText="1"/>
    </xf>
    <xf numFmtId="0" fontId="44" fillId="0" borderId="110" xfId="0" applyFont="1" applyFill="1" applyBorder="1" applyAlignment="1">
      <alignment horizontal="center" vertical="center" wrapText="1"/>
    </xf>
    <xf numFmtId="0" fontId="44" fillId="0" borderId="111" xfId="0" applyFont="1" applyFill="1" applyBorder="1" applyAlignment="1">
      <alignment horizontal="center" vertical="center" wrapText="1"/>
    </xf>
    <xf numFmtId="0" fontId="37" fillId="0" borderId="95" xfId="0" applyFont="1" applyBorder="1" applyAlignment="1">
      <alignment horizontal="center" vertical="center"/>
    </xf>
    <xf numFmtId="0" fontId="37" fillId="0" borderId="96" xfId="0" applyFont="1" applyBorder="1" applyAlignment="1">
      <alignment horizontal="center" vertical="center"/>
    </xf>
    <xf numFmtId="0" fontId="37" fillId="0" borderId="0" xfId="0" applyFont="1" applyBorder="1" applyAlignment="1">
      <alignment horizontal="center" vertical="center"/>
    </xf>
    <xf numFmtId="0" fontId="37" fillId="0" borderId="55" xfId="0" applyFont="1" applyBorder="1" applyAlignment="1">
      <alignment horizontal="center" vertical="center"/>
    </xf>
    <xf numFmtId="0" fontId="35" fillId="0" borderId="98" xfId="0" applyFont="1" applyBorder="1" applyAlignment="1">
      <alignment horizontal="center" vertical="center"/>
    </xf>
    <xf numFmtId="0" fontId="35" fillId="0" borderId="99" xfId="0" applyFont="1" applyBorder="1" applyAlignment="1">
      <alignment horizontal="center" vertical="center"/>
    </xf>
    <xf numFmtId="0" fontId="35" fillId="0" borderId="100" xfId="0" applyFont="1" applyBorder="1" applyAlignment="1">
      <alignment horizontal="center" vertical="center"/>
    </xf>
    <xf numFmtId="0" fontId="40" fillId="0" borderId="98" xfId="0" applyFont="1" applyBorder="1" applyAlignment="1">
      <alignment horizontal="center" vertical="center"/>
    </xf>
    <xf numFmtId="0" fontId="40" fillId="0" borderId="99" xfId="0" applyFont="1" applyBorder="1" applyAlignment="1">
      <alignment horizontal="center" vertical="center"/>
    </xf>
    <xf numFmtId="0" fontId="40" fillId="0" borderId="100" xfId="0" applyFont="1" applyBorder="1" applyAlignment="1">
      <alignment horizontal="center" vertical="center"/>
    </xf>
    <xf numFmtId="0" fontId="41" fillId="0" borderId="99" xfId="0" applyFont="1" applyBorder="1" applyAlignment="1">
      <alignment horizontal="center" vertical="center"/>
    </xf>
    <xf numFmtId="0" fontId="41" fillId="0" borderId="100" xfId="0" applyFont="1" applyBorder="1" applyAlignment="1">
      <alignment horizontal="center" vertical="center"/>
    </xf>
    <xf numFmtId="0" fontId="29" fillId="0" borderId="106" xfId="0" applyFont="1" applyFill="1" applyBorder="1" applyAlignment="1">
      <alignment horizontal="center" vertical="center" wrapText="1"/>
    </xf>
  </cellXfs>
  <cellStyles count="4">
    <cellStyle name="Milliers" xfId="1" builtinId="3"/>
    <cellStyle name="Normal" xfId="0" builtinId="0"/>
    <cellStyle name="Normal 3 7" xfId="2"/>
    <cellStyle name="Percentagem 2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1.xml"/></Relationships>
</file>

<file path=xl/charts/_rels/chart4.xml.rels><?xml version="1.0" encoding="UTF-8" standalone="yes"?>
<Relationships xmlns="http://schemas.openxmlformats.org/package/2006/relationships"><Relationship Id="rId2" Type="http://schemas.openxmlformats.org/officeDocument/2006/relationships/chartUserShapes" Target="../drawings/drawing5.xml"/><Relationship Id="rId1" Type="http://schemas.openxmlformats.org/officeDocument/2006/relationships/themeOverride" Target="../theme/themeOverride1.xml"/></Relationships>
</file>

<file path=xl/charts/_rels/chart5.xml.rels><?xml version="1.0" encoding="UTF-8" standalone="yes"?>
<Relationships xmlns="http://schemas.openxmlformats.org/package/2006/relationships"><Relationship Id="rId3" Type="http://schemas.microsoft.com/office/2011/relationships/chartStyle" Target="style1.xml"/><Relationship Id="rId2" Type="http://schemas.microsoft.com/office/2011/relationships/chartColorStyle" Target="colors1.xml"/><Relationship Id="rId1" Type="http://schemas.openxmlformats.org/officeDocument/2006/relationships/chartUserShapes" Target="../drawings/drawing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4.8672592661409685E-2"/>
          <c:y val="2.3676896324490989E-2"/>
          <c:w val="0.90708013596263515"/>
          <c:h val="0.92339895665514915"/>
        </c:manualLayout>
      </c:layout>
      <c:scatterChart>
        <c:scatterStyle val="lineMarker"/>
        <c:varyColors val="0"/>
        <c:ser>
          <c:idx val="0"/>
          <c:order val="0"/>
          <c:spPr>
            <a:ln w="19050">
              <a:solidFill>
                <a:schemeClr val="tx1"/>
              </a:solidFill>
            </a:ln>
          </c:spPr>
          <c:marker>
            <c:symbol val="star"/>
            <c:size val="2"/>
            <c:spPr>
              <a:solidFill>
                <a:schemeClr val="tx1"/>
              </a:solidFill>
              <a:ln w="19050">
                <a:solidFill>
                  <a:schemeClr val="tx1"/>
                </a:solidFill>
              </a:ln>
            </c:spPr>
          </c:marker>
          <c:xVal>
            <c:numRef>
              <c:f>'PAGE RECAP  P1'!$AC$18:$AC$28</c:f>
              <c:numCache>
                <c:formatCode>General</c:formatCode>
                <c:ptCount val="11"/>
                <c:pt idx="0">
                  <c:v>40</c:v>
                </c:pt>
                <c:pt idx="1">
                  <c:v>31.5</c:v>
                </c:pt>
                <c:pt idx="2">
                  <c:v>20</c:v>
                </c:pt>
                <c:pt idx="3">
                  <c:v>10</c:v>
                </c:pt>
                <c:pt idx="4">
                  <c:v>5</c:v>
                </c:pt>
                <c:pt idx="5">
                  <c:v>2</c:v>
                </c:pt>
                <c:pt idx="6">
                  <c:v>1</c:v>
                </c:pt>
                <c:pt idx="7">
                  <c:v>0.4</c:v>
                </c:pt>
                <c:pt idx="8">
                  <c:v>0.2</c:v>
                </c:pt>
                <c:pt idx="9">
                  <c:v>0.1</c:v>
                </c:pt>
                <c:pt idx="10">
                  <c:v>0.08</c:v>
                </c:pt>
              </c:numCache>
            </c:numRef>
          </c:xVal>
          <c:yVal>
            <c:numRef>
              <c:f>'PAGE RECAP  P1'!$AD$18:$AD$28</c:f>
              <c:numCache>
                <c:formatCode>0</c:formatCode>
                <c:ptCount val="11"/>
                <c:pt idx="0">
                  <c:v>100</c:v>
                </c:pt>
                <c:pt idx="1">
                  <c:v>100</c:v>
                </c:pt>
                <c:pt idx="2">
                  <c:v>100</c:v>
                </c:pt>
                <c:pt idx="3">
                  <c:v>100</c:v>
                </c:pt>
                <c:pt idx="4">
                  <c:v>99.533333333333331</c:v>
                </c:pt>
                <c:pt idx="5">
                  <c:v>99.033333333333331</c:v>
                </c:pt>
                <c:pt idx="6">
                  <c:v>98.033333333333331</c:v>
                </c:pt>
                <c:pt idx="7">
                  <c:v>88.666666666666671</c:v>
                </c:pt>
                <c:pt idx="8">
                  <c:v>70.233333333333334</c:v>
                </c:pt>
                <c:pt idx="9">
                  <c:v>28.833333333333329</c:v>
                </c:pt>
                <c:pt idx="10">
                  <c:v>25.233333333333334</c:v>
                </c:pt>
              </c:numCache>
            </c:numRef>
          </c:y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2-3FB6-48C4-9B23-CE69E9ACC47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24828416"/>
        <c:axId val="225617024"/>
      </c:scatterChart>
      <c:valAx>
        <c:axId val="224828416"/>
        <c:scaling>
          <c:logBase val="10"/>
          <c:orientation val="maxMin"/>
        </c:scaling>
        <c:delete val="0"/>
        <c:axPos val="b"/>
        <c:majorGridlines>
          <c:spPr>
            <a:ln w="3175">
              <a:solidFill>
                <a:srgbClr val="000000"/>
              </a:solidFill>
              <a:prstDash val="sysDash"/>
            </a:ln>
          </c:spPr>
        </c:majorGridlines>
        <c:minorGridlines>
          <c:spPr>
            <a:ln w="3175">
              <a:solidFill>
                <a:srgbClr val="000000"/>
              </a:solidFill>
              <a:prstDash val="solid"/>
            </a:ln>
          </c:spPr>
        </c:minorGridlines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fr-FR"/>
          </a:p>
        </c:txPr>
        <c:crossAx val="225617024"/>
        <c:crosses val="autoZero"/>
        <c:crossBetween val="midCat"/>
      </c:valAx>
      <c:valAx>
        <c:axId val="225617024"/>
        <c:scaling>
          <c:orientation val="minMax"/>
          <c:max val="10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ysDash"/>
            </a:ln>
          </c:spPr>
        </c:majorGridlines>
        <c:minorGridlines>
          <c:spPr>
            <a:ln w="3175">
              <a:solidFill>
                <a:srgbClr val="000000"/>
              </a:solidFill>
              <a:prstDash val="solid"/>
            </a:ln>
          </c:spPr>
        </c:minorGridlines>
        <c:numFmt formatCode="0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fr-FR"/>
          </a:p>
        </c:txPr>
        <c:crossAx val="224828416"/>
        <c:crosses val="max"/>
        <c:crossBetween val="midCat"/>
        <c:majorUnit val="10"/>
        <c:minorUnit val="2"/>
      </c:valAx>
      <c:spPr>
        <a:solidFill>
          <a:srgbClr val="FFFFFF"/>
        </a:solidFill>
        <a:ln w="12700">
          <a:solidFill>
            <a:srgbClr val="808080"/>
          </a:solidFill>
          <a:prstDash val="solid"/>
        </a:ln>
      </c:spPr>
    </c:plotArea>
    <c:plotVisOnly val="1"/>
    <c:dispBlanksAs val="gap"/>
    <c:showDLblsOverMax val="0"/>
  </c:chart>
  <c:spPr>
    <a:solidFill>
      <a:schemeClr val="accent4">
        <a:lumMod val="20000"/>
        <a:lumOff val="80000"/>
      </a:schemeClr>
    </a:solidFill>
    <a:ln w="3175">
      <a:solidFill>
        <a:srgbClr val="000000"/>
      </a:solidFill>
      <a:prstDash val="solid"/>
    </a:ln>
  </c:spPr>
  <c:txPr>
    <a:bodyPr/>
    <a:lstStyle/>
    <a:p>
      <a:pPr>
        <a:defRPr sz="8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fr-FR"/>
    </a:p>
  </c:txPr>
  <c:printSettings>
    <c:headerFooter alignWithMargins="0">
      <c:oddHeader>&amp;A</c:oddHeader>
      <c:oddFooter>Page &amp;P</c:oddFooter>
    </c:headerFooter>
    <c:pageMargins b="0.98425196899999956" l="0.78740157499999996" r="0.78740157499999996" t="0.98425196899999956" header="0.49212598450000022" footer="0.49212598450000022"/>
    <c:pageSetup paperSize="9" orientation="landscape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fr-CA" b="1"/>
              <a:t>Proctor</a:t>
            </a:r>
            <a:r>
              <a:rPr lang="fr-CA"/>
              <a:t>  </a:t>
            </a:r>
          </a:p>
        </c:rich>
      </c:tx>
      <c:layout>
        <c:manualLayout>
          <c:xMode val="edge"/>
          <c:yMode val="edge"/>
          <c:x val="0.43433274544385692"/>
          <c:y val="0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8.9249029056553145E-2"/>
          <c:y val="9.2843751673897912E-2"/>
          <c:w val="0.85711614070021425"/>
          <c:h val="0.71604665488242569"/>
        </c:manualLayout>
      </c:layout>
      <c:scatterChart>
        <c:scatterStyle val="lineMarker"/>
        <c:varyColors val="0"/>
        <c:ser>
          <c:idx val="4"/>
          <c:order val="0"/>
          <c:tx>
            <c:v>COURBE PROCTOR</c:v>
          </c:tx>
          <c:spPr>
            <a:ln w="28575">
              <a:noFill/>
            </a:ln>
          </c:spPr>
          <c:trendline>
            <c:spPr>
              <a:ln w="25400" cap="flat" cmpd="sng" algn="ctr">
                <a:solidFill>
                  <a:schemeClr val="dk1"/>
                </a:solidFill>
                <a:prstDash val="solid"/>
              </a:ln>
              <a:effectLst>
                <a:outerShdw blurRad="40000" dist="20000" dir="5400000" rotWithShape="0">
                  <a:srgbClr val="000000">
                    <a:alpha val="38000"/>
                  </a:srgbClr>
                </a:outerShdw>
              </a:effectLst>
            </c:spPr>
            <c:trendlineType val="poly"/>
            <c:order val="4"/>
            <c:dispRSqr val="0"/>
            <c:dispEq val="0"/>
          </c:trendline>
          <c:xVal>
            <c:numRef>
              <c:f>'PAGE RECAP  P1'!$B$43:$F$43</c:f>
              <c:numCache>
                <c:formatCode>0.0</c:formatCode>
                <c:ptCount val="5"/>
                <c:pt idx="0">
                  <c:v>6.0731823628206723</c:v>
                </c:pt>
                <c:pt idx="1">
                  <c:v>8.1632419995843719</c:v>
                </c:pt>
                <c:pt idx="2">
                  <c:v>10.01101281805002</c:v>
                </c:pt>
                <c:pt idx="3">
                  <c:v>12.243974722633084</c:v>
                </c:pt>
                <c:pt idx="4">
                  <c:v>14.06051614113079</c:v>
                </c:pt>
              </c:numCache>
            </c:numRef>
          </c:xVal>
          <c:yVal>
            <c:numRef>
              <c:f>'PAGE RECAP  P1'!$B$44:$F$44</c:f>
              <c:numCache>
                <c:formatCode>0.00</c:formatCode>
                <c:ptCount val="5"/>
                <c:pt idx="0">
                  <c:v>1.82576027636362</c:v>
                </c:pt>
                <c:pt idx="1">
                  <c:v>1.9369213792846265</c:v>
                </c:pt>
                <c:pt idx="2">
                  <c:v>1.9639005299893708</c:v>
                </c:pt>
                <c:pt idx="3">
                  <c:v>1.8806144892585459</c:v>
                </c:pt>
                <c:pt idx="4">
                  <c:v>1.710868598882805</c:v>
                </c:pt>
              </c:numCache>
            </c:numRef>
          </c:y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E008-4749-ADFD-AFC41A4CB485}"/>
            </c:ext>
          </c:extLst>
        </c:ser>
        <c:ser>
          <c:idx val="0"/>
          <c:order val="1"/>
          <c:spPr>
            <a:ln w="19050" cap="flat" cmpd="sng" algn="ctr">
              <a:solidFill>
                <a:srgbClr val="FF0000"/>
              </a:solidFill>
              <a:prstDash val="solid"/>
              <a:miter lim="800000"/>
            </a:ln>
            <a:effectLst/>
          </c:spPr>
          <c:marker>
            <c:spPr>
              <a:solidFill>
                <a:srgbClr val="0070C0"/>
              </a:solidFill>
              <a:ln w="19050" cap="flat" cmpd="sng" algn="ctr">
                <a:solidFill>
                  <a:srgbClr val="FF0000"/>
                </a:solidFill>
                <a:prstDash val="solid"/>
                <a:miter lim="800000"/>
              </a:ln>
              <a:effectLst/>
            </c:spPr>
          </c:marker>
          <c:xVal>
            <c:numRef>
              <c:f>'PAGE RECAP  P1'!$X$54:$X$55</c:f>
              <c:numCache>
                <c:formatCode>General</c:formatCode>
                <c:ptCount val="2"/>
                <c:pt idx="0">
                  <c:v>9.6999999999999993</c:v>
                </c:pt>
                <c:pt idx="1">
                  <c:v>9.6999999999999993</c:v>
                </c:pt>
              </c:numCache>
            </c:numRef>
          </c:xVal>
          <c:yVal>
            <c:numRef>
              <c:f>'PAGE RECAP  P1'!$Y$54:$Y$55</c:f>
              <c:numCache>
                <c:formatCode>General</c:formatCode>
                <c:ptCount val="2"/>
                <c:pt idx="0">
                  <c:v>1.9650000000000001</c:v>
                </c:pt>
                <c:pt idx="1">
                  <c:v>1.78</c:v>
                </c:pt>
              </c:numCache>
            </c:numRef>
          </c:y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1-E008-4749-ADFD-AFC41A4CB485}"/>
            </c:ext>
          </c:extLst>
        </c:ser>
        <c:ser>
          <c:idx val="1"/>
          <c:order val="2"/>
          <c:spPr>
            <a:ln w="19050" cap="flat" cmpd="sng" algn="ctr">
              <a:solidFill>
                <a:srgbClr val="FF0000"/>
              </a:solidFill>
              <a:prstDash val="solid"/>
              <a:miter lim="800000"/>
            </a:ln>
            <a:effectLst/>
          </c:spPr>
          <c:marker>
            <c:spPr>
              <a:solidFill>
                <a:srgbClr val="0070C0"/>
              </a:solidFill>
              <a:ln w="19050" cap="flat" cmpd="sng" algn="ctr">
                <a:solidFill>
                  <a:srgbClr val="FF0000"/>
                </a:solidFill>
                <a:prstDash val="solid"/>
                <a:miter lim="800000"/>
              </a:ln>
              <a:effectLst/>
            </c:spPr>
          </c:marker>
          <c:xVal>
            <c:numRef>
              <c:f>'PAGE RECAP  P1'!$Y$57:$Y$58</c:f>
              <c:numCache>
                <c:formatCode>General</c:formatCode>
                <c:ptCount val="2"/>
                <c:pt idx="0">
                  <c:v>9.6999999999999993</c:v>
                </c:pt>
                <c:pt idx="1">
                  <c:v>0</c:v>
                </c:pt>
              </c:numCache>
            </c:numRef>
          </c:xVal>
          <c:yVal>
            <c:numRef>
              <c:f>'PAGE RECAP  P1'!$X$57:$X$58</c:f>
              <c:numCache>
                <c:formatCode>General</c:formatCode>
                <c:ptCount val="2"/>
                <c:pt idx="0">
                  <c:v>1.9650000000000001</c:v>
                </c:pt>
                <c:pt idx="1">
                  <c:v>1.9650000000000001</c:v>
                </c:pt>
              </c:numCache>
            </c:numRef>
          </c:y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2-E008-4749-ADFD-AFC41A4CB48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26781440"/>
        <c:axId val="265753728"/>
      </c:scatterChart>
      <c:valAx>
        <c:axId val="226781440"/>
        <c:scaling>
          <c:orientation val="minMax"/>
          <c:max val="16"/>
          <c:min val="4"/>
        </c:scaling>
        <c:delete val="0"/>
        <c:axPos val="b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minorGridlines>
          <c:spPr>
            <a:ln w="3175">
              <a:solidFill>
                <a:srgbClr val="000000"/>
              </a:solidFill>
              <a:prstDash val="solid"/>
            </a:ln>
          </c:spPr>
        </c:minorGridlines>
        <c:title>
          <c:tx>
            <c:rich>
              <a:bodyPr/>
              <a:lstStyle/>
              <a:p>
                <a:pPr>
                  <a:defRPr sz="12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fr-FR" sz="1000"/>
                  <a:t>w%</a:t>
                </a:r>
              </a:p>
            </c:rich>
          </c:tx>
          <c:layout>
            <c:manualLayout>
              <c:xMode val="edge"/>
              <c:yMode val="edge"/>
              <c:x val="0.44558698681183401"/>
              <c:y val="0.9104022711446782"/>
            </c:manualLayout>
          </c:layout>
          <c:overlay val="0"/>
          <c:spPr>
            <a:noFill/>
            <a:ln w="25400">
              <a:noFill/>
            </a:ln>
          </c:spPr>
        </c:title>
        <c:numFmt formatCode="0.0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fr-FR"/>
          </a:p>
        </c:txPr>
        <c:crossAx val="265753728"/>
        <c:crossesAt val="1.2"/>
        <c:crossBetween val="midCat"/>
        <c:majorUnit val="2"/>
      </c:valAx>
      <c:valAx>
        <c:axId val="265753728"/>
        <c:scaling>
          <c:orientation val="minMax"/>
          <c:max val="1.9800000000000004"/>
          <c:min val="1.7000000000000002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minorGridlines>
          <c:spPr>
            <a:ln w="3175">
              <a:solidFill>
                <a:srgbClr val="000000"/>
              </a:solidFill>
              <a:prstDash val="solid"/>
            </a:ln>
          </c:spPr>
        </c:minorGridlines>
        <c:title>
          <c:tx>
            <c:rich>
              <a:bodyPr/>
              <a:lstStyle/>
              <a:p>
                <a:pPr>
                  <a:defRPr sz="12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fr-FR" sz="800" b="1"/>
                  <a:t>kN/m3</a:t>
                </a:r>
              </a:p>
            </c:rich>
          </c:tx>
          <c:layout>
            <c:manualLayout>
              <c:xMode val="edge"/>
              <c:yMode val="edge"/>
              <c:x val="3.3018203733117049E-2"/>
              <c:y val="0.55711607477636649"/>
            </c:manualLayout>
          </c:layout>
          <c:overlay val="0"/>
          <c:spPr>
            <a:noFill/>
            <a:ln w="25400">
              <a:noFill/>
            </a:ln>
          </c:spPr>
        </c:title>
        <c:numFmt formatCode="0.00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fr-FR"/>
          </a:p>
        </c:txPr>
        <c:crossAx val="226781440"/>
        <c:crossesAt val="1"/>
        <c:crossBetween val="midCat"/>
        <c:majorUnit val="4.0000000000000022E-2"/>
        <c:minorUnit val="4.0000000000000027E-3"/>
      </c:valAx>
      <c:spPr>
        <a:solidFill>
          <a:srgbClr val="FFFFFF"/>
        </a:solidFill>
        <a:ln w="12700">
          <a:solidFill>
            <a:srgbClr val="808080"/>
          </a:solidFill>
          <a:prstDash val="solid"/>
        </a:ln>
      </c:spPr>
    </c:plotArea>
    <c:plotVisOnly val="1"/>
    <c:dispBlanksAs val="gap"/>
    <c:showDLblsOverMax val="0"/>
  </c:chart>
  <c:spPr>
    <a:solidFill>
      <a:schemeClr val="accent4">
        <a:lumMod val="20000"/>
        <a:lumOff val="80000"/>
      </a:schemeClr>
    </a:solidFill>
    <a:ln w="3175">
      <a:solidFill>
        <a:srgbClr val="000000"/>
      </a:solidFill>
      <a:prstDash val="solid"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fr-FR"/>
    </a:p>
  </c:txPr>
  <c:printSettings>
    <c:headerFooter alignWithMargins="0">
      <c:oddHeader>&amp;A</c:oddHeader>
      <c:oddFooter>Page &amp;P</c:oddFooter>
    </c:headerFooter>
    <c:pageMargins b="0.98425196899999956" l="0.78740157499999996" r="0.78740157499999996" t="0.98425196899999956" header="0.49212598450000022" footer="0.4921259845000002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b="1"/>
            </a:pPr>
            <a:r>
              <a:rPr lang="en-US" b="1"/>
              <a:t>CBR</a:t>
            </a:r>
          </a:p>
        </c:rich>
      </c:tx>
      <c:layout>
        <c:manualLayout>
          <c:xMode val="edge"/>
          <c:yMode val="edge"/>
          <c:x val="0.44491230441688351"/>
          <c:y val="0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7.7654644579243884E-2"/>
          <c:y val="8.8236366287547524E-2"/>
          <c:w val="0.8969896006072956"/>
          <c:h val="0.7613020377661126"/>
        </c:manualLayout>
      </c:layout>
      <c:scatterChart>
        <c:scatterStyle val="lineMarker"/>
        <c:varyColors val="0"/>
        <c:ser>
          <c:idx val="0"/>
          <c:order val="0"/>
          <c:tx>
            <c:v>GBR</c:v>
          </c:tx>
          <c:spPr>
            <a:ln w="25400" cap="flat" cmpd="sng" algn="ctr">
              <a:solidFill>
                <a:schemeClr val="dk1"/>
              </a:solidFill>
              <a:prstDash val="solid"/>
            </a:ln>
            <a:effectLst/>
          </c:spPr>
          <c:marker>
            <c:symbol val="square"/>
            <c:size val="15"/>
            <c:spPr>
              <a:solidFill>
                <a:srgbClr val="002060"/>
              </a:solidFill>
              <a:ln w="25400" cap="flat" cmpd="sng" algn="ctr">
                <a:solidFill>
                  <a:schemeClr val="dk1"/>
                </a:solidFill>
                <a:prstDash val="solid"/>
              </a:ln>
              <a:effectLst/>
            </c:spPr>
          </c:marker>
          <c:dPt>
            <c:idx val="0"/>
            <c:marker>
              <c:symbol val="square"/>
              <c:size val="13"/>
            </c:marker>
            <c:bubble3D val="0"/>
            <c:extLst xmlns:c16r2="http://schemas.microsoft.com/office/drawing/2015/06/chart">
              <c:ext xmlns:c16="http://schemas.microsoft.com/office/drawing/2014/chart" uri="{C3380CC4-5D6E-409C-BE32-E72D297353CC}">
                <c16:uniqueId val="{00000000-8BD8-4536-BA9E-CD6A98ED79F2}"/>
              </c:ext>
            </c:extLst>
          </c:dPt>
          <c:dPt>
            <c:idx val="1"/>
            <c:marker>
              <c:symbol val="triangle"/>
              <c:size val="13"/>
            </c:marker>
            <c:bubble3D val="0"/>
            <c:extLst xmlns:c16r2="http://schemas.microsoft.com/office/drawing/2015/06/chart">
              <c:ext xmlns:c16="http://schemas.microsoft.com/office/drawing/2014/chart" uri="{C3380CC4-5D6E-409C-BE32-E72D297353CC}">
                <c16:uniqueId val="{00000001-8BD8-4536-BA9E-CD6A98ED79F2}"/>
              </c:ext>
            </c:extLst>
          </c:dPt>
          <c:dPt>
            <c:idx val="2"/>
            <c:marker>
              <c:symbol val="circle"/>
              <c:size val="13"/>
            </c:marker>
            <c:bubble3D val="0"/>
            <c:extLst xmlns:c16r2="http://schemas.microsoft.com/office/drawing/2015/06/chart">
              <c:ext xmlns:c16="http://schemas.microsoft.com/office/drawing/2014/chart" uri="{C3380CC4-5D6E-409C-BE32-E72D297353CC}">
                <c16:uniqueId val="{00000002-8BD8-4536-BA9E-CD6A98ED79F2}"/>
              </c:ext>
            </c:extLst>
          </c:dPt>
          <c:xVal>
            <c:numRef>
              <c:f>'PAGE RECAP  P1'!$M$43:$O$43</c:f>
              <c:numCache>
                <c:formatCode>0</c:formatCode>
                <c:ptCount val="3"/>
                <c:pt idx="0">
                  <c:v>18.896643343051512</c:v>
                </c:pt>
                <c:pt idx="1">
                  <c:v>12.452076773566572</c:v>
                </c:pt>
                <c:pt idx="2">
                  <c:v>6.6327293488824113</c:v>
                </c:pt>
              </c:numCache>
            </c:numRef>
          </c:xVal>
          <c:yVal>
            <c:numRef>
              <c:f>('PAGE RECAP  P1'!$M$44,'PAGE RECAP  P1'!$N$44,'PAGE RECAP  P1'!$O$44)</c:f>
              <c:numCache>
                <c:formatCode>0.00</c:formatCode>
                <c:ptCount val="3"/>
                <c:pt idx="0">
                  <c:v>1.9652717520036695</c:v>
                </c:pt>
                <c:pt idx="1">
                  <c:v>1.8667540165802476</c:v>
                </c:pt>
                <c:pt idx="2">
                  <c:v>1.7687547745023489</c:v>
                </c:pt>
              </c:numCache>
            </c:numRef>
          </c:y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3-8BD8-4536-BA9E-CD6A98ED79F2}"/>
            </c:ext>
          </c:extLst>
        </c:ser>
        <c:ser>
          <c:idx val="1"/>
          <c:order val="1"/>
          <c:spPr>
            <a:ln>
              <a:solidFill>
                <a:srgbClr val="FF0000"/>
              </a:solidFill>
            </a:ln>
          </c:spPr>
          <c:marker>
            <c:spPr>
              <a:ln>
                <a:solidFill>
                  <a:srgbClr val="FF0000"/>
                </a:solidFill>
              </a:ln>
            </c:spPr>
          </c:marker>
          <c:xVal>
            <c:numRef>
              <c:f>'PAGE RECAP  P1'!$X$47:$X$48</c:f>
              <c:numCache>
                <c:formatCode>0.00</c:formatCode>
                <c:ptCount val="2"/>
                <c:pt idx="0">
                  <c:v>12.4</c:v>
                </c:pt>
                <c:pt idx="1">
                  <c:v>12.4</c:v>
                </c:pt>
              </c:numCache>
            </c:numRef>
          </c:xVal>
          <c:yVal>
            <c:numRef>
              <c:f>'PAGE RECAP  P1'!$Y$47:$Y$48</c:f>
              <c:numCache>
                <c:formatCode>0.00</c:formatCode>
                <c:ptCount val="2"/>
                <c:pt idx="0">
                  <c:v>1.8667499999999999</c:v>
                </c:pt>
                <c:pt idx="1">
                  <c:v>1.75</c:v>
                </c:pt>
              </c:numCache>
            </c:numRef>
          </c:y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4-8BD8-4536-BA9E-CD6A98ED79F2}"/>
            </c:ext>
          </c:extLst>
        </c:ser>
        <c:ser>
          <c:idx val="2"/>
          <c:order val="2"/>
          <c:spPr>
            <a:ln>
              <a:solidFill>
                <a:srgbClr val="FF0000"/>
              </a:solidFill>
            </a:ln>
          </c:spPr>
          <c:marker>
            <c:spPr>
              <a:solidFill>
                <a:srgbClr val="FF0000"/>
              </a:solidFill>
              <a:ln>
                <a:solidFill>
                  <a:srgbClr val="FF0000"/>
                </a:solidFill>
              </a:ln>
            </c:spPr>
          </c:marker>
          <c:xVal>
            <c:numRef>
              <c:f>'PAGE RECAP  P1'!$X$50:$X$51</c:f>
              <c:numCache>
                <c:formatCode>0.00</c:formatCode>
                <c:ptCount val="2"/>
                <c:pt idx="0" formatCode="0">
                  <c:v>6</c:v>
                </c:pt>
                <c:pt idx="1">
                  <c:v>12.4</c:v>
                </c:pt>
              </c:numCache>
            </c:numRef>
          </c:xVal>
          <c:yVal>
            <c:numRef>
              <c:f>'PAGE RECAP  P1'!$Y$50:$Y$51</c:f>
              <c:numCache>
                <c:formatCode>0.00</c:formatCode>
                <c:ptCount val="2"/>
                <c:pt idx="0">
                  <c:v>1.8667499999999999</c:v>
                </c:pt>
                <c:pt idx="1">
                  <c:v>1.8667499999999999</c:v>
                </c:pt>
              </c:numCache>
            </c:numRef>
          </c:y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5-8BD8-4536-BA9E-CD6A98ED79F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26874496"/>
        <c:axId val="226876800"/>
      </c:scatterChart>
      <c:valAx>
        <c:axId val="226874496"/>
        <c:scaling>
          <c:orientation val="minMax"/>
          <c:max val="20"/>
          <c:min val="6"/>
        </c:scaling>
        <c:delete val="0"/>
        <c:axPos val="b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minorGridlines>
          <c:spPr>
            <a:ln w="3175">
              <a:solidFill>
                <a:srgbClr val="000000"/>
              </a:solidFill>
              <a:prstDash val="sysDash"/>
            </a:ln>
          </c:spPr>
        </c:minorGridlines>
        <c:title>
          <c:tx>
            <c:rich>
              <a:bodyPr/>
              <a:lstStyle/>
              <a:p>
                <a:pPr>
                  <a:defRPr sz="8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fr-FR"/>
                  <a:t>IP</a:t>
                </a:r>
                <a:r>
                  <a:rPr lang="fr-FR" baseline="0"/>
                  <a:t> </a:t>
                </a:r>
                <a:r>
                  <a:rPr lang="fr-FR"/>
                  <a:t>CBR</a:t>
                </a:r>
              </a:p>
            </c:rich>
          </c:tx>
          <c:layout>
            <c:manualLayout>
              <c:xMode val="edge"/>
              <c:yMode val="edge"/>
              <c:x val="0.48492622776638722"/>
              <c:y val="0.92570354553138479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fr-FR"/>
          </a:p>
        </c:txPr>
        <c:crossAx val="226876800"/>
        <c:crossesAt val="1.4"/>
        <c:crossBetween val="midCat"/>
        <c:majorUnit val="8"/>
        <c:minorUnit val="0.8"/>
      </c:valAx>
      <c:valAx>
        <c:axId val="226876800"/>
        <c:scaling>
          <c:orientation val="minMax"/>
          <c:max val="1.9900000000000004"/>
          <c:min val="1.7500000000000002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minorGridlines>
          <c:spPr>
            <a:ln w="3175">
              <a:solidFill>
                <a:srgbClr val="000000"/>
              </a:solidFill>
              <a:prstDash val="solid"/>
            </a:ln>
          </c:spPr>
        </c:minorGridlines>
        <c:title>
          <c:tx>
            <c:rich>
              <a:bodyPr/>
              <a:lstStyle/>
              <a:p>
                <a:pPr>
                  <a:defRPr sz="8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fr-FR" b="1"/>
                  <a:t>kN/m3</a:t>
                </a:r>
              </a:p>
            </c:rich>
          </c:tx>
          <c:layout>
            <c:manualLayout>
              <c:xMode val="edge"/>
              <c:yMode val="edge"/>
              <c:x val="1.3482977367664612E-2"/>
              <c:y val="0.53789692434899261"/>
            </c:manualLayout>
          </c:layout>
          <c:overlay val="0"/>
          <c:spPr>
            <a:noFill/>
            <a:ln w="25400">
              <a:noFill/>
            </a:ln>
          </c:spPr>
        </c:title>
        <c:numFmt formatCode="0.00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fr-FR"/>
          </a:p>
        </c:txPr>
        <c:crossAx val="226874496"/>
        <c:crossesAt val="0"/>
        <c:crossBetween val="midCat"/>
        <c:majorUnit val="4.0000000000000022E-2"/>
        <c:minorUnit val="4.0000000000000027E-3"/>
      </c:valAx>
      <c:spPr>
        <a:solidFill>
          <a:srgbClr val="FFFFFF"/>
        </a:solidFill>
        <a:ln w="12700">
          <a:solidFill>
            <a:srgbClr val="808080"/>
          </a:solidFill>
          <a:prstDash val="solid"/>
        </a:ln>
      </c:spPr>
    </c:plotArea>
    <c:plotVisOnly val="1"/>
    <c:dispBlanksAs val="gap"/>
    <c:showDLblsOverMax val="0"/>
  </c:chart>
  <c:spPr>
    <a:solidFill>
      <a:schemeClr val="accent4">
        <a:lumMod val="20000"/>
        <a:lumOff val="80000"/>
      </a:schemeClr>
    </a:solidFill>
    <a:ln w="3175">
      <a:solidFill>
        <a:srgbClr val="000000"/>
      </a:solidFill>
      <a:prstDash val="solid"/>
    </a:ln>
  </c:spPr>
  <c:txPr>
    <a:bodyPr/>
    <a:lstStyle/>
    <a:p>
      <a:pPr>
        <a:defRPr sz="8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fr-FR"/>
    </a:p>
  </c:txPr>
  <c:printSettings>
    <c:headerFooter alignWithMargins="0">
      <c:oddHeader>&amp;A</c:oddHeader>
      <c:oddFooter>Page &amp;P</c:oddFooter>
    </c:headerFooter>
    <c:pageMargins b="0.98425196899999956" l="0.78740157499999996" r="0.78740157499999996" t="0.98425196899999956" header="0.49212598450000022" footer="0.49212598450000022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/>
          <a:lstStyle/>
          <a:p>
            <a:pPr>
              <a:defRPr sz="1200" b="1"/>
            </a:pPr>
            <a:r>
              <a:rPr lang="en-US" sz="1200" b="1"/>
              <a:t>COURBE GRANULOMÉTRIQUE</a:t>
            </a:r>
          </a:p>
        </c:rich>
      </c:tx>
      <c:layout>
        <c:manualLayout>
          <c:xMode val="edge"/>
          <c:yMode val="edge"/>
          <c:x val="0.30634991119005373"/>
          <c:y val="0.10704131125606289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5.8265582655826563E-2"/>
          <c:y val="0.29175946547884246"/>
          <c:w val="0.86991869918699183"/>
          <c:h val="0.56124721603563565"/>
        </c:manualLayout>
      </c:layout>
      <c:scatterChart>
        <c:scatterStyle val="lineMarker"/>
        <c:varyColors val="0"/>
        <c:ser>
          <c:idx val="1"/>
          <c:order val="0"/>
          <c:spPr>
            <a:ln w="28575">
              <a:solidFill>
                <a:srgbClr val="00B050"/>
              </a:solidFill>
            </a:ln>
            <a:effectLst/>
          </c:spPr>
          <c:marker>
            <c:spPr>
              <a:solidFill>
                <a:srgbClr val="92D050"/>
              </a:solidFill>
              <a:ln w="28575" cap="flat" cmpd="sng" algn="ctr">
                <a:solidFill>
                  <a:srgbClr val="00B050"/>
                </a:solidFill>
                <a:prstDash val="solid"/>
              </a:ln>
              <a:effectLst/>
            </c:spPr>
          </c:marker>
          <c:xVal>
            <c:numRef>
              <c:f>'Courbe P1 (2)'!$T$19:$T$29</c:f>
              <c:numCache>
                <c:formatCode>General</c:formatCode>
                <c:ptCount val="11"/>
                <c:pt idx="0">
                  <c:v>40</c:v>
                </c:pt>
                <c:pt idx="1">
                  <c:v>31.5</c:v>
                </c:pt>
                <c:pt idx="2">
                  <c:v>20</c:v>
                </c:pt>
                <c:pt idx="3">
                  <c:v>10</c:v>
                </c:pt>
                <c:pt idx="4">
                  <c:v>5</c:v>
                </c:pt>
                <c:pt idx="5">
                  <c:v>2</c:v>
                </c:pt>
                <c:pt idx="6">
                  <c:v>1</c:v>
                </c:pt>
                <c:pt idx="7">
                  <c:v>0.4</c:v>
                </c:pt>
                <c:pt idx="8">
                  <c:v>0.2</c:v>
                </c:pt>
                <c:pt idx="9">
                  <c:v>0.1</c:v>
                </c:pt>
                <c:pt idx="10">
                  <c:v>0.08</c:v>
                </c:pt>
              </c:numCache>
            </c:numRef>
          </c:xVal>
          <c:yVal>
            <c:numRef>
              <c:f>'Courbe P1 (2)'!$U$19:$U$29</c:f>
              <c:numCache>
                <c:formatCode>0</c:formatCode>
                <c:ptCount val="11"/>
                <c:pt idx="0" formatCode="General">
                  <c:v>100</c:v>
                </c:pt>
                <c:pt idx="1">
                  <c:v>100</c:v>
                </c:pt>
                <c:pt idx="2">
                  <c:v>100</c:v>
                </c:pt>
                <c:pt idx="3">
                  <c:v>100</c:v>
                </c:pt>
                <c:pt idx="4">
                  <c:v>99.533333333333331</c:v>
                </c:pt>
                <c:pt idx="5">
                  <c:v>99.033333333333331</c:v>
                </c:pt>
                <c:pt idx="6">
                  <c:v>98.033333333333331</c:v>
                </c:pt>
                <c:pt idx="7">
                  <c:v>88.666666666666671</c:v>
                </c:pt>
                <c:pt idx="8">
                  <c:v>70.233333333333334</c:v>
                </c:pt>
                <c:pt idx="9">
                  <c:v>28.833333333333329</c:v>
                </c:pt>
                <c:pt idx="10">
                  <c:v>25.233333333333334</c:v>
                </c:pt>
              </c:numCache>
            </c:numRef>
          </c:y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0015-4A76-88B5-561706D10F0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42583808"/>
        <c:axId val="242606848"/>
      </c:scatterChart>
      <c:valAx>
        <c:axId val="242583808"/>
        <c:scaling>
          <c:logBase val="10"/>
          <c:orientation val="maxMin"/>
          <c:max val="100"/>
          <c:min val="1.0000000000000022E-4"/>
        </c:scaling>
        <c:delete val="0"/>
        <c:axPos val="b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minorGridlines>
          <c:spPr>
            <a:ln w="3175">
              <a:solidFill>
                <a:srgbClr val="000000"/>
              </a:solidFill>
              <a:prstDash val="solid"/>
            </a:ln>
          </c:spPr>
        </c:minorGridlines>
        <c:title>
          <c:tx>
            <c:rich>
              <a:bodyPr/>
              <a:lstStyle/>
              <a:p>
                <a:pPr>
                  <a:defRPr b="1"/>
                </a:pPr>
                <a:r>
                  <a:rPr lang="fr-FR" b="1"/>
                  <a:t>Ouverture nominale</a:t>
                </a:r>
                <a:r>
                  <a:rPr lang="fr-FR" b="1" baseline="0"/>
                  <a:t> des tamis à maille carrés</a:t>
                </a:r>
                <a:endParaRPr lang="fr-FR" b="1"/>
              </a:p>
            </c:rich>
          </c:tx>
          <c:layout>
            <c:manualLayout>
              <c:xMode val="edge"/>
              <c:yMode val="edge"/>
              <c:x val="0.23748933581348536"/>
              <c:y val="0.91025123364847937"/>
            </c:manualLayout>
          </c:layout>
          <c:overlay val="0"/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fr-FR"/>
          </a:p>
        </c:txPr>
        <c:crossAx val="242606848"/>
        <c:crosses val="autoZero"/>
        <c:crossBetween val="midCat"/>
        <c:majorUnit val="10"/>
      </c:valAx>
      <c:valAx>
        <c:axId val="242606848"/>
        <c:scaling>
          <c:orientation val="minMax"/>
          <c:max val="100"/>
        </c:scaling>
        <c:delete val="0"/>
        <c:axPos val="r"/>
        <c:majorGridlines>
          <c:spPr>
            <a:ln w="12700">
              <a:solidFill>
                <a:srgbClr val="424242"/>
              </a:solidFill>
              <a:prstDash val="solid"/>
            </a:ln>
          </c:spPr>
        </c:majorGridlines>
        <c:minorGridlines>
          <c:spPr>
            <a:ln w="3175">
              <a:solidFill>
                <a:srgbClr val="000000"/>
              </a:solidFill>
              <a:prstDash val="solid"/>
            </a:ln>
          </c:spPr>
        </c:minorGridlines>
        <c:title>
          <c:overlay val="0"/>
        </c:title>
        <c:numFmt formatCode="0" sourceLinked="0"/>
        <c:majorTickMark val="out"/>
        <c:minorTickMark val="none"/>
        <c:tickLblPos val="high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fr-FR"/>
          </a:p>
        </c:txPr>
        <c:crossAx val="242583808"/>
        <c:crossesAt val="100"/>
        <c:crossBetween val="midCat"/>
        <c:majorUnit val="10"/>
        <c:minorUnit val="2"/>
      </c:valAx>
      <c:spPr>
        <a:noFill/>
        <a:ln w="12700">
          <a:solidFill>
            <a:srgbClr val="808080"/>
          </a:solidFill>
          <a:prstDash val="solid"/>
        </a:ln>
      </c:spPr>
    </c:plotArea>
    <c:plotVisOnly val="1"/>
    <c:dispBlanksAs val="gap"/>
    <c:showDLblsOverMax val="0"/>
  </c:chart>
  <c:spPr>
    <a:solidFill>
      <a:srgbClr val="FFFFFF"/>
    </a:solidFill>
    <a:ln w="12700">
      <a:solidFill>
        <a:srgbClr val="000000"/>
      </a:solidFill>
      <a:prstDash val="solid"/>
    </a:ln>
  </c:spPr>
  <c:txPr>
    <a:bodyPr/>
    <a:lstStyle/>
    <a:p>
      <a:pPr>
        <a:defRPr sz="8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fr-FR"/>
    </a:p>
  </c:txPr>
  <c:printSettings>
    <c:headerFooter alignWithMargins="0"/>
    <c:pageMargins b="0.98425196899999956" l="0.78740157499999996" r="0.61000000000000065" t="0.98425196899999956" header="0.4921259845000005" footer="0.4921259845000005"/>
    <c:pageSetup paperSize="9" orientation="landscape" horizontalDpi="300" verticalDpi="300"/>
  </c:printSettings>
  <c:userShapes r:id="rId2"/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 b="1"/>
              <a:t>Courbe</a:t>
            </a:r>
            <a:r>
              <a:rPr lang="fr-FR" b="1" baseline="0"/>
              <a:t> Proctor P 2 4 ème  couche </a:t>
            </a:r>
          </a:p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 b="1"/>
          </a:p>
        </c:rich>
      </c:tx>
      <c:layout>
        <c:manualLayout>
          <c:xMode val="edge"/>
          <c:yMode val="edge"/>
          <c:x val="0.37659049152449481"/>
          <c:y val="5.6713365902521743E-3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6.6160907968695712E-2"/>
          <c:y val="0.16802168021680219"/>
          <c:w val="0.90537158882536894"/>
          <c:h val="0.73334272240360243"/>
        </c:manualLayout>
      </c:layout>
      <c:scatterChart>
        <c:scatterStyle val="lineMarker"/>
        <c:varyColors val="0"/>
        <c:ser>
          <c:idx val="0"/>
          <c:order val="0"/>
          <c:tx>
            <c:v>COURBE PROCTOR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5875" cap="flat" cmpd="sng" algn="ctr">
                <a:solidFill>
                  <a:srgbClr val="FF0000">
                    <a:alpha val="98000"/>
                  </a:srgbClr>
                </a:solidFill>
                <a:prstDash val="solid"/>
                <a:miter lim="800000"/>
              </a:ln>
              <a:effectLst/>
            </c:spPr>
            <c:trendlineType val="poly"/>
            <c:order val="4"/>
            <c:dispRSqr val="0"/>
            <c:dispEq val="0"/>
          </c:trendline>
          <c:xVal>
            <c:numRef>
              <c:f>('Proctor C01'!$B$41,'Proctor C01'!$D$41,'Proctor C01'!$F$41,'Proctor C01'!$H$41,'Proctor C01'!$J$41)</c:f>
              <c:numCache>
                <c:formatCode>0.0</c:formatCode>
                <c:ptCount val="5"/>
                <c:pt idx="0">
                  <c:v>6.0731823628206723</c:v>
                </c:pt>
                <c:pt idx="1">
                  <c:v>8.1632419995843719</c:v>
                </c:pt>
                <c:pt idx="2">
                  <c:v>10.01101281805002</c:v>
                </c:pt>
                <c:pt idx="3">
                  <c:v>12.243974722633084</c:v>
                </c:pt>
                <c:pt idx="4">
                  <c:v>14.06051614113079</c:v>
                </c:pt>
              </c:numCache>
            </c:numRef>
          </c:xVal>
          <c:yVal>
            <c:numRef>
              <c:f>('Proctor C01'!$B$33,'Proctor C01'!$D$33,'Proctor C01'!$F$33,'Proctor C01'!$H$33,'Proctor C01'!$J$33)</c:f>
              <c:numCache>
                <c:formatCode>0.00</c:formatCode>
                <c:ptCount val="5"/>
                <c:pt idx="0">
                  <c:v>1.82576027636362</c:v>
                </c:pt>
                <c:pt idx="1">
                  <c:v>1.9369213792846265</c:v>
                </c:pt>
                <c:pt idx="2">
                  <c:v>1.9639005299893708</c:v>
                </c:pt>
                <c:pt idx="3">
                  <c:v>1.8806144892585459</c:v>
                </c:pt>
                <c:pt idx="4">
                  <c:v>1.710868598882805</c:v>
                </c:pt>
              </c:numCache>
            </c:numRef>
          </c:y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B16E-468F-B5EA-706963D07BE2}"/>
            </c:ext>
          </c:extLst>
        </c:ser>
        <c:ser>
          <c:idx val="1"/>
          <c:order val="1"/>
          <c:tx>
            <c:strRef>
              <c:f>'Proctor C01'!$O$52:$O$53</c:f>
              <c:strCache>
                <c:ptCount val="1"/>
                <c:pt idx="0">
                  <c:v>1,965 1,78</c:v>
                </c:pt>
              </c:strCache>
            </c:strRef>
          </c:tx>
          <c:spPr>
            <a:ln w="22225" cap="flat" cmpd="sng" algn="ctr">
              <a:solidFill>
                <a:srgbClr val="FF0000"/>
              </a:solidFill>
              <a:prstDash val="sysDash"/>
              <a:miter lim="800000"/>
            </a:ln>
            <a:effectLst/>
          </c:spPr>
          <c:marker>
            <c:symbol val="circle"/>
            <c:size val="5"/>
            <c:spPr>
              <a:solidFill>
                <a:srgbClr val="FF0000"/>
              </a:solidFill>
              <a:ln w="12700" cap="flat" cmpd="sng" algn="ctr">
                <a:solidFill>
                  <a:srgbClr val="FF0000"/>
                </a:solidFill>
                <a:prstDash val="sysDash"/>
                <a:miter lim="800000"/>
              </a:ln>
              <a:effectLst/>
            </c:spPr>
          </c:marker>
          <c:xVal>
            <c:numRef>
              <c:f>'Proctor C01'!$N$52:$N$53</c:f>
              <c:numCache>
                <c:formatCode>General</c:formatCode>
                <c:ptCount val="2"/>
                <c:pt idx="0">
                  <c:v>9.6999999999999993</c:v>
                </c:pt>
                <c:pt idx="1">
                  <c:v>9.6999999999999993</c:v>
                </c:pt>
              </c:numCache>
            </c:numRef>
          </c:xVal>
          <c:yVal>
            <c:numRef>
              <c:f>'Proctor C01'!$O$52:$O$53</c:f>
              <c:numCache>
                <c:formatCode>General</c:formatCode>
                <c:ptCount val="2"/>
                <c:pt idx="0">
                  <c:v>1.9650000000000001</c:v>
                </c:pt>
                <c:pt idx="1">
                  <c:v>1.78</c:v>
                </c:pt>
              </c:numCache>
            </c:numRef>
          </c:y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1-B16E-468F-B5EA-706963D07BE2}"/>
            </c:ext>
          </c:extLst>
        </c:ser>
        <c:ser>
          <c:idx val="2"/>
          <c:order val="2"/>
          <c:spPr>
            <a:ln w="19050" cap="flat" cmpd="sng" algn="ctr">
              <a:solidFill>
                <a:srgbClr val="FF0000"/>
              </a:solidFill>
              <a:prstDash val="solid"/>
              <a:miter lim="800000"/>
            </a:ln>
            <a:effectLst/>
          </c:spPr>
          <c:marker>
            <c:symbol val="circle"/>
            <c:size val="5"/>
            <c:spPr>
              <a:solidFill>
                <a:srgbClr val="FF0000"/>
              </a:solidFill>
              <a:ln w="12700" cap="flat" cmpd="sng" algn="ctr">
                <a:solidFill>
                  <a:srgbClr val="FF0000"/>
                </a:solidFill>
                <a:prstDash val="solid"/>
                <a:miter lim="800000"/>
              </a:ln>
              <a:effectLst/>
            </c:spPr>
          </c:marker>
          <c:xVal>
            <c:numRef>
              <c:f>'Proctor C01'!$O$55:$O$56</c:f>
              <c:numCache>
                <c:formatCode>General</c:formatCode>
                <c:ptCount val="2"/>
                <c:pt idx="0">
                  <c:v>12</c:v>
                </c:pt>
                <c:pt idx="1">
                  <c:v>2</c:v>
                </c:pt>
              </c:numCache>
            </c:numRef>
          </c:xVal>
          <c:yVal>
            <c:numRef>
              <c:f>'Proctor C01'!$N$55:$N$56</c:f>
              <c:numCache>
                <c:formatCode>General</c:formatCode>
                <c:ptCount val="2"/>
                <c:pt idx="0">
                  <c:v>1.9650000000000001</c:v>
                </c:pt>
                <c:pt idx="1">
                  <c:v>1.9650000000000001</c:v>
                </c:pt>
              </c:numCache>
            </c:numRef>
          </c:y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2-B16E-468F-B5EA-706963D07BE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55984000"/>
        <c:axId val="255985920"/>
      </c:scatterChart>
      <c:valAx>
        <c:axId val="255984000"/>
        <c:scaling>
          <c:orientation val="minMax"/>
          <c:max val="16"/>
          <c:min val="4"/>
        </c:scaling>
        <c:delete val="0"/>
        <c:axPos val="b"/>
        <c:majorGridlines>
          <c:spPr>
            <a:ln w="9525" cap="flat" cmpd="sng" algn="ctr">
              <a:solidFill>
                <a:schemeClr val="tx1"/>
              </a:solidFill>
              <a:round/>
            </a:ln>
            <a:effectLst/>
          </c:spPr>
        </c:majorGridlines>
        <c:minorGridlines>
          <c:spPr>
            <a:ln w="9525" cap="flat" cmpd="sng" algn="ctr">
              <a:gradFill>
                <a:gsLst>
                  <a:gs pos="0">
                    <a:schemeClr val="accent1">
                      <a:lumMod val="5000"/>
                      <a:lumOff val="95000"/>
                    </a:schemeClr>
                  </a:gs>
                  <a:gs pos="74000">
                    <a:schemeClr val="accent1">
                      <a:lumMod val="45000"/>
                      <a:lumOff val="55000"/>
                    </a:schemeClr>
                  </a:gs>
                  <a:gs pos="83000">
                    <a:schemeClr val="accent1">
                      <a:lumMod val="45000"/>
                      <a:lumOff val="55000"/>
                    </a:schemeClr>
                  </a:gs>
                  <a:gs pos="100000">
                    <a:schemeClr val="accent1">
                      <a:lumMod val="30000"/>
                      <a:lumOff val="70000"/>
                    </a:schemeClr>
                  </a:gs>
                </a:gsLst>
                <a:lin ang="5400000" scaled="1"/>
              </a:gradFill>
              <a:round/>
            </a:ln>
            <a:effectLst/>
          </c:spPr>
        </c:minorGridlines>
        <c:numFmt formatCode="0.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95000"/>
                <a:lumOff val="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255985920"/>
        <c:crosses val="autoZero"/>
        <c:crossBetween val="midCat"/>
        <c:majorUnit val="2"/>
        <c:minorUnit val="0.2"/>
      </c:valAx>
      <c:valAx>
        <c:axId val="255985920"/>
        <c:scaling>
          <c:orientation val="minMax"/>
          <c:max val="1.9800000000000004"/>
          <c:min val="1.7000000000000002"/>
        </c:scaling>
        <c:delete val="0"/>
        <c:axPos val="l"/>
        <c:majorGridlines>
          <c:spPr>
            <a:ln w="9525" cap="flat" cmpd="sng" algn="ctr">
              <a:solidFill>
                <a:schemeClr val="tx1"/>
              </a:solidFill>
              <a:round/>
            </a:ln>
            <a:effectLst/>
          </c:spPr>
        </c:majorGridlines>
        <c:minorGridlines>
          <c:spPr>
            <a:ln w="9525" cap="flat" cmpd="sng" algn="ctr">
              <a:gradFill>
                <a:gsLst>
                  <a:gs pos="0">
                    <a:schemeClr val="accent1">
                      <a:lumMod val="5000"/>
                      <a:lumOff val="95000"/>
                    </a:schemeClr>
                  </a:gs>
                  <a:gs pos="74000">
                    <a:schemeClr val="accent1">
                      <a:lumMod val="45000"/>
                      <a:lumOff val="55000"/>
                    </a:schemeClr>
                  </a:gs>
                  <a:gs pos="83000">
                    <a:schemeClr val="accent1">
                      <a:lumMod val="45000"/>
                      <a:lumOff val="55000"/>
                    </a:schemeClr>
                  </a:gs>
                  <a:gs pos="100000">
                    <a:schemeClr val="accent1">
                      <a:lumMod val="30000"/>
                      <a:lumOff val="70000"/>
                    </a:schemeClr>
                  </a:gs>
                </a:gsLst>
                <a:lin ang="5400000" scaled="1"/>
              </a:gradFill>
              <a:round/>
            </a:ln>
            <a:effectLst/>
          </c:spPr>
        </c:min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255984000"/>
        <c:crosses val="autoZero"/>
        <c:crossBetween val="midCat"/>
        <c:majorUnit val="4.0000000000000022E-2"/>
        <c:minorUnit val="2.0000000000000013E-3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000000000000044" l="0.7000000000000004" r="0.7000000000000004" t="0.75000000000000044" header="0.30000000000000021" footer="0.30000000000000021"/>
    <c:pageSetup/>
  </c:printSettings>
  <c:userShapes r:id="rId1"/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575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fr-FR"/>
              <a:t>ESSAI CBR</a:t>
            </a:r>
            <a:r>
              <a:rPr lang="fr-FR" baseline="0"/>
              <a:t> (Poinçonnement)</a:t>
            </a:r>
            <a:endParaRPr lang="fr-FR"/>
          </a:p>
        </c:rich>
      </c:tx>
      <c:layout>
        <c:manualLayout>
          <c:xMode val="edge"/>
          <c:yMode val="edge"/>
          <c:x val="0.26351493225508982"/>
          <c:y val="2.0414209587437952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05"/>
          <c:y val="7.8378378378378383E-2"/>
          <c:w val="0.91470588235294115"/>
          <c:h val="0.83783783783783783"/>
        </c:manualLayout>
      </c:layout>
      <c:scatterChart>
        <c:scatterStyle val="smoothMarker"/>
        <c:varyColors val="0"/>
        <c:ser>
          <c:idx val="0"/>
          <c:order val="0"/>
          <c:spPr>
            <a:ln>
              <a:prstDash val="sysDash"/>
            </a:ln>
          </c:spPr>
          <c:marker>
            <c:spPr>
              <a:ln>
                <a:prstDash val="sysDash"/>
              </a:ln>
            </c:spPr>
          </c:marker>
          <c:xVal>
            <c:numRef>
              <c:f>' CBR Poinc'!$J$18:$J$26</c:f>
              <c:numCache>
                <c:formatCode>General</c:formatCode>
                <c:ptCount val="9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5</c:v>
                </c:pt>
                <c:pt idx="7">
                  <c:v>6</c:v>
                </c:pt>
                <c:pt idx="8">
                  <c:v>10</c:v>
                </c:pt>
              </c:numCache>
            </c:numRef>
          </c:xVal>
          <c:yVal>
            <c:numRef>
              <c:f>' CBR Poinc'!$L$18:$L$26</c:f>
              <c:numCache>
                <c:formatCode>0.0</c:formatCode>
                <c:ptCount val="9"/>
                <c:pt idx="0">
                  <c:v>0</c:v>
                </c:pt>
                <c:pt idx="1">
                  <c:v>13.770090000000001</c:v>
                </c:pt>
                <c:pt idx="2">
                  <c:v>31.58595</c:v>
                </c:pt>
                <c:pt idx="3">
                  <c:v>61.279049999999998</c:v>
                </c:pt>
                <c:pt idx="4">
                  <c:v>93.941460000000006</c:v>
                </c:pt>
                <c:pt idx="5">
                  <c:v>143.42996000000002</c:v>
                </c:pt>
                <c:pt idx="6">
                  <c:v>388.89292000000006</c:v>
                </c:pt>
                <c:pt idx="7">
                  <c:v>483.91084000000006</c:v>
                </c:pt>
                <c:pt idx="8">
                  <c:v>777.8725300000001</c:v>
                </c:pt>
              </c:numCache>
            </c:numRef>
          </c:yVal>
          <c:smooth val="1"/>
          <c:extLst xmlns:c16r2="http://schemas.microsoft.com/office/drawing/2015/06/chart">
            <c:ext xmlns:c16="http://schemas.microsoft.com/office/drawing/2014/chart" uri="{C3380CC4-5D6E-409C-BE32-E72D297353CC}">
              <c16:uniqueId val="{00000000-E893-4136-98DB-D8C6D1CF3CB5}"/>
            </c:ext>
          </c:extLst>
        </c:ser>
        <c:ser>
          <c:idx val="1"/>
          <c:order val="1"/>
          <c:tx>
            <c:v>Série 2</c:v>
          </c:tx>
          <c:spPr>
            <a:ln>
              <a:prstDash val="sysDash"/>
            </a:ln>
          </c:spPr>
          <c:xVal>
            <c:numRef>
              <c:f>' CBR Poinc'!$M$18:$M$26</c:f>
              <c:numCache>
                <c:formatCode>General</c:formatCode>
                <c:ptCount val="9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5</c:v>
                </c:pt>
                <c:pt idx="7">
                  <c:v>6</c:v>
                </c:pt>
                <c:pt idx="8">
                  <c:v>10</c:v>
                </c:pt>
              </c:numCache>
            </c:numRef>
          </c:xVal>
          <c:yVal>
            <c:numRef>
              <c:f>' CBR Poinc'!$O$18:$O$26</c:f>
              <c:numCache>
                <c:formatCode>0.0</c:formatCode>
                <c:ptCount val="9"/>
                <c:pt idx="0">
                  <c:v>0</c:v>
                </c:pt>
                <c:pt idx="1">
                  <c:v>5.8519300000000012</c:v>
                </c:pt>
                <c:pt idx="2">
                  <c:v>16.7394</c:v>
                </c:pt>
                <c:pt idx="3">
                  <c:v>34.555259999999997</c:v>
                </c:pt>
                <c:pt idx="4">
                  <c:v>47.422269999999997</c:v>
                </c:pt>
                <c:pt idx="5">
                  <c:v>73.156289999999998</c:v>
                </c:pt>
                <c:pt idx="6">
                  <c:v>256.26374000000004</c:v>
                </c:pt>
                <c:pt idx="7">
                  <c:v>293.875</c:v>
                </c:pt>
                <c:pt idx="8">
                  <c:v>493.80853999999999</c:v>
                </c:pt>
              </c:numCache>
            </c:numRef>
          </c:yVal>
          <c:smooth val="1"/>
          <c:extLst xmlns:c16r2="http://schemas.microsoft.com/office/drawing/2015/06/chart">
            <c:ext xmlns:c16="http://schemas.microsoft.com/office/drawing/2014/chart" uri="{C3380CC4-5D6E-409C-BE32-E72D297353CC}">
              <c16:uniqueId val="{00000001-E893-4136-98DB-D8C6D1CF3CB5}"/>
            </c:ext>
          </c:extLst>
        </c:ser>
        <c:ser>
          <c:idx val="2"/>
          <c:order val="2"/>
          <c:tx>
            <c:v>Série 3</c:v>
          </c:tx>
          <c:spPr>
            <a:ln w="19050">
              <a:solidFill>
                <a:srgbClr val="00B050"/>
              </a:solidFill>
              <a:prstDash val="sysDash"/>
            </a:ln>
          </c:spPr>
          <c:marker>
            <c:symbol val="circle"/>
            <c:size val="4"/>
          </c:marker>
          <c:xVal>
            <c:numRef>
              <c:f>' CBR Poinc'!$P$18:$P$26</c:f>
              <c:numCache>
                <c:formatCode>General</c:formatCode>
                <c:ptCount val="9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5</c:v>
                </c:pt>
                <c:pt idx="7">
                  <c:v>6</c:v>
                </c:pt>
                <c:pt idx="8">
                  <c:v>10</c:v>
                </c:pt>
              </c:numCache>
            </c:numRef>
          </c:xVal>
          <c:yVal>
            <c:numRef>
              <c:f>' CBR Poinc'!$R$18:$R$26</c:f>
              <c:numCache>
                <c:formatCode>0.0</c:formatCode>
                <c:ptCount val="9"/>
                <c:pt idx="0">
                  <c:v>0</c:v>
                </c:pt>
                <c:pt idx="1">
                  <c:v>3.8723900000000011</c:v>
                </c:pt>
                <c:pt idx="2">
                  <c:v>9.8110100000000013</c:v>
                </c:pt>
                <c:pt idx="3">
                  <c:v>22.67802</c:v>
                </c:pt>
                <c:pt idx="4">
                  <c:v>28.616640000000004</c:v>
                </c:pt>
                <c:pt idx="5">
                  <c:v>42.473420000000004</c:v>
                </c:pt>
                <c:pt idx="6">
                  <c:v>136.50157000000002</c:v>
                </c:pt>
                <c:pt idx="7">
                  <c:v>165.20490000000001</c:v>
                </c:pt>
                <c:pt idx="8">
                  <c:v>269.13075000000003</c:v>
                </c:pt>
              </c:numCache>
            </c:numRef>
          </c:yVal>
          <c:smooth val="1"/>
          <c:extLst xmlns:c16r2="http://schemas.microsoft.com/office/drawing/2015/06/chart">
            <c:ext xmlns:c16="http://schemas.microsoft.com/office/drawing/2014/chart" uri="{C3380CC4-5D6E-409C-BE32-E72D297353CC}">
              <c16:uniqueId val="{00000002-E893-4136-98DB-D8C6D1CF3C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65856512"/>
        <c:axId val="265858048"/>
      </c:scatterChart>
      <c:valAx>
        <c:axId val="265856512"/>
        <c:scaling>
          <c:orientation val="minMax"/>
          <c:max val="10"/>
        </c:scaling>
        <c:delete val="0"/>
        <c:axPos val="b"/>
        <c:majorGridlines>
          <c:spPr>
            <a:ln w="3175">
              <a:solidFill>
                <a:schemeClr val="bg1">
                  <a:lumMod val="50000"/>
                </a:schemeClr>
              </a:solidFill>
              <a:prstDash val="solid"/>
            </a:ln>
          </c:spPr>
        </c:majorGridlines>
        <c:minorGridlines>
          <c:spPr>
            <a:ln w="3175">
              <a:solidFill>
                <a:schemeClr val="bg1">
                  <a:lumMod val="75000"/>
                </a:schemeClr>
              </a:solidFill>
              <a:prstDash val="solid"/>
            </a:ln>
          </c:spPr>
        </c:minorGridlines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45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fr-FR"/>
          </a:p>
        </c:txPr>
        <c:crossAx val="265858048"/>
        <c:crosses val="autoZero"/>
        <c:crossBetween val="midCat"/>
        <c:majorUnit val="1"/>
      </c:valAx>
      <c:valAx>
        <c:axId val="265858048"/>
        <c:scaling>
          <c:orientation val="minMax"/>
          <c:min val="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minorGridlines/>
        <c:title>
          <c:tx>
            <c:rich>
              <a:bodyPr/>
              <a:lstStyle/>
              <a:p>
                <a:pPr>
                  <a:defRPr sz="45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fr-FR"/>
                  <a:t>Effort (kN)</a:t>
                </a:r>
              </a:p>
            </c:rich>
          </c:tx>
          <c:layout>
            <c:manualLayout>
              <c:xMode val="edge"/>
              <c:yMode val="edge"/>
              <c:x val="6.8452751817237853E-2"/>
              <c:y val="8.4033766049514083E-2"/>
            </c:manualLayout>
          </c:layout>
          <c:overlay val="0"/>
          <c:spPr>
            <a:solidFill>
              <a:srgbClr val="FFFFFF"/>
            </a:solidFill>
            <a:ln w="25400">
              <a:noFill/>
            </a:ln>
          </c:spPr>
        </c:title>
        <c:numFmt formatCode="0.0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45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fr-FR"/>
          </a:p>
        </c:txPr>
        <c:crossAx val="265856512"/>
        <c:crosses val="autoZero"/>
        <c:crossBetween val="midCat"/>
      </c:valAx>
      <c:spPr>
        <a:solidFill>
          <a:srgbClr val="FFFFFF"/>
        </a:solidFill>
        <a:ln w="12700">
          <a:solidFill>
            <a:srgbClr val="00206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16000034179760528"/>
          <c:y val="7.8300011497037192E-2"/>
          <c:w val="0.25008721592916122"/>
          <c:h val="0.11781578971253816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505" b="1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chemeClr val="accent4">
        <a:lumMod val="20000"/>
        <a:lumOff val="80000"/>
      </a:schemeClr>
    </a:solidFill>
    <a:ln w="3175">
      <a:solidFill>
        <a:srgbClr val="000000"/>
      </a:solidFill>
      <a:prstDash val="solid"/>
    </a:ln>
  </c:spPr>
  <c:txPr>
    <a:bodyPr/>
    <a:lstStyle/>
    <a:p>
      <a:pPr>
        <a:defRPr sz="8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fr-FR"/>
    </a:p>
  </c:txPr>
  <c:printSettings>
    <c:headerFooter alignWithMargins="0"/>
    <c:pageMargins b="0.98425196899999956" l="0.78740157499999996" r="0.78740157499999996" t="0.98425196899999956" header="0.49212598450000034" footer="0.49212598450000034"/>
    <c:pageSetup paperSize="9" orientation="landscape" verticalDpi="0"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b="1"/>
            </a:pPr>
            <a:r>
              <a:rPr lang="fr-FR" b="1"/>
              <a:t>COURBE</a:t>
            </a:r>
            <a:r>
              <a:rPr lang="fr-FR" b="1" baseline="0"/>
              <a:t> CBR  P 2 - 4ème couche</a:t>
            </a:r>
            <a:endParaRPr lang="fr-FR" b="1"/>
          </a:p>
        </c:rich>
      </c:tx>
      <c:layout>
        <c:manualLayout>
          <c:xMode val="edge"/>
          <c:yMode val="edge"/>
          <c:x val="0.30953280325672311"/>
          <c:y val="3.533275073965389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9.2782110897555004E-2"/>
          <c:y val="0.13004239854633581"/>
          <c:w val="0.85774278215223099"/>
          <c:h val="0.7315437842996898"/>
        </c:manualLayout>
      </c:layout>
      <c:scatterChart>
        <c:scatterStyle val="lineMarker"/>
        <c:varyColors val="0"/>
        <c:ser>
          <c:idx val="3"/>
          <c:order val="0"/>
          <c:tx>
            <c:v>COURBE CBR</c:v>
          </c:tx>
          <c:spPr>
            <a:ln>
              <a:solidFill>
                <a:sysClr val="windowText" lastClr="000000"/>
              </a:solidFill>
            </a:ln>
          </c:spPr>
          <c:marker>
            <c:symbol val="triangle"/>
            <c:size val="11"/>
            <c:spPr>
              <a:solidFill>
                <a:srgbClr val="0070C0"/>
              </a:solidFill>
              <a:ln w="25400" cap="flat" cmpd="sng" algn="ctr">
                <a:solidFill>
                  <a:sysClr val="windowText" lastClr="000000"/>
                </a:solidFill>
                <a:prstDash val="solid"/>
              </a:ln>
              <a:effectLst/>
            </c:spPr>
          </c:marker>
          <c:dPt>
            <c:idx val="0"/>
            <c:marker>
              <c:symbol val="square"/>
              <c:size val="11"/>
            </c:marker>
            <c:bubble3D val="0"/>
            <c:extLst xmlns:c16r2="http://schemas.microsoft.com/office/drawing/2015/06/chart">
              <c:ext xmlns:c16="http://schemas.microsoft.com/office/drawing/2014/chart" uri="{C3380CC4-5D6E-409C-BE32-E72D297353CC}">
                <c16:uniqueId val="{00000000-17E3-4C51-980D-2AC455A52B53}"/>
              </c:ext>
            </c:extLst>
          </c:dPt>
          <c:dPt>
            <c:idx val="2"/>
            <c:marker>
              <c:symbol val="circle"/>
              <c:size val="11"/>
            </c:marker>
            <c:bubble3D val="0"/>
            <c:extLst xmlns:c16r2="http://schemas.microsoft.com/office/drawing/2015/06/chart">
              <c:ext xmlns:c16="http://schemas.microsoft.com/office/drawing/2014/chart" uri="{C3380CC4-5D6E-409C-BE32-E72D297353CC}">
                <c16:uniqueId val="{00000001-17E3-4C51-980D-2AC455A52B53}"/>
              </c:ext>
            </c:extLst>
          </c:dPt>
          <c:xVal>
            <c:numRef>
              <c:f>'CBR Crb (2)'!$C$26:$E$26</c:f>
              <c:numCache>
                <c:formatCode>0</c:formatCode>
                <c:ptCount val="3"/>
                <c:pt idx="0">
                  <c:v>18.896643343051512</c:v>
                </c:pt>
                <c:pt idx="1">
                  <c:v>12.452076773566572</c:v>
                </c:pt>
                <c:pt idx="2">
                  <c:v>6.6327293488824113</c:v>
                </c:pt>
              </c:numCache>
            </c:numRef>
          </c:xVal>
          <c:yVal>
            <c:numRef>
              <c:f>'CBR Crb (2)'!$C$27:$E$27</c:f>
              <c:numCache>
                <c:formatCode>0.00</c:formatCode>
                <c:ptCount val="3"/>
                <c:pt idx="0">
                  <c:v>1.9652717520036695</c:v>
                </c:pt>
                <c:pt idx="1">
                  <c:v>1.8667540165802476</c:v>
                </c:pt>
                <c:pt idx="2">
                  <c:v>1.7687547745023489</c:v>
                </c:pt>
              </c:numCache>
            </c:numRef>
          </c:y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2-17E3-4C51-980D-2AC455A52B53}"/>
            </c:ext>
          </c:extLst>
        </c:ser>
        <c:ser>
          <c:idx val="0"/>
          <c:order val="1"/>
          <c:spPr>
            <a:ln>
              <a:solidFill>
                <a:srgbClr val="FF0000"/>
              </a:solidFill>
            </a:ln>
          </c:spPr>
          <c:marker>
            <c:spPr>
              <a:ln>
                <a:solidFill>
                  <a:srgbClr val="FF0000"/>
                </a:solidFill>
              </a:ln>
            </c:spPr>
          </c:marker>
          <c:xVal>
            <c:numRef>
              <c:f>'CBR Crb (2)'!$T$28:$T$29</c:f>
              <c:numCache>
                <c:formatCode>0</c:formatCode>
                <c:ptCount val="2"/>
                <c:pt idx="0" formatCode="_(* #,##0.00_);_(* \(#,##0.00\);_(* &quot;-&quot;??_);_(@_)">
                  <c:v>12.4</c:v>
                </c:pt>
                <c:pt idx="1">
                  <c:v>12.4</c:v>
                </c:pt>
              </c:numCache>
            </c:numRef>
          </c:xVal>
          <c:yVal>
            <c:numRef>
              <c:f>'CBR Crb (2)'!$U$28:$U$29</c:f>
              <c:numCache>
                <c:formatCode>0.00</c:formatCode>
                <c:ptCount val="2"/>
                <c:pt idx="0">
                  <c:v>1.8667499999999999</c:v>
                </c:pt>
                <c:pt idx="1">
                  <c:v>1.74</c:v>
                </c:pt>
              </c:numCache>
            </c:numRef>
          </c:y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3-17E3-4C51-980D-2AC455A52B53}"/>
            </c:ext>
          </c:extLst>
        </c:ser>
        <c:ser>
          <c:idx val="1"/>
          <c:order val="2"/>
          <c:spPr>
            <a:ln>
              <a:solidFill>
                <a:srgbClr val="FF0000"/>
              </a:solidFill>
            </a:ln>
          </c:spPr>
          <c:marker>
            <c:spPr>
              <a:ln>
                <a:solidFill>
                  <a:srgbClr val="FF0000"/>
                </a:solidFill>
              </a:ln>
            </c:spPr>
          </c:marker>
          <c:xVal>
            <c:numRef>
              <c:f>'CBR Crb (2)'!$T$31:$T$32</c:f>
              <c:numCache>
                <c:formatCode>0</c:formatCode>
                <c:ptCount val="2"/>
                <c:pt idx="0">
                  <c:v>6</c:v>
                </c:pt>
                <c:pt idx="1">
                  <c:v>12.4</c:v>
                </c:pt>
              </c:numCache>
            </c:numRef>
          </c:xVal>
          <c:yVal>
            <c:numRef>
              <c:f>'CBR Crb (2)'!$U$31:$U$32</c:f>
              <c:numCache>
                <c:formatCode>0.00</c:formatCode>
                <c:ptCount val="2"/>
                <c:pt idx="0">
                  <c:v>1.8667499999999999</c:v>
                </c:pt>
                <c:pt idx="1">
                  <c:v>1.8667499999999999</c:v>
                </c:pt>
              </c:numCache>
            </c:numRef>
          </c:y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4-17E3-4C51-980D-2AC455A52B5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70147584"/>
        <c:axId val="270149888"/>
      </c:scatterChart>
      <c:valAx>
        <c:axId val="270147584"/>
        <c:scaling>
          <c:orientation val="minMax"/>
          <c:max val="20"/>
          <c:min val="6"/>
        </c:scaling>
        <c:delete val="0"/>
        <c:axPos val="b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minorGridlines>
          <c:spPr>
            <a:ln w="3175">
              <a:solidFill>
                <a:srgbClr val="000000"/>
              </a:solidFill>
              <a:prstDash val="solid"/>
            </a:ln>
          </c:spPr>
        </c:minorGridlines>
        <c:title>
          <c:tx>
            <c:rich>
              <a:bodyPr/>
              <a:lstStyle/>
              <a:p>
                <a:pPr>
                  <a:defRPr sz="8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fr-FR"/>
                  <a:t>IP CBR</a:t>
                </a:r>
              </a:p>
            </c:rich>
          </c:tx>
          <c:layout>
            <c:manualLayout>
              <c:xMode val="edge"/>
              <c:yMode val="edge"/>
              <c:x val="0.485346916184549"/>
              <c:y val="0.92727802010360261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fr-FR"/>
          </a:p>
        </c:txPr>
        <c:crossAx val="270149888"/>
        <c:crossesAt val="1.4"/>
        <c:crossBetween val="midCat"/>
        <c:majorUnit val="4"/>
        <c:minorUnit val="0.4"/>
      </c:valAx>
      <c:valAx>
        <c:axId val="270149888"/>
        <c:scaling>
          <c:orientation val="minMax"/>
          <c:max val="1.9800000000000004"/>
          <c:min val="1.7400000000000002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minorGridlines>
          <c:spPr>
            <a:ln w="3175">
              <a:solidFill>
                <a:srgbClr val="000000"/>
              </a:solidFill>
              <a:prstDash val="solid"/>
            </a:ln>
          </c:spPr>
        </c:minorGridlines>
        <c:title>
          <c:tx>
            <c:rich>
              <a:bodyPr/>
              <a:lstStyle/>
              <a:p>
                <a:pPr>
                  <a:defRPr sz="8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fr-FR"/>
                  <a:t>y</a:t>
                </a:r>
                <a:r>
                  <a:rPr lang="fr-FR" baseline="0"/>
                  <a:t> </a:t>
                </a:r>
                <a:r>
                  <a:rPr lang="fr-FR"/>
                  <a:t>t/m3</a:t>
                </a:r>
              </a:p>
            </c:rich>
          </c:tx>
          <c:layout>
            <c:manualLayout>
              <c:xMode val="edge"/>
              <c:yMode val="edge"/>
              <c:x val="1.7432571318600799E-2"/>
              <c:y val="0.44279706839923694"/>
            </c:manualLayout>
          </c:layout>
          <c:overlay val="0"/>
          <c:spPr>
            <a:noFill/>
            <a:ln w="25400">
              <a:noFill/>
            </a:ln>
          </c:spPr>
        </c:title>
        <c:numFmt formatCode="0.00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fr-FR"/>
          </a:p>
        </c:txPr>
        <c:crossAx val="270147584"/>
        <c:crosses val="autoZero"/>
        <c:crossBetween val="midCat"/>
        <c:majorUnit val="0.1"/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chemeClr val="accent4">
        <a:lumMod val="20000"/>
        <a:lumOff val="80000"/>
      </a:schemeClr>
    </a:solidFill>
    <a:ln w="3175">
      <a:solidFill>
        <a:srgbClr val="000000"/>
      </a:solidFill>
      <a:prstDash val="solid"/>
    </a:ln>
    <a:scene3d>
      <a:camera prst="orthographicFront"/>
      <a:lightRig rig="threePt" dir="t"/>
    </a:scene3d>
  </c:spPr>
  <c:txPr>
    <a:bodyPr/>
    <a:lstStyle/>
    <a:p>
      <a:pPr>
        <a:defRPr sz="8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fr-FR"/>
    </a:p>
  </c:txPr>
  <c:printSettings>
    <c:headerFooter alignWithMargins="0">
      <c:oddHeader>&amp;A</c:oddHeader>
      <c:oddFooter>Page &amp;P</c:oddFooter>
    </c:headerFooter>
    <c:pageMargins b="0.98425196899999956" l="0.78740157499999996" r="0.78740157499999996" t="0.98425196899999956" header="0.49212598450000045" footer="0.49212598450000045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chart" Target="../charts/chart4.xml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jpeg"/><Relationship Id="rId1" Type="http://schemas.openxmlformats.org/officeDocument/2006/relationships/image" Target="../media/image3.jpeg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chart" Target="../charts/chart5.xml"/><Relationship Id="rId1" Type="http://schemas.openxmlformats.org/officeDocument/2006/relationships/image" Target="../media/image5.jpeg"/></Relationships>
</file>

<file path=xl/drawings/_rels/drawing9.xml.rels><?xml version="1.0" encoding="UTF-8" standalone="yes"?>
<Relationships xmlns="http://schemas.openxmlformats.org/package/2006/relationships"><Relationship Id="rId2" Type="http://schemas.openxmlformats.org/officeDocument/2006/relationships/image" Target="../media/image6.jpeg"/><Relationship Id="rId1" Type="http://schemas.openxmlformats.org/officeDocument/2006/relationships/chart" Target="../charts/chart6.xml"/></Relationships>
</file>

<file path=xl/drawings/_rels/drawing10.xml.rels><?xml version="1.0" encoding="UTF-8" standalone="yes"?>
<Relationships xmlns="http://schemas.openxmlformats.org/package/2006/relationships"><Relationship Id="rId2" Type="http://schemas.openxmlformats.org/officeDocument/2006/relationships/image" Target="../media/image7.jpeg"/><Relationship Id="rId1" Type="http://schemas.openxmlformats.org/officeDocument/2006/relationships/chart" Target="../charts/chart7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160020</xdr:colOff>
      <xdr:row>53</xdr:row>
      <xdr:rowOff>106680</xdr:rowOff>
    </xdr:from>
    <xdr:to>
      <xdr:col>15</xdr:col>
      <xdr:colOff>0</xdr:colOff>
      <xdr:row>53</xdr:row>
      <xdr:rowOff>106680</xdr:rowOff>
    </xdr:to>
    <xdr:sp macro="" textlink="">
      <xdr:nvSpPr>
        <xdr:cNvPr id="2" name="Line 1"/>
        <xdr:cNvSpPr>
          <a:spLocks noChangeShapeType="1"/>
        </xdr:cNvSpPr>
      </xdr:nvSpPr>
      <xdr:spPr bwMode="auto">
        <a:xfrm>
          <a:off x="4274820" y="8783955"/>
          <a:ext cx="1506855" cy="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15</xdr:col>
      <xdr:colOff>0</xdr:colOff>
      <xdr:row>53</xdr:row>
      <xdr:rowOff>106680</xdr:rowOff>
    </xdr:from>
    <xdr:to>
      <xdr:col>15</xdr:col>
      <xdr:colOff>0</xdr:colOff>
      <xdr:row>57</xdr:row>
      <xdr:rowOff>137160</xdr:rowOff>
    </xdr:to>
    <xdr:sp macro="" textlink="">
      <xdr:nvSpPr>
        <xdr:cNvPr id="3" name="Line 2"/>
        <xdr:cNvSpPr>
          <a:spLocks noChangeShapeType="1"/>
        </xdr:cNvSpPr>
      </xdr:nvSpPr>
      <xdr:spPr bwMode="auto">
        <a:xfrm>
          <a:off x="5781675" y="8783955"/>
          <a:ext cx="0" cy="79248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0</xdr:col>
      <xdr:colOff>0</xdr:colOff>
      <xdr:row>14</xdr:row>
      <xdr:rowOff>157005</xdr:rowOff>
    </xdr:from>
    <xdr:to>
      <xdr:col>0</xdr:col>
      <xdr:colOff>257104</xdr:colOff>
      <xdr:row>33</xdr:row>
      <xdr:rowOff>20933</xdr:rowOff>
    </xdr:to>
    <xdr:sp macro="" textlink="">
      <xdr:nvSpPr>
        <xdr:cNvPr id="4" name="Texte 7"/>
        <xdr:cNvSpPr txBox="1">
          <a:spLocks noChangeArrowheads="1"/>
        </xdr:cNvSpPr>
      </xdr:nvSpPr>
      <xdr:spPr bwMode="auto">
        <a:xfrm>
          <a:off x="0" y="2731895"/>
          <a:ext cx="257104" cy="2669093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vert="wordArtVert" wrap="square" lIns="45720" tIns="0" rIns="45720" bIns="0" anchor="ctr" upright="1"/>
        <a:lstStyle/>
        <a:p>
          <a:pPr algn="ctr" rtl="0">
            <a:defRPr sz="1000"/>
          </a:pPr>
          <a:r>
            <a:rPr lang="fr-FR" sz="1200" b="0" i="0" strike="noStrike">
              <a:solidFill>
                <a:srgbClr val="000000"/>
              </a:solidFill>
              <a:latin typeface="Arial"/>
              <a:cs typeface="Arial"/>
            </a:rPr>
            <a:t>GRANULOMETRIE</a:t>
          </a:r>
        </a:p>
      </xdr:txBody>
    </xdr:sp>
    <xdr:clientData/>
  </xdr:twoCellAnchor>
  <xdr:twoCellAnchor>
    <xdr:from>
      <xdr:col>6</xdr:col>
      <xdr:colOff>76200</xdr:colOff>
      <xdr:row>32</xdr:row>
      <xdr:rowOff>76200</xdr:rowOff>
    </xdr:from>
    <xdr:to>
      <xdr:col>21</xdr:col>
      <xdr:colOff>441960</xdr:colOff>
      <xdr:row>34</xdr:row>
      <xdr:rowOff>38100</xdr:rowOff>
    </xdr:to>
    <xdr:sp macro="" textlink="">
      <xdr:nvSpPr>
        <xdr:cNvPr id="5" name="Texte 13"/>
        <xdr:cNvSpPr txBox="1">
          <a:spLocks noChangeArrowheads="1"/>
        </xdr:cNvSpPr>
      </xdr:nvSpPr>
      <xdr:spPr bwMode="auto">
        <a:xfrm>
          <a:off x="2390775" y="5248275"/>
          <a:ext cx="5642610" cy="24765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36576" tIns="32004" rIns="36576" bIns="32004" anchor="ctr" upright="1"/>
        <a:lstStyle/>
        <a:p>
          <a:pPr algn="ctr" rtl="0">
            <a:defRPr sz="1000"/>
          </a:pPr>
          <a:r>
            <a:rPr lang="fr-FR" sz="1100" b="0" i="0" strike="noStrike">
              <a:solidFill>
                <a:srgbClr val="000000"/>
              </a:solidFill>
              <a:latin typeface="Arial"/>
              <a:cs typeface="Arial"/>
            </a:rPr>
            <a:t>Modules  AFNOR</a:t>
          </a:r>
        </a:p>
      </xdr:txBody>
    </xdr:sp>
    <xdr:clientData/>
  </xdr:twoCellAnchor>
  <xdr:twoCellAnchor>
    <xdr:from>
      <xdr:col>3</xdr:col>
      <xdr:colOff>0</xdr:colOff>
      <xdr:row>35</xdr:row>
      <xdr:rowOff>0</xdr:rowOff>
    </xdr:from>
    <xdr:to>
      <xdr:col>3</xdr:col>
      <xdr:colOff>0</xdr:colOff>
      <xdr:row>35</xdr:row>
      <xdr:rowOff>0</xdr:rowOff>
    </xdr:to>
    <xdr:sp macro="" textlink="">
      <xdr:nvSpPr>
        <xdr:cNvPr id="6" name="Texte 15"/>
        <xdr:cNvSpPr txBox="1">
          <a:spLocks noChangeArrowheads="1"/>
        </xdr:cNvSpPr>
      </xdr:nvSpPr>
      <xdr:spPr bwMode="auto">
        <a:xfrm>
          <a:off x="1047750" y="55149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fr-FR" sz="1000" b="0" i="0" strike="noStrike">
              <a:solidFill>
                <a:srgbClr val="000000"/>
              </a:solidFill>
              <a:latin typeface="Arial"/>
              <a:cs typeface="Arial"/>
            </a:rPr>
            <a:t>50</a:t>
          </a:r>
        </a:p>
      </xdr:txBody>
    </xdr:sp>
    <xdr:clientData/>
  </xdr:twoCellAnchor>
  <xdr:twoCellAnchor>
    <xdr:from>
      <xdr:col>3</xdr:col>
      <xdr:colOff>0</xdr:colOff>
      <xdr:row>35</xdr:row>
      <xdr:rowOff>0</xdr:rowOff>
    </xdr:from>
    <xdr:to>
      <xdr:col>3</xdr:col>
      <xdr:colOff>169636</xdr:colOff>
      <xdr:row>35</xdr:row>
      <xdr:rowOff>0</xdr:rowOff>
    </xdr:to>
    <xdr:sp macro="" textlink="">
      <xdr:nvSpPr>
        <xdr:cNvPr id="7" name="Texte 16"/>
        <xdr:cNvSpPr txBox="1">
          <a:spLocks noChangeArrowheads="1"/>
        </xdr:cNvSpPr>
      </xdr:nvSpPr>
      <xdr:spPr bwMode="auto">
        <a:xfrm>
          <a:off x="1047750" y="5514975"/>
          <a:ext cx="169636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fr-FR" sz="1000" b="0" i="0" strike="noStrike">
              <a:solidFill>
                <a:srgbClr val="000000"/>
              </a:solidFill>
              <a:latin typeface="Arial"/>
              <a:cs typeface="Arial"/>
            </a:rPr>
            <a:t>48</a:t>
          </a:r>
        </a:p>
      </xdr:txBody>
    </xdr:sp>
    <xdr:clientData/>
  </xdr:twoCellAnchor>
  <xdr:twoCellAnchor>
    <xdr:from>
      <xdr:col>5</xdr:col>
      <xdr:colOff>262890</xdr:colOff>
      <xdr:row>35</xdr:row>
      <xdr:rowOff>0</xdr:rowOff>
    </xdr:from>
    <xdr:to>
      <xdr:col>6</xdr:col>
      <xdr:colOff>209611</xdr:colOff>
      <xdr:row>35</xdr:row>
      <xdr:rowOff>0</xdr:rowOff>
    </xdr:to>
    <xdr:sp macro="" textlink="">
      <xdr:nvSpPr>
        <xdr:cNvPr id="8" name="Texte 18"/>
        <xdr:cNvSpPr txBox="1">
          <a:spLocks noChangeArrowheads="1"/>
        </xdr:cNvSpPr>
      </xdr:nvSpPr>
      <xdr:spPr bwMode="auto">
        <a:xfrm>
          <a:off x="2253615" y="5514975"/>
          <a:ext cx="270571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fr-FR" sz="1000" b="0" i="0" strike="noStrike">
              <a:solidFill>
                <a:srgbClr val="000000"/>
              </a:solidFill>
              <a:latin typeface="Arial"/>
              <a:cs typeface="Arial"/>
            </a:rPr>
            <a:t>41</a:t>
          </a:r>
        </a:p>
      </xdr:txBody>
    </xdr:sp>
    <xdr:clientData/>
  </xdr:twoCellAnchor>
  <xdr:twoCellAnchor>
    <xdr:from>
      <xdr:col>7</xdr:col>
      <xdr:colOff>0</xdr:colOff>
      <xdr:row>35</xdr:row>
      <xdr:rowOff>0</xdr:rowOff>
    </xdr:from>
    <xdr:to>
      <xdr:col>7</xdr:col>
      <xdr:colOff>0</xdr:colOff>
      <xdr:row>35</xdr:row>
      <xdr:rowOff>0</xdr:rowOff>
    </xdr:to>
    <xdr:sp macro="" textlink="">
      <xdr:nvSpPr>
        <xdr:cNvPr id="9" name="Texte 19"/>
        <xdr:cNvSpPr txBox="1">
          <a:spLocks noChangeArrowheads="1"/>
        </xdr:cNvSpPr>
      </xdr:nvSpPr>
      <xdr:spPr bwMode="auto">
        <a:xfrm>
          <a:off x="2905125" y="55149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fr-FR" sz="1000" b="0" i="0" strike="noStrike">
              <a:solidFill>
                <a:srgbClr val="000000"/>
              </a:solidFill>
              <a:latin typeface="Arial"/>
              <a:cs typeface="Arial"/>
            </a:rPr>
            <a:t>38</a:t>
          </a:r>
        </a:p>
      </xdr:txBody>
    </xdr:sp>
    <xdr:clientData/>
  </xdr:twoCellAnchor>
  <xdr:twoCellAnchor>
    <xdr:from>
      <xdr:col>12</xdr:col>
      <xdr:colOff>144780</xdr:colOff>
      <xdr:row>35</xdr:row>
      <xdr:rowOff>53340</xdr:rowOff>
    </xdr:from>
    <xdr:to>
      <xdr:col>12</xdr:col>
      <xdr:colOff>144780</xdr:colOff>
      <xdr:row>35</xdr:row>
      <xdr:rowOff>53340</xdr:rowOff>
    </xdr:to>
    <xdr:sp macro="" textlink="">
      <xdr:nvSpPr>
        <xdr:cNvPr id="10" name="Texte 21"/>
        <xdr:cNvSpPr txBox="1">
          <a:spLocks noChangeArrowheads="1"/>
        </xdr:cNvSpPr>
      </xdr:nvSpPr>
      <xdr:spPr bwMode="auto">
        <a:xfrm>
          <a:off x="4573905" y="556831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fr-FR" sz="1000" b="0" i="0" strike="noStrike">
              <a:solidFill>
                <a:srgbClr val="000000"/>
              </a:solidFill>
              <a:latin typeface="Arial"/>
              <a:cs typeface="Arial"/>
            </a:rPr>
            <a:t>31</a:t>
          </a:r>
        </a:p>
      </xdr:txBody>
    </xdr:sp>
    <xdr:clientData/>
  </xdr:twoCellAnchor>
  <xdr:twoCellAnchor>
    <xdr:from>
      <xdr:col>12</xdr:col>
      <xdr:colOff>169545</xdr:colOff>
      <xdr:row>35</xdr:row>
      <xdr:rowOff>0</xdr:rowOff>
    </xdr:from>
    <xdr:to>
      <xdr:col>12</xdr:col>
      <xdr:colOff>576877</xdr:colOff>
      <xdr:row>35</xdr:row>
      <xdr:rowOff>0</xdr:rowOff>
    </xdr:to>
    <xdr:sp macro="" textlink="">
      <xdr:nvSpPr>
        <xdr:cNvPr id="11" name="Texte 22"/>
        <xdr:cNvSpPr txBox="1">
          <a:spLocks noChangeArrowheads="1"/>
        </xdr:cNvSpPr>
      </xdr:nvSpPr>
      <xdr:spPr bwMode="auto">
        <a:xfrm>
          <a:off x="4598670" y="5514975"/>
          <a:ext cx="273982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fr-FR" sz="1000" b="0" i="0" strike="noStrike">
              <a:solidFill>
                <a:srgbClr val="000000"/>
              </a:solidFill>
              <a:latin typeface="Arial"/>
              <a:cs typeface="Arial"/>
            </a:rPr>
            <a:t>27</a:t>
          </a:r>
        </a:p>
      </xdr:txBody>
    </xdr:sp>
    <xdr:clientData/>
  </xdr:twoCellAnchor>
  <xdr:twoCellAnchor>
    <xdr:from>
      <xdr:col>13</xdr:col>
      <xdr:colOff>95250</xdr:colOff>
      <xdr:row>35</xdr:row>
      <xdr:rowOff>0</xdr:rowOff>
    </xdr:from>
    <xdr:to>
      <xdr:col>14</xdr:col>
      <xdr:colOff>93393</xdr:colOff>
      <xdr:row>35</xdr:row>
      <xdr:rowOff>0</xdr:rowOff>
    </xdr:to>
    <xdr:sp macro="" textlink="">
      <xdr:nvSpPr>
        <xdr:cNvPr id="12" name="Texte 23"/>
        <xdr:cNvSpPr txBox="1">
          <a:spLocks noChangeArrowheads="1"/>
        </xdr:cNvSpPr>
      </xdr:nvSpPr>
      <xdr:spPr bwMode="auto">
        <a:xfrm>
          <a:off x="4972050" y="5514975"/>
          <a:ext cx="445818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fr-FR" sz="1000" b="0" i="0" strike="noStrike">
              <a:solidFill>
                <a:srgbClr val="000000"/>
              </a:solidFill>
              <a:latin typeface="Arial"/>
              <a:cs typeface="Arial"/>
            </a:rPr>
            <a:t>24</a:t>
          </a:r>
        </a:p>
      </xdr:txBody>
    </xdr:sp>
    <xdr:clientData/>
  </xdr:twoCellAnchor>
  <xdr:twoCellAnchor>
    <xdr:from>
      <xdr:col>15</xdr:col>
      <xdr:colOff>217170</xdr:colOff>
      <xdr:row>35</xdr:row>
      <xdr:rowOff>0</xdr:rowOff>
    </xdr:from>
    <xdr:to>
      <xdr:col>16</xdr:col>
      <xdr:colOff>200079</xdr:colOff>
      <xdr:row>35</xdr:row>
      <xdr:rowOff>0</xdr:rowOff>
    </xdr:to>
    <xdr:sp macro="" textlink="">
      <xdr:nvSpPr>
        <xdr:cNvPr id="13" name="Texte 24"/>
        <xdr:cNvSpPr txBox="1">
          <a:spLocks noChangeArrowheads="1"/>
        </xdr:cNvSpPr>
      </xdr:nvSpPr>
      <xdr:spPr bwMode="auto">
        <a:xfrm>
          <a:off x="5781675" y="55149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fr-FR" sz="1000" b="0" i="0" strike="noStrike">
              <a:solidFill>
                <a:srgbClr val="000000"/>
              </a:solidFill>
              <a:latin typeface="Arial"/>
              <a:cs typeface="Arial"/>
            </a:rPr>
            <a:t>20</a:t>
          </a:r>
        </a:p>
      </xdr:txBody>
    </xdr:sp>
    <xdr:clientData/>
  </xdr:twoCellAnchor>
  <xdr:twoCellAnchor>
    <xdr:from>
      <xdr:col>12</xdr:col>
      <xdr:colOff>53340</xdr:colOff>
      <xdr:row>39</xdr:row>
      <xdr:rowOff>38100</xdr:rowOff>
    </xdr:from>
    <xdr:to>
      <xdr:col>12</xdr:col>
      <xdr:colOff>251460</xdr:colOff>
      <xdr:row>39</xdr:row>
      <xdr:rowOff>167640</xdr:rowOff>
    </xdr:to>
    <xdr:sp macro="" textlink="">
      <xdr:nvSpPr>
        <xdr:cNvPr id="14" name="Oval 13"/>
        <xdr:cNvSpPr>
          <a:spLocks noChangeArrowheads="1"/>
        </xdr:cNvSpPr>
      </xdr:nvSpPr>
      <xdr:spPr bwMode="auto">
        <a:xfrm>
          <a:off x="4482465" y="6210300"/>
          <a:ext cx="198120" cy="129540"/>
        </a:xfrm>
        <a:prstGeom prst="ellips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12</xdr:col>
      <xdr:colOff>53340</xdr:colOff>
      <xdr:row>37</xdr:row>
      <xdr:rowOff>22860</xdr:rowOff>
    </xdr:from>
    <xdr:to>
      <xdr:col>12</xdr:col>
      <xdr:colOff>220980</xdr:colOff>
      <xdr:row>37</xdr:row>
      <xdr:rowOff>160020</xdr:rowOff>
    </xdr:to>
    <xdr:sp macro="" textlink="">
      <xdr:nvSpPr>
        <xdr:cNvPr id="15" name="Texte 28"/>
        <xdr:cNvSpPr txBox="1">
          <a:spLocks noChangeArrowheads="1"/>
        </xdr:cNvSpPr>
      </xdr:nvSpPr>
      <xdr:spPr bwMode="auto">
        <a:xfrm>
          <a:off x="4482465" y="5852160"/>
          <a:ext cx="167640" cy="13716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12</xdr:col>
      <xdr:colOff>83820</xdr:colOff>
      <xdr:row>38</xdr:row>
      <xdr:rowOff>15240</xdr:rowOff>
    </xdr:from>
    <xdr:to>
      <xdr:col>12</xdr:col>
      <xdr:colOff>236220</xdr:colOff>
      <xdr:row>38</xdr:row>
      <xdr:rowOff>144780</xdr:rowOff>
    </xdr:to>
    <xdr:grpSp>
      <xdr:nvGrpSpPr>
        <xdr:cNvPr id="16" name="Group 15"/>
        <xdr:cNvGrpSpPr>
          <a:grpSpLocks/>
        </xdr:cNvGrpSpPr>
      </xdr:nvGrpSpPr>
      <xdr:grpSpPr bwMode="auto">
        <a:xfrm>
          <a:off x="4054905" y="6045405"/>
          <a:ext cx="152400" cy="129540"/>
          <a:chOff x="-43" y="-26"/>
          <a:chExt cx="25" cy="18"/>
        </a:xfrm>
      </xdr:grpSpPr>
      <xdr:sp macro="" textlink="">
        <xdr:nvSpPr>
          <xdr:cNvPr id="17" name="Line 16"/>
          <xdr:cNvSpPr>
            <a:spLocks noChangeShapeType="1"/>
          </xdr:cNvSpPr>
        </xdr:nvSpPr>
        <xdr:spPr bwMode="auto">
          <a:xfrm flipH="1">
            <a:off x="-43" y="-26"/>
            <a:ext cx="25" cy="18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8" name="Line 17"/>
          <xdr:cNvSpPr>
            <a:spLocks noChangeShapeType="1"/>
          </xdr:cNvSpPr>
        </xdr:nvSpPr>
        <xdr:spPr bwMode="auto">
          <a:xfrm>
            <a:off x="-43" y="-26"/>
            <a:ext cx="25" cy="18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9" name="Line 18"/>
          <xdr:cNvSpPr>
            <a:spLocks noChangeShapeType="1"/>
          </xdr:cNvSpPr>
        </xdr:nvSpPr>
        <xdr:spPr bwMode="auto">
          <a:xfrm>
            <a:off x="-43" y="-8"/>
            <a:ext cx="25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4</xdr:col>
      <xdr:colOff>0</xdr:colOff>
      <xdr:row>35</xdr:row>
      <xdr:rowOff>0</xdr:rowOff>
    </xdr:from>
    <xdr:to>
      <xdr:col>4</xdr:col>
      <xdr:colOff>0</xdr:colOff>
      <xdr:row>35</xdr:row>
      <xdr:rowOff>0</xdr:rowOff>
    </xdr:to>
    <xdr:sp macro="" textlink="">
      <xdr:nvSpPr>
        <xdr:cNvPr id="20" name="Texte 58"/>
        <xdr:cNvSpPr txBox="1">
          <a:spLocks noChangeArrowheads="1"/>
        </xdr:cNvSpPr>
      </xdr:nvSpPr>
      <xdr:spPr bwMode="auto">
        <a:xfrm>
          <a:off x="1600200" y="55149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fr-FR" sz="1000" b="0" i="0" strike="noStrike">
              <a:solidFill>
                <a:srgbClr val="000000"/>
              </a:solidFill>
              <a:latin typeface="Arial"/>
              <a:cs typeface="Arial"/>
            </a:rPr>
            <a:t>46</a:t>
          </a:r>
        </a:p>
        <a:p>
          <a:pPr algn="ctr" rtl="0">
            <a:defRPr sz="1000"/>
          </a:pPr>
          <a:endParaRPr lang="fr-FR" sz="1000" b="0" i="0" strike="noStrike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4</xdr:col>
      <xdr:colOff>0</xdr:colOff>
      <xdr:row>35</xdr:row>
      <xdr:rowOff>0</xdr:rowOff>
    </xdr:from>
    <xdr:to>
      <xdr:col>4</xdr:col>
      <xdr:colOff>38100</xdr:colOff>
      <xdr:row>35</xdr:row>
      <xdr:rowOff>0</xdr:rowOff>
    </xdr:to>
    <xdr:sp macro="" textlink="">
      <xdr:nvSpPr>
        <xdr:cNvPr id="21" name="Texte 59"/>
        <xdr:cNvSpPr txBox="1">
          <a:spLocks noChangeArrowheads="1"/>
        </xdr:cNvSpPr>
      </xdr:nvSpPr>
      <xdr:spPr bwMode="auto">
        <a:xfrm>
          <a:off x="1600200" y="5514975"/>
          <a:ext cx="381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fr-FR" sz="1000" b="0" i="0" strike="noStrike">
              <a:solidFill>
                <a:srgbClr val="000000"/>
              </a:solidFill>
              <a:latin typeface="Arial"/>
              <a:cs typeface="Arial"/>
            </a:rPr>
            <a:t>44</a:t>
          </a:r>
        </a:p>
      </xdr:txBody>
    </xdr:sp>
    <xdr:clientData/>
  </xdr:twoCellAnchor>
  <xdr:twoCellAnchor>
    <xdr:from>
      <xdr:col>6</xdr:col>
      <xdr:colOff>53340</xdr:colOff>
      <xdr:row>13</xdr:row>
      <xdr:rowOff>15240</xdr:rowOff>
    </xdr:from>
    <xdr:to>
      <xdr:col>21</xdr:col>
      <xdr:colOff>441960</xdr:colOff>
      <xdr:row>32</xdr:row>
      <xdr:rowOff>99060</xdr:rowOff>
    </xdr:to>
    <xdr:graphicFrame macro="">
      <xdr:nvGraphicFramePr>
        <xdr:cNvPr id="22" name="Chart 2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44</xdr:row>
      <xdr:rowOff>91439</xdr:rowOff>
    </xdr:from>
    <xdr:to>
      <xdr:col>9</xdr:col>
      <xdr:colOff>243840</xdr:colOff>
      <xdr:row>57</xdr:row>
      <xdr:rowOff>160019</xdr:rowOff>
    </xdr:to>
    <xdr:graphicFrame macro="">
      <xdr:nvGraphicFramePr>
        <xdr:cNvPr id="23" name="Chart 2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10</xdr:col>
      <xdr:colOff>45720</xdr:colOff>
      <xdr:row>44</xdr:row>
      <xdr:rowOff>68580</xdr:rowOff>
    </xdr:from>
    <xdr:to>
      <xdr:col>21</xdr:col>
      <xdr:colOff>449580</xdr:colOff>
      <xdr:row>57</xdr:row>
      <xdr:rowOff>160020</xdr:rowOff>
    </xdr:to>
    <xdr:graphicFrame macro="">
      <xdr:nvGraphicFramePr>
        <xdr:cNvPr id="24" name="Chart 2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11</xdr:col>
      <xdr:colOff>156320</xdr:colOff>
      <xdr:row>47</xdr:row>
      <xdr:rowOff>185628</xdr:rowOff>
    </xdr:from>
    <xdr:to>
      <xdr:col>14</xdr:col>
      <xdr:colOff>105614</xdr:colOff>
      <xdr:row>49</xdr:row>
      <xdr:rowOff>136184</xdr:rowOff>
    </xdr:to>
    <xdr:sp macro="" textlink="">
      <xdr:nvSpPr>
        <xdr:cNvPr id="25" name="Texte 101"/>
        <xdr:cNvSpPr txBox="1">
          <a:spLocks noChangeArrowheads="1"/>
        </xdr:cNvSpPr>
      </xdr:nvSpPr>
      <xdr:spPr bwMode="auto">
        <a:xfrm>
          <a:off x="3859864" y="7856054"/>
          <a:ext cx="1036265" cy="325954"/>
        </a:xfrm>
        <a:prstGeom prst="rect">
          <a:avLst/>
        </a:prstGeom>
        <a:solidFill>
          <a:schemeClr val="accent3">
            <a:lumMod val="20000"/>
            <a:lumOff val="80000"/>
          </a:schemeClr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fr-FR" sz="1000" b="0" i="0" strike="noStrike">
              <a:solidFill>
                <a:srgbClr val="000000"/>
              </a:solidFill>
              <a:latin typeface="Arial"/>
              <a:cs typeface="Arial"/>
            </a:rPr>
            <a:t>95% OPM </a:t>
          </a:r>
        </a:p>
      </xdr:txBody>
    </xdr:sp>
    <xdr:clientData/>
  </xdr:twoCellAnchor>
  <xdr:twoCellAnchor>
    <xdr:from>
      <xdr:col>17</xdr:col>
      <xdr:colOff>180135</xdr:colOff>
      <xdr:row>54</xdr:row>
      <xdr:rowOff>38661</xdr:rowOff>
    </xdr:from>
    <xdr:to>
      <xdr:col>19</xdr:col>
      <xdr:colOff>134470</xdr:colOff>
      <xdr:row>55</xdr:row>
      <xdr:rowOff>104127</xdr:rowOff>
    </xdr:to>
    <xdr:sp macro="" textlink="">
      <xdr:nvSpPr>
        <xdr:cNvPr id="26" name="Texte 101"/>
        <xdr:cNvSpPr txBox="1">
          <a:spLocks noChangeArrowheads="1"/>
        </xdr:cNvSpPr>
      </xdr:nvSpPr>
      <xdr:spPr bwMode="auto">
        <a:xfrm>
          <a:off x="5446900" y="9014573"/>
          <a:ext cx="772364" cy="250363"/>
        </a:xfrm>
        <a:prstGeom prst="rect">
          <a:avLst/>
        </a:prstGeom>
        <a:solidFill>
          <a:schemeClr val="accent3">
            <a:lumMod val="20000"/>
            <a:lumOff val="80000"/>
          </a:schemeClr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/>
        <a:lstStyle/>
        <a:p>
          <a:r>
            <a:rPr lang="fr-CA" sz="1050" b="1"/>
            <a:t>CBR= 12</a:t>
          </a:r>
        </a:p>
      </xdr:txBody>
    </xdr:sp>
    <xdr:clientData/>
  </xdr:twoCellAnchor>
  <xdr:twoCellAnchor>
    <xdr:from>
      <xdr:col>3</xdr:col>
      <xdr:colOff>247931</xdr:colOff>
      <xdr:row>50</xdr:row>
      <xdr:rowOff>178790</xdr:rowOff>
    </xdr:from>
    <xdr:to>
      <xdr:col>6</xdr:col>
      <xdr:colOff>175541</xdr:colOff>
      <xdr:row>52</xdr:row>
      <xdr:rowOff>192797</xdr:rowOff>
    </xdr:to>
    <xdr:sp macro="" textlink="">
      <xdr:nvSpPr>
        <xdr:cNvPr id="27" name="Texte 98"/>
        <xdr:cNvSpPr txBox="1">
          <a:spLocks noChangeArrowheads="1"/>
        </xdr:cNvSpPr>
      </xdr:nvSpPr>
      <xdr:spPr bwMode="auto">
        <a:xfrm>
          <a:off x="1298482" y="8352080"/>
          <a:ext cx="1300331" cy="392206"/>
        </a:xfrm>
        <a:prstGeom prst="rect">
          <a:avLst/>
        </a:prstGeom>
        <a:solidFill>
          <a:schemeClr val="accent3">
            <a:lumMod val="20000"/>
            <a:lumOff val="80000"/>
          </a:schemeClr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576" tIns="27432" rIns="36576" bIns="27432" anchor="t" upright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kumimoji="0" lang="fr-FR" sz="1000" b="0" i="1" u="none" strike="noStrike" kern="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Times New Roman"/>
              <a:ea typeface="+mn-ea"/>
              <a:cs typeface="Times New Roman"/>
            </a:rPr>
            <a:t>y</a:t>
          </a:r>
          <a:r>
            <a:rPr kumimoji="0" lang="fr-FR" sz="1000" b="0" i="0" u="none" strike="noStrike" kern="0" cap="none" spc="0" normalizeH="0" baseline="-2500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Arial"/>
              <a:ea typeface="+mn-ea"/>
              <a:cs typeface="Arial"/>
            </a:rPr>
            <a:t>d</a:t>
          </a:r>
          <a:r>
            <a:rPr kumimoji="0" lang="fr-FR" sz="1000" b="0" i="0" u="none" strike="noStrike" kern="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Arial"/>
              <a:ea typeface="+mn-ea"/>
              <a:cs typeface="Arial"/>
            </a:rPr>
            <a:t> OPM= 1,965</a:t>
          </a:r>
        </a:p>
        <a:p>
          <a:pPr algn="ctr" rtl="0">
            <a:defRPr sz="1000"/>
          </a:pPr>
          <a:r>
            <a:rPr lang="fr-FR" sz="1000" b="0" i="0" strike="noStrike">
              <a:solidFill>
                <a:srgbClr val="000000"/>
              </a:solidFill>
              <a:latin typeface="Arial"/>
              <a:cs typeface="Arial"/>
            </a:rPr>
            <a:t>w%OPM</a:t>
          </a:r>
          <a:r>
            <a:rPr lang="fr-FR" sz="900" b="0" i="0" strike="noStrike">
              <a:solidFill>
                <a:srgbClr val="000000"/>
              </a:solidFill>
              <a:latin typeface="Arial"/>
              <a:cs typeface="Arial"/>
            </a:rPr>
            <a:t> =</a:t>
          </a:r>
          <a:r>
            <a:rPr lang="fr-FR" sz="900" b="0" i="0" strike="noStrike" baseline="0">
              <a:solidFill>
                <a:srgbClr val="000000"/>
              </a:solidFill>
              <a:latin typeface="Arial"/>
              <a:cs typeface="Arial"/>
            </a:rPr>
            <a:t> 9,70</a:t>
          </a:r>
        </a:p>
      </xdr:txBody>
    </xdr:sp>
    <xdr:clientData/>
  </xdr:twoCellAnchor>
  <xdr:twoCellAnchor editAs="oneCell">
    <xdr:from>
      <xdr:col>0</xdr:col>
      <xdr:colOff>144780</xdr:colOff>
      <xdr:row>0</xdr:row>
      <xdr:rowOff>0</xdr:rowOff>
    </xdr:from>
    <xdr:to>
      <xdr:col>2</xdr:col>
      <xdr:colOff>91440</xdr:colOff>
      <xdr:row>1</xdr:row>
      <xdr:rowOff>220980</xdr:rowOff>
    </xdr:to>
    <xdr:pic>
      <xdr:nvPicPr>
        <xdr:cNvPr id="28" name="Image 27"/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4780" y="0"/>
          <a:ext cx="641985" cy="50673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60960</xdr:colOff>
      <xdr:row>36</xdr:row>
      <xdr:rowOff>114300</xdr:rowOff>
    </xdr:from>
    <xdr:ext cx="2682240" cy="647700"/>
    <xdr:sp macro="" textlink="">
      <xdr:nvSpPr>
        <xdr:cNvPr id="2" name="ZoneTexte 1"/>
        <xdr:cNvSpPr txBox="1"/>
      </xdr:nvSpPr>
      <xdr:spPr>
        <a:xfrm>
          <a:off x="1365885" y="6667500"/>
          <a:ext cx="2682240" cy="64770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0" tIns="0" rIns="0" bIns="0" rtlCol="0" anchor="t">
          <a:noAutofit/>
        </a:bodyPr>
        <a:lstStyle/>
        <a:p>
          <a:pPr algn="ctr"/>
          <a:endParaRPr lang="fr-FR" sz="1200"/>
        </a:p>
        <a:p>
          <a:pPr algn="ctr"/>
          <a:r>
            <a:rPr lang="fr-FR" sz="1400" i="1"/>
            <a:t>w</a:t>
          </a:r>
          <a:r>
            <a:rPr lang="fr-FR" sz="1400" i="0">
              <a:latin typeface="Cambria Math" panose="02040503050406030204" pitchFamily="18" charset="0"/>
            </a:rPr>
            <a:t>=</a:t>
          </a:r>
          <a:r>
            <a:rPr lang="fr-FR" sz="1400" b="0" i="0">
              <a:latin typeface="Cambria Math" panose="02040503050406030204" pitchFamily="18" charset="0"/>
            </a:rPr>
            <a:t>100. </a:t>
          </a:r>
          <a:r>
            <a:rPr kumimoji="0" lang="fr-FR" sz="1400" b="0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Cambria Math" panose="02040503050406030204" pitchFamily="18" charset="0"/>
              <a:ea typeface="+mn-ea"/>
              <a:cs typeface="+mn-cs"/>
            </a:rPr>
            <a:t> 𝑚</a:t>
          </a:r>
          <a:r>
            <a:rPr kumimoji="0" lang="fr-FR" sz="1400" b="0" i="0" u="none" strike="noStrike" kern="0" cap="none" spc="0" normalizeH="0" baseline="-2500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Cambria Math" panose="02040503050406030204" pitchFamily="18" charset="0"/>
              <a:ea typeface="+mn-ea"/>
              <a:cs typeface="+mn-cs"/>
            </a:rPr>
            <a:t>𝑤</a:t>
          </a:r>
          <a:r>
            <a:rPr kumimoji="0" lang="fr-FR" sz="1400" b="0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Cambria Math" panose="02040503050406030204" pitchFamily="18" charset="0"/>
              <a:ea typeface="+mn-ea"/>
              <a:cs typeface="+mn-cs"/>
            </a:rPr>
            <a:t>/𝑚</a:t>
          </a:r>
          <a:r>
            <a:rPr kumimoji="0" lang="fr-FR" sz="1400" b="0" i="0" u="none" strike="noStrike" kern="0" cap="none" spc="0" normalizeH="0" baseline="-2500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Cambria Math" panose="02040503050406030204" pitchFamily="18" charset="0"/>
              <a:ea typeface="+mn-ea"/>
              <a:cs typeface="+mn-cs"/>
            </a:rPr>
            <a:t>𝑑</a:t>
          </a:r>
          <a:r>
            <a:rPr lang="fr-FR" sz="1400" b="0" i="0">
              <a:latin typeface="Cambria Math" panose="02040503050406030204" pitchFamily="18" charset="0"/>
            </a:rPr>
            <a:t>=100.  ((𝑚</a:t>
          </a:r>
          <a:r>
            <a:rPr lang="fr-FR" sz="1400" b="0" i="0" baseline="-25000">
              <a:latin typeface="Cambria Math" panose="02040503050406030204" pitchFamily="18" charset="0"/>
            </a:rPr>
            <a:t>2</a:t>
          </a:r>
          <a:r>
            <a:rPr lang="fr-FR" sz="1400" b="0" i="0">
              <a:latin typeface="Cambria Math" panose="02040503050406030204" pitchFamily="18" charset="0"/>
            </a:rPr>
            <a:t>−𝑚</a:t>
          </a:r>
          <a:r>
            <a:rPr lang="fr-FR" sz="1400" b="0" i="0" baseline="-25000">
              <a:latin typeface="Cambria Math" panose="02040503050406030204" pitchFamily="18" charset="0"/>
            </a:rPr>
            <a:t>3)/(</a:t>
          </a:r>
          <a:r>
            <a:rPr lang="fr-FR" sz="1400" b="0" i="0">
              <a:latin typeface="Cambria Math" panose="02040503050406030204" pitchFamily="18" charset="0"/>
            </a:rPr>
            <a:t>(𝑚</a:t>
          </a:r>
          <a:r>
            <a:rPr lang="fr-FR" sz="1400" b="0" i="0" baseline="-25000">
              <a:latin typeface="Cambria Math" panose="02040503050406030204" pitchFamily="18" charset="0"/>
            </a:rPr>
            <a:t>3</a:t>
          </a:r>
          <a:r>
            <a:rPr lang="fr-FR" sz="1400" b="0" i="0">
              <a:latin typeface="Cambria Math" panose="02040503050406030204" pitchFamily="18" charset="0"/>
            </a:rPr>
            <a:t>−𝑚</a:t>
          </a:r>
          <a:r>
            <a:rPr lang="fr-FR" sz="1400" b="0" i="0" baseline="-25000">
              <a:latin typeface="Cambria Math" panose="02040503050406030204" pitchFamily="18" charset="0"/>
            </a:rPr>
            <a:t>1</a:t>
          </a:r>
          <a:r>
            <a:rPr lang="fr-FR" sz="1400" b="0" i="0">
              <a:latin typeface="Cambria Math" panose="02040503050406030204" pitchFamily="18" charset="0"/>
            </a:rPr>
            <a:t>))</a:t>
          </a:r>
          <a:r>
            <a:rPr lang="fr-FR" sz="1400"/>
            <a:t>    (%)</a:t>
          </a:r>
        </a:p>
      </xdr:txBody>
    </xdr:sp>
    <xdr:clientData/>
  </xdr:oneCellAnchor>
  <xdr:twoCellAnchor editAs="oneCell">
    <xdr:from>
      <xdr:col>0</xdr:col>
      <xdr:colOff>228600</xdr:colOff>
      <xdr:row>0</xdr:row>
      <xdr:rowOff>0</xdr:rowOff>
    </xdr:from>
    <xdr:to>
      <xdr:col>0</xdr:col>
      <xdr:colOff>701040</xdr:colOff>
      <xdr:row>2</xdr:row>
      <xdr:rowOff>7620</xdr:rowOff>
    </xdr:to>
    <xdr:pic>
      <xdr:nvPicPr>
        <xdr:cNvPr id="3" name="Image 2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8600" y="0"/>
          <a:ext cx="472440" cy="398145"/>
        </a:xfrm>
        <a:prstGeom prst="rect">
          <a:avLst/>
        </a:prstGeom>
      </xdr:spPr>
    </xdr:pic>
    <xdr:clientData/>
  </xdr:twoCellAnchor>
  <xdr:twoCellAnchor>
    <xdr:from>
      <xdr:col>11</xdr:col>
      <xdr:colOff>38100</xdr:colOff>
      <xdr:row>22</xdr:row>
      <xdr:rowOff>15240</xdr:rowOff>
    </xdr:from>
    <xdr:to>
      <xdr:col>12</xdr:col>
      <xdr:colOff>0</xdr:colOff>
      <xdr:row>22</xdr:row>
      <xdr:rowOff>167640</xdr:rowOff>
    </xdr:to>
    <xdr:sp macro="" textlink="">
      <xdr:nvSpPr>
        <xdr:cNvPr id="4" name="Rectangle 3"/>
        <xdr:cNvSpPr/>
      </xdr:nvSpPr>
      <xdr:spPr>
        <a:xfrm>
          <a:off x="4381500" y="4206240"/>
          <a:ext cx="333375" cy="152400"/>
        </a:xfrm>
        <a:prstGeom prst="rect">
          <a:avLst/>
        </a:prstGeom>
        <a:ln>
          <a:noFill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fr-FR" sz="1100" b="1"/>
            <a:t>X</a:t>
          </a:r>
        </a:p>
      </xdr:txBody>
    </xdr:sp>
    <xdr:clientData/>
  </xdr:twoCellAnchor>
  <xdr:oneCellAnchor>
    <xdr:from>
      <xdr:col>13</xdr:col>
      <xdr:colOff>228600</xdr:colOff>
      <xdr:row>0</xdr:row>
      <xdr:rowOff>0</xdr:rowOff>
    </xdr:from>
    <xdr:ext cx="472440" cy="398145"/>
    <xdr:pic>
      <xdr:nvPicPr>
        <xdr:cNvPr id="11" name="Image 10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43475" y="0"/>
          <a:ext cx="472440" cy="398145"/>
        </a:xfrm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228600</xdr:colOff>
      <xdr:row>0</xdr:row>
      <xdr:rowOff>0</xdr:rowOff>
    </xdr:from>
    <xdr:to>
      <xdr:col>0</xdr:col>
      <xdr:colOff>701040</xdr:colOff>
      <xdr:row>2</xdr:row>
      <xdr:rowOff>7620</xdr:rowOff>
    </xdr:to>
    <xdr:pic>
      <xdr:nvPicPr>
        <xdr:cNvPr id="2" name="Image 1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8600" y="0"/>
          <a:ext cx="472440" cy="398145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13</xdr:row>
      <xdr:rowOff>106680</xdr:rowOff>
    </xdr:from>
    <xdr:to>
      <xdr:col>14</xdr:col>
      <xdr:colOff>609600</xdr:colOff>
      <xdr:row>34</xdr:row>
      <xdr:rowOff>62865</xdr:rowOff>
    </xdr:to>
    <xdr:graphicFrame macro="">
      <xdr:nvGraphicFramePr>
        <xdr:cNvPr id="2" name="Chart 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0</xdr:col>
      <xdr:colOff>228600</xdr:colOff>
      <xdr:row>0</xdr:row>
      <xdr:rowOff>0</xdr:rowOff>
    </xdr:from>
    <xdr:to>
      <xdr:col>0</xdr:col>
      <xdr:colOff>701040</xdr:colOff>
      <xdr:row>2</xdr:row>
      <xdr:rowOff>38100</xdr:rowOff>
    </xdr:to>
    <xdr:pic>
      <xdr:nvPicPr>
        <xdr:cNvPr id="3" name="Image 2"/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8600" y="0"/>
          <a:ext cx="472440" cy="419100"/>
        </a:xfrm>
        <a:prstGeom prst="rect">
          <a:avLst/>
        </a:prstGeom>
      </xdr:spPr>
    </xdr:pic>
    <xdr:clientData/>
  </xdr:twoCellAnchor>
</xdr:wsDr>
</file>

<file path=xl/drawings/drawing5.xml><?xml version="1.0" encoding="utf-8"?>
<c:userShapes xmlns:c="http://schemas.openxmlformats.org/drawingml/2006/chart">
  <cdr:relSizeAnchor xmlns:cdr="http://schemas.openxmlformats.org/drawingml/2006/chartDrawing">
    <cdr:from>
      <cdr:x>0.05708</cdr:x>
      <cdr:y>0.28518</cdr:y>
    </cdr:from>
    <cdr:to>
      <cdr:x>0.92813</cdr:x>
      <cdr:y>0.28518</cdr:y>
    </cdr:to>
    <cdr:sp macro="" textlink="">
      <cdr:nvSpPr>
        <cdr:cNvPr id="2049" name="Line 1"/>
        <cdr:cNvSpPr>
          <a:spLocks xmlns:a="http://schemas.openxmlformats.org/drawingml/2006/main" noChangeShapeType="1"/>
        </cdr:cNvSpPr>
      </cdr:nvSpPr>
      <cdr:spPr bwMode="auto">
        <a:xfrm xmlns:a="http://schemas.openxmlformats.org/drawingml/2006/main">
          <a:off x="480184" y="1102307"/>
          <a:ext cx="7327691" cy="0"/>
        </a:xfrm>
        <a:prstGeom xmlns:a="http://schemas.openxmlformats.org/drawingml/2006/main" prst="line">
          <a:avLst/>
        </a:prstGeom>
        <a:noFill xmlns:a="http://schemas.openxmlformats.org/drawingml/2006/main"/>
        <a:ln xmlns:a="http://schemas.openxmlformats.org/drawingml/2006/main" w="9525" cap="flat">
          <a:solidFill>
            <a:srgbClr val="000000"/>
          </a:solidFill>
          <a:prstDash val="solid"/>
          <a:round/>
          <a:headEnd/>
          <a:tailEnd type="none" w="med" len="med"/>
        </a:ln>
      </cdr:spPr>
    </cdr:sp>
  </cdr:relSizeAnchor>
  <cdr:relSizeAnchor xmlns:cdr="http://schemas.openxmlformats.org/drawingml/2006/chartDrawing">
    <cdr:from>
      <cdr:x>0.0593</cdr:x>
      <cdr:y>0.23624</cdr:y>
    </cdr:from>
    <cdr:to>
      <cdr:x>0.92887</cdr:x>
      <cdr:y>0.23624</cdr:y>
    </cdr:to>
    <cdr:sp macro="" textlink="">
      <cdr:nvSpPr>
        <cdr:cNvPr id="2050" name="Line 2"/>
        <cdr:cNvSpPr>
          <a:spLocks xmlns:a="http://schemas.openxmlformats.org/drawingml/2006/main" noChangeShapeType="1"/>
        </cdr:cNvSpPr>
      </cdr:nvSpPr>
      <cdr:spPr bwMode="auto">
        <a:xfrm xmlns:a="http://schemas.openxmlformats.org/drawingml/2006/main" flipV="1">
          <a:off x="576129" y="915826"/>
          <a:ext cx="8448307" cy="0"/>
        </a:xfrm>
        <a:prstGeom xmlns:a="http://schemas.openxmlformats.org/drawingml/2006/main" prst="line">
          <a:avLst/>
        </a:prstGeom>
        <a:noFill xmlns:a="http://schemas.openxmlformats.org/drawingml/2006/main"/>
        <a:ln xmlns:a="http://schemas.openxmlformats.org/drawingml/2006/main" w="9525" cap="flat">
          <a:solidFill>
            <a:srgbClr val="000000"/>
          </a:solidFill>
          <a:prstDash val="solid"/>
          <a:round/>
          <a:headEnd/>
          <a:tailEnd type="none" w="med" len="med"/>
        </a:ln>
      </cdr:spPr>
    </cdr:sp>
  </cdr:relSizeAnchor>
  <cdr:relSizeAnchor xmlns:cdr="http://schemas.openxmlformats.org/drawingml/2006/chartDrawing">
    <cdr:from>
      <cdr:x>0.05708</cdr:x>
      <cdr:y>0.23624</cdr:y>
    </cdr:from>
    <cdr:to>
      <cdr:x>0.05708</cdr:x>
      <cdr:y>0.27804</cdr:y>
    </cdr:to>
    <cdr:sp macro="" textlink="">
      <cdr:nvSpPr>
        <cdr:cNvPr id="2051" name="Line 3"/>
        <cdr:cNvSpPr>
          <a:spLocks xmlns:a="http://schemas.openxmlformats.org/drawingml/2006/main" noChangeShapeType="1"/>
        </cdr:cNvSpPr>
      </cdr:nvSpPr>
      <cdr:spPr bwMode="auto">
        <a:xfrm xmlns:a="http://schemas.openxmlformats.org/drawingml/2006/main">
          <a:off x="554561" y="915826"/>
          <a:ext cx="0" cy="162045"/>
        </a:xfrm>
        <a:prstGeom xmlns:a="http://schemas.openxmlformats.org/drawingml/2006/main" prst="line">
          <a:avLst/>
        </a:prstGeom>
        <a:noFill xmlns:a="http://schemas.openxmlformats.org/drawingml/2006/main"/>
        <a:ln xmlns:a="http://schemas.openxmlformats.org/drawingml/2006/main" w="9525" cap="flat">
          <a:solidFill>
            <a:srgbClr val="000000"/>
          </a:solidFill>
          <a:prstDash val="solid"/>
          <a:round/>
          <a:headEnd/>
          <a:tailEnd type="none" w="med" len="med"/>
        </a:ln>
      </cdr:spPr>
    </cdr:sp>
  </cdr:relSizeAnchor>
  <cdr:relSizeAnchor xmlns:cdr="http://schemas.openxmlformats.org/drawingml/2006/chartDrawing">
    <cdr:from>
      <cdr:x>0.15918</cdr:x>
      <cdr:y>0.23624</cdr:y>
    </cdr:from>
    <cdr:to>
      <cdr:x>0.15918</cdr:x>
      <cdr:y>0.27804</cdr:y>
    </cdr:to>
    <cdr:sp macro="" textlink="">
      <cdr:nvSpPr>
        <cdr:cNvPr id="2052" name="Line 4"/>
        <cdr:cNvSpPr>
          <a:spLocks xmlns:a="http://schemas.openxmlformats.org/drawingml/2006/main" noChangeShapeType="1"/>
        </cdr:cNvSpPr>
      </cdr:nvSpPr>
      <cdr:spPr bwMode="auto">
        <a:xfrm xmlns:a="http://schemas.openxmlformats.org/drawingml/2006/main">
          <a:off x="1123606" y="1015778"/>
          <a:ext cx="0" cy="179165"/>
        </a:xfrm>
        <a:prstGeom xmlns:a="http://schemas.openxmlformats.org/drawingml/2006/main" prst="line">
          <a:avLst/>
        </a:prstGeom>
        <a:noFill xmlns:a="http://schemas.openxmlformats.org/drawingml/2006/main"/>
        <a:ln xmlns:a="http://schemas.openxmlformats.org/drawingml/2006/main" w="9525" cap="flat">
          <a:solidFill>
            <a:srgbClr val="000000"/>
          </a:solidFill>
          <a:prstDash val="solid"/>
          <a:round/>
          <a:headEnd/>
          <a:tailEnd type="none" w="med" len="med"/>
        </a:ln>
      </cdr:spPr>
    </cdr:sp>
  </cdr:relSizeAnchor>
  <cdr:relSizeAnchor xmlns:cdr="http://schemas.openxmlformats.org/drawingml/2006/chartDrawing">
    <cdr:from>
      <cdr:x>0.30517</cdr:x>
      <cdr:y>0.23869</cdr:y>
    </cdr:from>
    <cdr:to>
      <cdr:x>0.30517</cdr:x>
      <cdr:y>0.27804</cdr:y>
    </cdr:to>
    <cdr:sp macro="" textlink="">
      <cdr:nvSpPr>
        <cdr:cNvPr id="2053" name="Line 5"/>
        <cdr:cNvSpPr>
          <a:spLocks xmlns:a="http://schemas.openxmlformats.org/drawingml/2006/main" noChangeShapeType="1"/>
        </cdr:cNvSpPr>
      </cdr:nvSpPr>
      <cdr:spPr bwMode="auto">
        <a:xfrm xmlns:a="http://schemas.openxmlformats.org/drawingml/2006/main">
          <a:off x="2151277" y="1026255"/>
          <a:ext cx="0" cy="168688"/>
        </a:xfrm>
        <a:prstGeom xmlns:a="http://schemas.openxmlformats.org/drawingml/2006/main" prst="line">
          <a:avLst/>
        </a:prstGeom>
        <a:noFill xmlns:a="http://schemas.openxmlformats.org/drawingml/2006/main"/>
        <a:ln xmlns:a="http://schemas.openxmlformats.org/drawingml/2006/main" w="9525" cap="flat">
          <a:solidFill>
            <a:srgbClr val="000000"/>
          </a:solidFill>
          <a:prstDash val="solid"/>
          <a:round/>
          <a:headEnd/>
          <a:tailEnd type="none" w="med" len="med"/>
        </a:ln>
      </cdr:spPr>
    </cdr:sp>
  </cdr:relSizeAnchor>
  <cdr:relSizeAnchor xmlns:cdr="http://schemas.openxmlformats.org/drawingml/2006/chartDrawing">
    <cdr:from>
      <cdr:x>0.44747</cdr:x>
      <cdr:y>0.23624</cdr:y>
    </cdr:from>
    <cdr:to>
      <cdr:x>0.44747</cdr:x>
      <cdr:y>0.27804</cdr:y>
    </cdr:to>
    <cdr:sp macro="" textlink="">
      <cdr:nvSpPr>
        <cdr:cNvPr id="2054" name="Line 6"/>
        <cdr:cNvSpPr>
          <a:spLocks xmlns:a="http://schemas.openxmlformats.org/drawingml/2006/main" noChangeShapeType="1"/>
        </cdr:cNvSpPr>
      </cdr:nvSpPr>
      <cdr:spPr bwMode="auto">
        <a:xfrm xmlns:a="http://schemas.openxmlformats.org/drawingml/2006/main">
          <a:off x="3152909" y="1015778"/>
          <a:ext cx="0" cy="179165"/>
        </a:xfrm>
        <a:prstGeom xmlns:a="http://schemas.openxmlformats.org/drawingml/2006/main" prst="line">
          <a:avLst/>
        </a:prstGeom>
        <a:noFill xmlns:a="http://schemas.openxmlformats.org/drawingml/2006/main"/>
        <a:ln xmlns:a="http://schemas.openxmlformats.org/drawingml/2006/main" w="9525" cap="flat">
          <a:solidFill>
            <a:srgbClr val="000000"/>
          </a:solidFill>
          <a:prstDash val="solid"/>
          <a:round/>
          <a:headEnd/>
          <a:tailEnd type="none" w="med" len="med"/>
        </a:ln>
      </cdr:spPr>
    </cdr:sp>
  </cdr:relSizeAnchor>
  <cdr:relSizeAnchor xmlns:cdr="http://schemas.openxmlformats.org/drawingml/2006/chartDrawing">
    <cdr:from>
      <cdr:x>0.59445</cdr:x>
      <cdr:y>0.23624</cdr:y>
    </cdr:from>
    <cdr:to>
      <cdr:x>0.59445</cdr:x>
      <cdr:y>0.27804</cdr:y>
    </cdr:to>
    <cdr:sp macro="" textlink="">
      <cdr:nvSpPr>
        <cdr:cNvPr id="2055" name="Line 7"/>
        <cdr:cNvSpPr>
          <a:spLocks xmlns:a="http://schemas.openxmlformats.org/drawingml/2006/main" noChangeShapeType="1"/>
        </cdr:cNvSpPr>
      </cdr:nvSpPr>
      <cdr:spPr bwMode="auto">
        <a:xfrm xmlns:a="http://schemas.openxmlformats.org/drawingml/2006/main">
          <a:off x="5775379" y="915826"/>
          <a:ext cx="0" cy="162045"/>
        </a:xfrm>
        <a:prstGeom xmlns:a="http://schemas.openxmlformats.org/drawingml/2006/main" prst="line">
          <a:avLst/>
        </a:prstGeom>
        <a:noFill xmlns:a="http://schemas.openxmlformats.org/drawingml/2006/main"/>
        <a:ln xmlns:a="http://schemas.openxmlformats.org/drawingml/2006/main" w="9525" cap="flat">
          <a:solidFill>
            <a:srgbClr val="000000"/>
          </a:solidFill>
          <a:prstDash val="solid"/>
          <a:round/>
          <a:headEnd/>
          <a:tailEnd type="none" w="med" len="med"/>
        </a:ln>
      </cdr:spPr>
    </cdr:sp>
  </cdr:relSizeAnchor>
  <cdr:relSizeAnchor xmlns:cdr="http://schemas.openxmlformats.org/drawingml/2006/chartDrawing">
    <cdr:from>
      <cdr:x>0.73947</cdr:x>
      <cdr:y>0.23869</cdr:y>
    </cdr:from>
    <cdr:to>
      <cdr:x>0.73947</cdr:x>
      <cdr:y>0.27804</cdr:y>
    </cdr:to>
    <cdr:sp macro="" textlink="">
      <cdr:nvSpPr>
        <cdr:cNvPr id="2056" name="Line 8"/>
        <cdr:cNvSpPr>
          <a:spLocks xmlns:a="http://schemas.openxmlformats.org/drawingml/2006/main" noChangeShapeType="1"/>
        </cdr:cNvSpPr>
      </cdr:nvSpPr>
      <cdr:spPr bwMode="auto">
        <a:xfrm xmlns:a="http://schemas.openxmlformats.org/drawingml/2006/main">
          <a:off x="7184321" y="925324"/>
          <a:ext cx="0" cy="152547"/>
        </a:xfrm>
        <a:prstGeom xmlns:a="http://schemas.openxmlformats.org/drawingml/2006/main" prst="line">
          <a:avLst/>
        </a:prstGeom>
        <a:noFill xmlns:a="http://schemas.openxmlformats.org/drawingml/2006/main"/>
        <a:ln xmlns:a="http://schemas.openxmlformats.org/drawingml/2006/main" w="9525" cap="flat">
          <a:solidFill>
            <a:srgbClr val="000000"/>
          </a:solidFill>
          <a:prstDash val="solid"/>
          <a:round/>
          <a:headEnd/>
          <a:tailEnd type="none" w="med" len="med"/>
        </a:ln>
      </cdr:spPr>
    </cdr:sp>
  </cdr:relSizeAnchor>
  <cdr:relSizeAnchor xmlns:cdr="http://schemas.openxmlformats.org/drawingml/2006/chartDrawing">
    <cdr:from>
      <cdr:x>0.92714</cdr:x>
      <cdr:y>0.23893</cdr:y>
    </cdr:from>
    <cdr:to>
      <cdr:x>0.92714</cdr:x>
      <cdr:y>0.27804</cdr:y>
    </cdr:to>
    <cdr:sp macro="" textlink="">
      <cdr:nvSpPr>
        <cdr:cNvPr id="2057" name="Line 9"/>
        <cdr:cNvSpPr>
          <a:spLocks xmlns:a="http://schemas.openxmlformats.org/drawingml/2006/main" noChangeShapeType="1"/>
        </cdr:cNvSpPr>
      </cdr:nvSpPr>
      <cdr:spPr bwMode="auto">
        <a:xfrm xmlns:a="http://schemas.openxmlformats.org/drawingml/2006/main" flipH="1">
          <a:off x="9007629" y="926254"/>
          <a:ext cx="0" cy="151617"/>
        </a:xfrm>
        <a:prstGeom xmlns:a="http://schemas.openxmlformats.org/drawingml/2006/main" prst="line">
          <a:avLst/>
        </a:prstGeom>
        <a:noFill xmlns:a="http://schemas.openxmlformats.org/drawingml/2006/main"/>
        <a:ln xmlns:a="http://schemas.openxmlformats.org/drawingml/2006/main" w="9525" cap="flat">
          <a:solidFill>
            <a:srgbClr val="000000"/>
          </a:solidFill>
          <a:prstDash val="solid"/>
          <a:round/>
          <a:headEnd/>
          <a:tailEnd type="none" w="med" len="med"/>
        </a:ln>
      </cdr:spPr>
    </cdr:sp>
  </cdr:relSizeAnchor>
  <cdr:relSizeAnchor xmlns:cdr="http://schemas.openxmlformats.org/drawingml/2006/chartDrawing">
    <cdr:from>
      <cdr:x>0.06521</cdr:x>
      <cdr:y>0.23747</cdr:y>
    </cdr:from>
    <cdr:to>
      <cdr:x>0.15918</cdr:x>
      <cdr:y>0.27291</cdr:y>
    </cdr:to>
    <cdr:sp macro="" textlink="">
      <cdr:nvSpPr>
        <cdr:cNvPr id="2058" name="Texte 10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633548" y="920594"/>
          <a:ext cx="912965" cy="137389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1">
          <a:noFill/>
          <a:miter lim="800000"/>
          <a:headEnd/>
          <a:tailEnd/>
        </a:ln>
      </cdr:spPr>
      <cdr:txBody>
        <a:bodyPr xmlns:a="http://schemas.openxmlformats.org/drawingml/2006/main" vertOverflow="clip" wrap="square" lIns="27432" tIns="18288" rIns="0" bIns="0" anchor="t" upright="1"/>
        <a:lstStyle xmlns:a="http://schemas.openxmlformats.org/drawingml/2006/main"/>
        <a:p xmlns:a="http://schemas.openxmlformats.org/drawingml/2006/main">
          <a:pPr algn="l" rtl="1">
            <a:defRPr sz="1000"/>
          </a:pPr>
          <a:r>
            <a:rPr lang="fr-FR" sz="800" b="1" i="0" strike="noStrike">
              <a:solidFill>
                <a:srgbClr val="000000"/>
              </a:solidFill>
              <a:latin typeface="Times New Roman"/>
              <a:cs typeface="Times New Roman"/>
            </a:rPr>
            <a:t>CAILLOUX</a:t>
          </a:r>
        </a:p>
      </cdr:txBody>
    </cdr:sp>
  </cdr:relSizeAnchor>
  <cdr:relSizeAnchor xmlns:cdr="http://schemas.openxmlformats.org/drawingml/2006/chartDrawing">
    <cdr:from>
      <cdr:x>0.19025</cdr:x>
      <cdr:y>0.24236</cdr:y>
    </cdr:from>
    <cdr:to>
      <cdr:x>0.27287</cdr:x>
      <cdr:y>0.28024</cdr:y>
    </cdr:to>
    <cdr:sp macro="" textlink="">
      <cdr:nvSpPr>
        <cdr:cNvPr id="2059" name="Texte 11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1848374" y="939551"/>
          <a:ext cx="802694" cy="146848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1">
          <a:noFill/>
          <a:miter lim="800000"/>
          <a:headEnd/>
          <a:tailEnd/>
        </a:ln>
      </cdr:spPr>
      <cdr:txBody>
        <a:bodyPr xmlns:a="http://schemas.openxmlformats.org/drawingml/2006/main" vertOverflow="clip" wrap="square" lIns="27432" tIns="18288" rIns="0" bIns="0" anchor="t" upright="1"/>
        <a:lstStyle xmlns:a="http://schemas.openxmlformats.org/drawingml/2006/main"/>
        <a:p xmlns:a="http://schemas.openxmlformats.org/drawingml/2006/main">
          <a:pPr algn="l" rtl="1">
            <a:defRPr sz="1000"/>
          </a:pPr>
          <a:r>
            <a:rPr lang="fr-FR" sz="800" b="1" i="0" strike="noStrike">
              <a:solidFill>
                <a:srgbClr val="000000"/>
              </a:solidFill>
              <a:latin typeface="Times New Roman"/>
              <a:cs typeface="Times New Roman"/>
            </a:rPr>
            <a:t>GRAVIERS</a:t>
          </a:r>
        </a:p>
      </cdr:txBody>
    </cdr:sp>
  </cdr:relSizeAnchor>
  <cdr:relSizeAnchor xmlns:cdr="http://schemas.openxmlformats.org/drawingml/2006/chartDrawing">
    <cdr:from>
      <cdr:x>0.30419</cdr:x>
      <cdr:y>0.23967</cdr:y>
    </cdr:from>
    <cdr:to>
      <cdr:x>0.45709</cdr:x>
      <cdr:y>0.27511</cdr:y>
    </cdr:to>
    <cdr:sp macro="" textlink="">
      <cdr:nvSpPr>
        <cdr:cNvPr id="2060" name="Texte 12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2955358" y="929123"/>
          <a:ext cx="1485500" cy="137389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1">
          <a:noFill/>
          <a:miter lim="800000"/>
          <a:headEnd/>
          <a:tailEnd/>
        </a:ln>
      </cdr:spPr>
      <cdr:txBody>
        <a:bodyPr xmlns:a="http://schemas.openxmlformats.org/drawingml/2006/main" vertOverflow="clip" wrap="square" lIns="27432" tIns="18288" rIns="0" bIns="0" anchor="t" upright="1"/>
        <a:lstStyle xmlns:a="http://schemas.openxmlformats.org/drawingml/2006/main"/>
        <a:p xmlns:a="http://schemas.openxmlformats.org/drawingml/2006/main">
          <a:pPr algn="l" rtl="1">
            <a:defRPr sz="1000"/>
          </a:pPr>
          <a:r>
            <a:rPr lang="fr-FR" sz="800" b="1" i="0" strike="noStrike">
              <a:solidFill>
                <a:srgbClr val="000000"/>
              </a:solidFill>
              <a:latin typeface="Times New Roman"/>
              <a:cs typeface="Times New Roman"/>
            </a:rPr>
            <a:t>SABLE GROSSIER</a:t>
          </a:r>
        </a:p>
      </cdr:txBody>
    </cdr:sp>
  </cdr:relSizeAnchor>
  <cdr:relSizeAnchor xmlns:cdr="http://schemas.openxmlformats.org/drawingml/2006/chartDrawing">
    <cdr:from>
      <cdr:x>0.4709</cdr:x>
      <cdr:y>0.23967</cdr:y>
    </cdr:from>
    <cdr:to>
      <cdr:x>0.57004</cdr:x>
      <cdr:y>0.27096</cdr:y>
    </cdr:to>
    <cdr:sp macro="" textlink="">
      <cdr:nvSpPr>
        <cdr:cNvPr id="2061" name="Texte 13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4575029" y="929123"/>
          <a:ext cx="963195" cy="121301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1">
          <a:noFill/>
          <a:miter lim="800000"/>
          <a:headEnd/>
          <a:tailEnd/>
        </a:ln>
      </cdr:spPr>
      <cdr:txBody>
        <a:bodyPr xmlns:a="http://schemas.openxmlformats.org/drawingml/2006/main" vertOverflow="clip" wrap="square" lIns="27432" tIns="18288" rIns="0" bIns="0" anchor="t" upright="1"/>
        <a:lstStyle xmlns:a="http://schemas.openxmlformats.org/drawingml/2006/main"/>
        <a:p xmlns:a="http://schemas.openxmlformats.org/drawingml/2006/main">
          <a:pPr algn="l" rtl="1">
            <a:defRPr sz="1000"/>
          </a:pPr>
          <a:r>
            <a:rPr lang="fr-FR" sz="800" b="1" i="0" strike="noStrike">
              <a:solidFill>
                <a:srgbClr val="000000"/>
              </a:solidFill>
              <a:latin typeface="Times New Roman"/>
              <a:cs typeface="Times New Roman"/>
            </a:rPr>
            <a:t>SABLE FIN</a:t>
          </a:r>
        </a:p>
      </cdr:txBody>
    </cdr:sp>
  </cdr:relSizeAnchor>
  <cdr:relSizeAnchor xmlns:cdr="http://schemas.openxmlformats.org/drawingml/2006/chartDrawing">
    <cdr:from>
      <cdr:x>0.6386</cdr:x>
      <cdr:y>0.24113</cdr:y>
    </cdr:from>
    <cdr:to>
      <cdr:x>0.70642</cdr:x>
      <cdr:y>0.27902</cdr:y>
    </cdr:to>
    <cdr:sp macro="" textlink="">
      <cdr:nvSpPr>
        <cdr:cNvPr id="2062" name="Texte 14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6204318" y="934783"/>
          <a:ext cx="658906" cy="146887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1">
          <a:noFill/>
          <a:miter lim="800000"/>
          <a:headEnd/>
          <a:tailEnd/>
        </a:ln>
      </cdr:spPr>
      <cdr:txBody>
        <a:bodyPr xmlns:a="http://schemas.openxmlformats.org/drawingml/2006/main" vertOverflow="clip" wrap="square" lIns="27432" tIns="18288" rIns="0" bIns="0" anchor="t" upright="1"/>
        <a:lstStyle xmlns:a="http://schemas.openxmlformats.org/drawingml/2006/main"/>
        <a:p xmlns:a="http://schemas.openxmlformats.org/drawingml/2006/main">
          <a:pPr algn="l" rtl="1">
            <a:defRPr sz="1000"/>
          </a:pPr>
          <a:r>
            <a:rPr lang="fr-FR" sz="800" b="1" i="0" strike="noStrike">
              <a:solidFill>
                <a:srgbClr val="000000"/>
              </a:solidFill>
              <a:latin typeface="Times New Roman"/>
              <a:cs typeface="Times New Roman"/>
            </a:rPr>
            <a:t>LIMON</a:t>
          </a:r>
        </a:p>
      </cdr:txBody>
    </cdr:sp>
  </cdr:relSizeAnchor>
  <cdr:relSizeAnchor xmlns:cdr="http://schemas.openxmlformats.org/drawingml/2006/chartDrawing">
    <cdr:from>
      <cdr:x>0.79767</cdr:x>
      <cdr:y>0.24113</cdr:y>
    </cdr:from>
    <cdr:to>
      <cdr:x>0.86376</cdr:x>
      <cdr:y>0.27438</cdr:y>
    </cdr:to>
    <cdr:sp macro="" textlink="">
      <cdr:nvSpPr>
        <cdr:cNvPr id="2063" name="Texte 15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7749763" y="934783"/>
          <a:ext cx="642097" cy="128899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1">
          <a:noFill/>
          <a:miter lim="800000"/>
          <a:headEnd/>
          <a:tailEnd/>
        </a:ln>
      </cdr:spPr>
      <cdr:txBody>
        <a:bodyPr xmlns:a="http://schemas.openxmlformats.org/drawingml/2006/main" vertOverflow="clip" wrap="square" lIns="27432" tIns="18288" rIns="0" bIns="0" anchor="t" upright="1"/>
        <a:lstStyle xmlns:a="http://schemas.openxmlformats.org/drawingml/2006/main"/>
        <a:p xmlns:a="http://schemas.openxmlformats.org/drawingml/2006/main">
          <a:pPr algn="l" rtl="1">
            <a:defRPr sz="1000"/>
          </a:pPr>
          <a:r>
            <a:rPr lang="fr-FR" sz="800" b="1" i="0" strike="noStrike">
              <a:solidFill>
                <a:srgbClr val="000000"/>
              </a:solidFill>
              <a:latin typeface="Times New Roman"/>
              <a:cs typeface="Times New Roman"/>
            </a:rPr>
            <a:t>ARGILE</a:t>
          </a:r>
        </a:p>
      </cdr:txBody>
    </cdr:sp>
  </cdr:relSizeAnchor>
  <cdr:relSizeAnchor xmlns:cdr="http://schemas.openxmlformats.org/drawingml/2006/chartDrawing">
    <cdr:from>
      <cdr:x>0.5328</cdr:x>
      <cdr:y>0.94098</cdr:y>
    </cdr:from>
    <cdr:to>
      <cdr:x>0.92739</cdr:x>
      <cdr:y>0.94098</cdr:y>
    </cdr:to>
    <cdr:sp macro="" textlink="">
      <cdr:nvSpPr>
        <cdr:cNvPr id="2064" name="Line 16"/>
        <cdr:cNvSpPr>
          <a:spLocks xmlns:a="http://schemas.openxmlformats.org/drawingml/2006/main" noChangeShapeType="1"/>
        </cdr:cNvSpPr>
      </cdr:nvSpPr>
      <cdr:spPr bwMode="auto">
        <a:xfrm xmlns:a="http://schemas.openxmlformats.org/drawingml/2006/main" flipV="1">
          <a:off x="3753541" y="4036441"/>
          <a:ext cx="2777490" cy="0"/>
        </a:xfrm>
        <a:prstGeom xmlns:a="http://schemas.openxmlformats.org/drawingml/2006/main" prst="line">
          <a:avLst/>
        </a:prstGeom>
        <a:noFill xmlns:a="http://schemas.openxmlformats.org/drawingml/2006/main"/>
        <a:ln xmlns:a="http://schemas.openxmlformats.org/drawingml/2006/main" w="1" cap="flat">
          <a:solidFill>
            <a:srgbClr val="000000"/>
          </a:solidFill>
          <a:prstDash val="solid"/>
          <a:round/>
          <a:headEnd/>
          <a:tailEnd type="triangle" w="sm" len="med"/>
        </a:ln>
      </cdr:spPr>
    </cdr:sp>
  </cdr:relSizeAnchor>
  <cdr:relSizeAnchor xmlns:cdr="http://schemas.openxmlformats.org/drawingml/2006/chartDrawing">
    <cdr:from>
      <cdr:x>0.92739</cdr:x>
      <cdr:y>0.92802</cdr:y>
    </cdr:from>
    <cdr:to>
      <cdr:x>0.92739</cdr:x>
      <cdr:y>0.95784</cdr:y>
    </cdr:to>
    <cdr:sp macro="" textlink="">
      <cdr:nvSpPr>
        <cdr:cNvPr id="2065" name="Line 17"/>
        <cdr:cNvSpPr>
          <a:spLocks xmlns:a="http://schemas.openxmlformats.org/drawingml/2006/main" noChangeShapeType="1"/>
        </cdr:cNvSpPr>
      </cdr:nvSpPr>
      <cdr:spPr bwMode="auto">
        <a:xfrm xmlns:a="http://schemas.openxmlformats.org/drawingml/2006/main">
          <a:off x="6531031" y="3980910"/>
          <a:ext cx="0" cy="127826"/>
        </a:xfrm>
        <a:prstGeom xmlns:a="http://schemas.openxmlformats.org/drawingml/2006/main" prst="line">
          <a:avLst/>
        </a:prstGeom>
        <a:noFill xmlns:a="http://schemas.openxmlformats.org/drawingml/2006/main"/>
        <a:ln xmlns:a="http://schemas.openxmlformats.org/drawingml/2006/main" w="1" cap="flat">
          <a:solidFill>
            <a:srgbClr val="000000"/>
          </a:solidFill>
          <a:prstDash val="solid"/>
          <a:round/>
          <a:headEnd/>
          <a:tailEnd type="none" w="med" len="med"/>
        </a:ln>
      </cdr:spPr>
    </cdr:sp>
  </cdr:relSizeAnchor>
  <cdr:relSizeAnchor xmlns:cdr="http://schemas.openxmlformats.org/drawingml/2006/chartDrawing">
    <cdr:from>
      <cdr:x>0.5074</cdr:x>
      <cdr:y>0.94098</cdr:y>
    </cdr:from>
    <cdr:to>
      <cdr:x>0.53527</cdr:x>
      <cdr:y>0.94098</cdr:y>
    </cdr:to>
    <cdr:sp macro="" textlink="">
      <cdr:nvSpPr>
        <cdr:cNvPr id="2066" name="Line 18"/>
        <cdr:cNvSpPr>
          <a:spLocks xmlns:a="http://schemas.openxmlformats.org/drawingml/2006/main" noChangeShapeType="1"/>
        </cdr:cNvSpPr>
      </cdr:nvSpPr>
      <cdr:spPr bwMode="auto">
        <a:xfrm xmlns:a="http://schemas.openxmlformats.org/drawingml/2006/main" flipH="1">
          <a:off x="3574740" y="4036441"/>
          <a:ext cx="196161" cy="0"/>
        </a:xfrm>
        <a:prstGeom xmlns:a="http://schemas.openxmlformats.org/drawingml/2006/main" prst="line">
          <a:avLst/>
        </a:prstGeom>
        <a:noFill xmlns:a="http://schemas.openxmlformats.org/drawingml/2006/main"/>
        <a:ln xmlns:a="http://schemas.openxmlformats.org/drawingml/2006/main" w="1" cap="flat">
          <a:solidFill>
            <a:srgbClr val="000000"/>
          </a:solidFill>
          <a:prstDash val="solid"/>
          <a:round/>
          <a:headEnd/>
          <a:tailEnd type="triangle" w="sm" len="med"/>
        </a:ln>
      </cdr:spPr>
    </cdr:sp>
  </cdr:relSizeAnchor>
  <cdr:relSizeAnchor xmlns:cdr="http://schemas.openxmlformats.org/drawingml/2006/chartDrawing">
    <cdr:from>
      <cdr:x>0.5074</cdr:x>
      <cdr:y>0.92582</cdr:y>
    </cdr:from>
    <cdr:to>
      <cdr:x>0.5074</cdr:x>
      <cdr:y>0.95784</cdr:y>
    </cdr:to>
    <cdr:sp macro="" textlink="">
      <cdr:nvSpPr>
        <cdr:cNvPr id="2067" name="Line 19"/>
        <cdr:cNvSpPr>
          <a:spLocks xmlns:a="http://schemas.openxmlformats.org/drawingml/2006/main" noChangeShapeType="1"/>
        </cdr:cNvSpPr>
      </cdr:nvSpPr>
      <cdr:spPr bwMode="auto">
        <a:xfrm xmlns:a="http://schemas.openxmlformats.org/drawingml/2006/main">
          <a:off x="3574740" y="3971481"/>
          <a:ext cx="0" cy="137255"/>
        </a:xfrm>
        <a:prstGeom xmlns:a="http://schemas.openxmlformats.org/drawingml/2006/main" prst="line">
          <a:avLst/>
        </a:prstGeom>
        <a:noFill xmlns:a="http://schemas.openxmlformats.org/drawingml/2006/main"/>
        <a:ln xmlns:a="http://schemas.openxmlformats.org/drawingml/2006/main" w="1" cap="flat">
          <a:solidFill>
            <a:srgbClr val="000000"/>
          </a:solidFill>
          <a:prstDash val="solid"/>
          <a:round/>
          <a:headEnd/>
          <a:tailEnd type="none" w="med" len="med"/>
        </a:ln>
      </cdr:spPr>
    </cdr:sp>
  </cdr:relSizeAnchor>
  <cdr:relSizeAnchor xmlns:cdr="http://schemas.openxmlformats.org/drawingml/2006/chartDrawing">
    <cdr:from>
      <cdr:x>0.63441</cdr:x>
      <cdr:y>0.90944</cdr:y>
    </cdr:from>
    <cdr:to>
      <cdr:x>0.85069</cdr:x>
      <cdr:y>0.93829</cdr:y>
    </cdr:to>
    <cdr:sp macro="" textlink="">
      <cdr:nvSpPr>
        <cdr:cNvPr id="2068" name="Texte 20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4468745" y="3901281"/>
          <a:ext cx="1522412" cy="123635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1">
          <a:noFill/>
          <a:miter lim="800000"/>
          <a:headEnd/>
          <a:tailEnd/>
        </a:ln>
      </cdr:spPr>
    </cdr:sp>
  </cdr:relSizeAnchor>
  <cdr:relSizeAnchor xmlns:cdr="http://schemas.openxmlformats.org/drawingml/2006/chartDrawing">
    <cdr:from>
      <cdr:x>0.58385</cdr:x>
      <cdr:y>0.90333</cdr:y>
    </cdr:from>
    <cdr:to>
      <cdr:x>0.91234</cdr:x>
      <cdr:y>0.93438</cdr:y>
    </cdr:to>
    <cdr:sp macro="" textlink="">
      <cdr:nvSpPr>
        <cdr:cNvPr id="2069" name="Texte 21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4112879" y="3875088"/>
          <a:ext cx="2312261" cy="133064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1">
          <a:noFill/>
          <a:miter lim="800000"/>
          <a:headEnd/>
          <a:tailEnd/>
        </a:ln>
      </cdr:spPr>
      <cdr:txBody>
        <a:bodyPr xmlns:a="http://schemas.openxmlformats.org/drawingml/2006/main" vertOverflow="clip" wrap="square" lIns="27432" tIns="22860" rIns="0" bIns="0" anchor="t" upright="1"/>
        <a:lstStyle xmlns:a="http://schemas.openxmlformats.org/drawingml/2006/main"/>
        <a:p xmlns:a="http://schemas.openxmlformats.org/drawingml/2006/main">
          <a:pPr algn="l" rtl="1">
            <a:defRPr sz="1000"/>
          </a:pPr>
          <a:r>
            <a:rPr lang="fr-FR" sz="800" b="0" i="0" strike="noStrike">
              <a:solidFill>
                <a:srgbClr val="000000"/>
              </a:solidFill>
              <a:latin typeface="Times New Roman"/>
              <a:cs typeface="Times New Roman"/>
            </a:rPr>
            <a:t>Diamètres équivalents (mm)  sédimentométrie</a:t>
          </a:r>
        </a:p>
      </cdr:txBody>
    </cdr:sp>
  </cdr:relSizeAnchor>
</c:userShapes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457200</xdr:colOff>
      <xdr:row>0</xdr:row>
      <xdr:rowOff>68580</xdr:rowOff>
    </xdr:from>
    <xdr:ext cx="3726180" cy="1402080"/>
    <xdr:sp macro="" textlink="">
      <xdr:nvSpPr>
        <xdr:cNvPr id="2" name="ZoneTexte 1"/>
        <xdr:cNvSpPr txBox="1"/>
      </xdr:nvSpPr>
      <xdr:spPr>
        <a:xfrm>
          <a:off x="1295400" y="68580"/>
          <a:ext cx="3726180" cy="140208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pPr algn="ctr"/>
          <a:r>
            <a:rPr lang="fr-FR" sz="1100" b="1"/>
            <a:t>MINISTERE</a:t>
          </a:r>
          <a:r>
            <a:rPr lang="fr-FR" sz="1100" b="1" baseline="0"/>
            <a:t> DE L'EQUIPEMENT ET DE L'ENTRETIEN ROUTIER</a:t>
          </a:r>
        </a:p>
        <a:p>
          <a:pPr algn="ctr"/>
          <a:r>
            <a:rPr lang="fr-FR" sz="1100" b="1" baseline="0"/>
            <a:t>DIRECTION GENERALE DU BUREAU DE CONTROLE DU BÂTIMENT ET DES TRAVAUX PUBLICS </a:t>
          </a:r>
        </a:p>
        <a:p>
          <a:pPr algn="ctr"/>
          <a:r>
            <a:rPr lang="fr-FR" sz="1100" b="1" baseline="0"/>
            <a:t>DIRECTION DU LABORATOIRE </a:t>
          </a:r>
        </a:p>
        <a:p>
          <a:pPr algn="ctr"/>
          <a:r>
            <a:rPr lang="fr-FR" sz="1100" baseline="0"/>
            <a:t>B.P 752 Tél./Fax: (00242)22824317</a:t>
          </a:r>
        </a:p>
        <a:p>
          <a:pPr algn="ctr"/>
          <a:r>
            <a:rPr lang="fr-FR" sz="1100" baseline="0"/>
            <a:t>Email </a:t>
          </a:r>
          <a:r>
            <a:rPr lang="fr-FR" sz="1100" u="sng" baseline="0"/>
            <a:t>bcbtpcongo@yahoo.fr</a:t>
          </a:r>
        </a:p>
        <a:p>
          <a:pPr algn="ctr"/>
          <a:r>
            <a:rPr lang="fr-FR" sz="1100" baseline="0"/>
            <a:t>Site web: www.bcbtpcongo.com</a:t>
          </a:r>
        </a:p>
        <a:p>
          <a:pPr algn="ctr"/>
          <a:r>
            <a:rPr lang="fr-FR" sz="1100" baseline="0"/>
            <a:t> </a:t>
          </a:r>
          <a:endParaRPr lang="fr-FR" sz="1100"/>
        </a:p>
      </xdr:txBody>
    </xdr:sp>
    <xdr:clientData/>
  </xdr:oneCellAnchor>
  <xdr:oneCellAnchor>
    <xdr:from>
      <xdr:col>6</xdr:col>
      <xdr:colOff>274320</xdr:colOff>
      <xdr:row>0</xdr:row>
      <xdr:rowOff>53340</xdr:rowOff>
    </xdr:from>
    <xdr:ext cx="1684020" cy="518160"/>
    <xdr:sp macro="" textlink="">
      <xdr:nvSpPr>
        <xdr:cNvPr id="3" name="ZoneTexte 2"/>
        <xdr:cNvSpPr txBox="1"/>
      </xdr:nvSpPr>
      <xdr:spPr>
        <a:xfrm>
          <a:off x="5246370" y="53340"/>
          <a:ext cx="1684020" cy="5181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pPr algn="ctr"/>
          <a:r>
            <a:rPr lang="fr-FR" sz="1100" b="1"/>
            <a:t>REPUBLIQUE DU CONGO</a:t>
          </a:r>
        </a:p>
        <a:p>
          <a:pPr algn="ctr"/>
          <a:r>
            <a:rPr lang="fr-FR" sz="1100" b="1"/>
            <a:t>Unité*Travail*Progrès</a:t>
          </a:r>
        </a:p>
      </xdr:txBody>
    </xdr:sp>
    <xdr:clientData/>
  </xdr:oneCellAnchor>
  <xdr:twoCellAnchor>
    <xdr:from>
      <xdr:col>6</xdr:col>
      <xdr:colOff>441960</xdr:colOff>
      <xdr:row>12</xdr:row>
      <xdr:rowOff>190885</xdr:rowOff>
    </xdr:from>
    <xdr:to>
      <xdr:col>8</xdr:col>
      <xdr:colOff>720090</xdr:colOff>
      <xdr:row>12</xdr:row>
      <xdr:rowOff>190885</xdr:rowOff>
    </xdr:to>
    <xdr:cxnSp macro="">
      <xdr:nvCxnSpPr>
        <xdr:cNvPr id="4" name="Connecteur droit 3"/>
        <xdr:cNvCxnSpPr/>
      </xdr:nvCxnSpPr>
      <xdr:spPr>
        <a:xfrm>
          <a:off x="5406505" y="2653915"/>
          <a:ext cx="177904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</xdr:col>
      <xdr:colOff>247458</xdr:colOff>
      <xdr:row>15</xdr:row>
      <xdr:rowOff>31327</xdr:rowOff>
    </xdr:from>
    <xdr:to>
      <xdr:col>8</xdr:col>
      <xdr:colOff>702753</xdr:colOff>
      <xdr:row>15</xdr:row>
      <xdr:rowOff>31327</xdr:rowOff>
    </xdr:to>
    <xdr:cxnSp macro="">
      <xdr:nvCxnSpPr>
        <xdr:cNvPr id="5" name="Connecteur droit 4"/>
        <xdr:cNvCxnSpPr/>
      </xdr:nvCxnSpPr>
      <xdr:spPr>
        <a:xfrm flipV="1">
          <a:off x="4432685" y="3071630"/>
          <a:ext cx="2735523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oneCellAnchor>
    <xdr:from>
      <xdr:col>3</xdr:col>
      <xdr:colOff>388620</xdr:colOff>
      <xdr:row>37</xdr:row>
      <xdr:rowOff>3492</xdr:rowOff>
    </xdr:from>
    <xdr:ext cx="1066800" cy="358624"/>
    <xdr:sp macro="" textlink="">
      <xdr:nvSpPr>
        <xdr:cNvPr id="6" name="ZoneTexte 5"/>
        <xdr:cNvSpPr txBox="1"/>
      </xdr:nvSpPr>
      <xdr:spPr>
        <a:xfrm>
          <a:off x="2903220" y="7918767"/>
          <a:ext cx="1066800" cy="35862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0" tIns="0" rIns="0" bIns="0" rtlCol="0" anchor="t">
          <a:spAutoFit/>
        </a:bodyPr>
        <a:lstStyle/>
        <a:p>
          <a:r>
            <a:rPr lang="fr-FR" sz="1600" b="1" i="0">
              <a:latin typeface="Cambria Math" panose="02040503050406030204" pitchFamily="18" charset="0"/>
            </a:rPr>
            <a:t>=𝐏𝟓/(𝐕𝐌∗)</a:t>
          </a:r>
          <a:r>
            <a:rPr lang="fr-FR" sz="1600"/>
            <a:t>=</a:t>
          </a:r>
          <a:r>
            <a:rPr lang="fr-FR" sz="1400" b="1"/>
            <a:t>PS </a:t>
          </a:r>
          <a:endParaRPr lang="fr-FR" sz="1100" b="1"/>
        </a:p>
      </xdr:txBody>
    </xdr:sp>
    <xdr:clientData/>
  </xdr:oneCellAnchor>
  <xdr:twoCellAnchor>
    <xdr:from>
      <xdr:col>0</xdr:col>
      <xdr:colOff>0</xdr:colOff>
      <xdr:row>25</xdr:row>
      <xdr:rowOff>304800</xdr:rowOff>
    </xdr:from>
    <xdr:to>
      <xdr:col>5</xdr:col>
      <xdr:colOff>698160</xdr:colOff>
      <xdr:row>25</xdr:row>
      <xdr:rowOff>304800</xdr:rowOff>
    </xdr:to>
    <xdr:cxnSp macro="">
      <xdr:nvCxnSpPr>
        <xdr:cNvPr id="7" name="Connecteur droit 6"/>
        <xdr:cNvCxnSpPr/>
      </xdr:nvCxnSpPr>
      <xdr:spPr>
        <a:xfrm flipH="1">
          <a:off x="0" y="5429250"/>
          <a:ext cx="488916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35</xdr:row>
      <xdr:rowOff>327660</xdr:rowOff>
    </xdr:from>
    <xdr:to>
      <xdr:col>6</xdr:col>
      <xdr:colOff>0</xdr:colOff>
      <xdr:row>35</xdr:row>
      <xdr:rowOff>327660</xdr:rowOff>
    </xdr:to>
    <xdr:cxnSp macro="">
      <xdr:nvCxnSpPr>
        <xdr:cNvPr id="8" name="Connecteur droit 7"/>
        <xdr:cNvCxnSpPr/>
      </xdr:nvCxnSpPr>
      <xdr:spPr>
        <a:xfrm flipH="1">
          <a:off x="0" y="7566660"/>
          <a:ext cx="497205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41</xdr:row>
      <xdr:rowOff>0</xdr:rowOff>
    </xdr:from>
    <xdr:to>
      <xdr:col>5</xdr:col>
      <xdr:colOff>698160</xdr:colOff>
      <xdr:row>41</xdr:row>
      <xdr:rowOff>0</xdr:rowOff>
    </xdr:to>
    <xdr:cxnSp macro="">
      <xdr:nvCxnSpPr>
        <xdr:cNvPr id="9" name="Connecteur droit 8"/>
        <xdr:cNvCxnSpPr/>
      </xdr:nvCxnSpPr>
      <xdr:spPr>
        <a:xfrm>
          <a:off x="0" y="9001125"/>
          <a:ext cx="488916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 editAs="oneCell">
    <xdr:from>
      <xdr:col>0</xdr:col>
      <xdr:colOff>419100</xdr:colOff>
      <xdr:row>2</xdr:row>
      <xdr:rowOff>53340</xdr:rowOff>
    </xdr:from>
    <xdr:to>
      <xdr:col>1</xdr:col>
      <xdr:colOff>365760</xdr:colOff>
      <xdr:row>5</xdr:row>
      <xdr:rowOff>137160</xdr:rowOff>
    </xdr:to>
    <xdr:pic>
      <xdr:nvPicPr>
        <xdr:cNvPr id="10" name="Image 9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19100" y="434340"/>
          <a:ext cx="784860" cy="655320"/>
        </a:xfrm>
        <a:prstGeom prst="rect">
          <a:avLst/>
        </a:prstGeom>
      </xdr:spPr>
    </xdr:pic>
    <xdr:clientData/>
  </xdr:twoCellAnchor>
  <xdr:twoCellAnchor editAs="oneCell">
    <xdr:from>
      <xdr:col>6</xdr:col>
      <xdr:colOff>670560</xdr:colOff>
      <xdr:row>2</xdr:row>
      <xdr:rowOff>76200</xdr:rowOff>
    </xdr:from>
    <xdr:to>
      <xdr:col>8</xdr:col>
      <xdr:colOff>0</xdr:colOff>
      <xdr:row>5</xdr:row>
      <xdr:rowOff>152400</xdr:rowOff>
    </xdr:to>
    <xdr:pic>
      <xdr:nvPicPr>
        <xdr:cNvPr id="11" name="Image 10"/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42610" y="457200"/>
          <a:ext cx="834390" cy="647700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335280</xdr:colOff>
      <xdr:row>0</xdr:row>
      <xdr:rowOff>0</xdr:rowOff>
    </xdr:from>
    <xdr:to>
      <xdr:col>0</xdr:col>
      <xdr:colOff>990600</xdr:colOff>
      <xdr:row>2</xdr:row>
      <xdr:rowOff>91440</xdr:rowOff>
    </xdr:to>
    <xdr:pic>
      <xdr:nvPicPr>
        <xdr:cNvPr id="2" name="Image 1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35280" y="0"/>
          <a:ext cx="655320" cy="47244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43</xdr:row>
      <xdr:rowOff>167415</xdr:rowOff>
    </xdr:from>
    <xdr:to>
      <xdr:col>11</xdr:col>
      <xdr:colOff>7620</xdr:colOff>
      <xdr:row>55</xdr:row>
      <xdr:rowOff>262217</xdr:rowOff>
    </xdr:to>
    <xdr:graphicFrame macro="">
      <xdr:nvGraphicFramePr>
        <xdr:cNvPr id="3" name="Graphique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8.xml><?xml version="1.0" encoding="utf-8"?>
<c:userShapes xmlns:c="http://schemas.openxmlformats.org/drawingml/2006/chart">
  <cdr:relSizeAnchor xmlns:cdr="http://schemas.openxmlformats.org/drawingml/2006/chartDrawing">
    <cdr:from>
      <cdr:x>0.3786</cdr:x>
      <cdr:y>0.58345</cdr:y>
    </cdr:from>
    <cdr:to>
      <cdr:x>0.59103</cdr:x>
      <cdr:y>0.80635</cdr:y>
    </cdr:to>
    <cdr:sp macro="" textlink="">
      <cdr:nvSpPr>
        <cdr:cNvPr id="2" name="Rectangle 1"/>
        <cdr:cNvSpPr/>
      </cdr:nvSpPr>
      <cdr:spPr>
        <a:xfrm xmlns:a="http://schemas.openxmlformats.org/drawingml/2006/main">
          <a:off x="2813983" y="1381054"/>
          <a:ext cx="1578892" cy="527611"/>
        </a:xfrm>
        <a:prstGeom xmlns:a="http://schemas.openxmlformats.org/drawingml/2006/main" prst="rect">
          <a:avLst/>
        </a:prstGeom>
        <a:solidFill xmlns:a="http://schemas.openxmlformats.org/drawingml/2006/main">
          <a:schemeClr val="bg1"/>
        </a:solidFill>
        <a:ln xmlns:a="http://schemas.openxmlformats.org/drawingml/2006/main" w="19050"/>
      </cdr:spPr>
      <cdr:style>
        <a:lnRef xmlns:a="http://schemas.openxmlformats.org/drawingml/2006/main" idx="2">
          <a:schemeClr val="accent1">
            <a:shade val="50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rtlCol="0" anchor="ctr"/>
        <a:lstStyle xmlns:a="http://schemas.openxmlformats.org/drawingml/2006/main"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r>
            <a:rPr lang="fr-FR" sz="1100">
              <a:solidFill>
                <a:srgbClr val="FF0000"/>
              </a:solidFill>
            </a:rPr>
            <a:t>dens.1,965</a:t>
          </a:r>
          <a:r>
            <a:rPr lang="fr-FR" sz="1100" baseline="0">
              <a:solidFill>
                <a:srgbClr val="FF0000"/>
              </a:solidFill>
            </a:rPr>
            <a:t> </a:t>
          </a:r>
          <a:r>
            <a:rPr lang="fr-FR" sz="1100">
              <a:solidFill>
                <a:srgbClr val="FF0000"/>
              </a:solidFill>
            </a:rPr>
            <a:t>t/m³;</a:t>
          </a:r>
        </a:p>
        <a:p xmlns:a="http://schemas.openxmlformats.org/drawingml/2006/main">
          <a:pPr algn="ctr"/>
          <a:r>
            <a:rPr lang="fr-FR" sz="1100">
              <a:solidFill>
                <a:srgbClr val="FF0000"/>
              </a:solidFill>
            </a:rPr>
            <a:t>T.eau: 9,7</a:t>
          </a:r>
          <a:r>
            <a:rPr lang="fr-FR" sz="1100" baseline="0">
              <a:solidFill>
                <a:srgbClr val="FF0000"/>
              </a:solidFill>
            </a:rPr>
            <a:t> </a:t>
          </a:r>
          <a:r>
            <a:rPr lang="fr-FR" sz="1100">
              <a:solidFill>
                <a:srgbClr val="FF0000"/>
              </a:solidFill>
            </a:rPr>
            <a:t>%</a:t>
          </a:r>
        </a:p>
      </cdr:txBody>
    </cdr:sp>
  </cdr:relSizeAnchor>
</c:userShapes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31</xdr:row>
      <xdr:rowOff>99060</xdr:rowOff>
    </xdr:from>
    <xdr:to>
      <xdr:col>8</xdr:col>
      <xdr:colOff>7620</xdr:colOff>
      <xdr:row>51</xdr:row>
      <xdr:rowOff>0</xdr:rowOff>
    </xdr:to>
    <xdr:graphicFrame macro="">
      <xdr:nvGraphicFramePr>
        <xdr:cNvPr id="2" name="Chart 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</xdr:col>
      <xdr:colOff>137160</xdr:colOff>
      <xdr:row>0</xdr:row>
      <xdr:rowOff>0</xdr:rowOff>
    </xdr:from>
    <xdr:to>
      <xdr:col>3</xdr:col>
      <xdr:colOff>144780</xdr:colOff>
      <xdr:row>2</xdr:row>
      <xdr:rowOff>99060</xdr:rowOff>
    </xdr:to>
    <xdr:pic>
      <xdr:nvPicPr>
        <xdr:cNvPr id="3" name="Image 2"/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84835" y="0"/>
          <a:ext cx="626745" cy="470535"/>
        </a:xfrm>
        <a:prstGeom prst="rect">
          <a:avLst/>
        </a:prstGeom>
      </xdr:spPr>
    </xdr:pic>
    <xdr:clientData/>
  </xdr:twoCellAnchor>
  <xdr:twoCellAnchor>
    <xdr:from>
      <xdr:col>0</xdr:col>
      <xdr:colOff>137160</xdr:colOff>
      <xdr:row>47</xdr:row>
      <xdr:rowOff>53340</xdr:rowOff>
    </xdr:from>
    <xdr:to>
      <xdr:col>4</xdr:col>
      <xdr:colOff>166140</xdr:colOff>
      <xdr:row>47</xdr:row>
      <xdr:rowOff>53340</xdr:rowOff>
    </xdr:to>
    <xdr:cxnSp macro="">
      <xdr:nvCxnSpPr>
        <xdr:cNvPr id="4" name="Connecteur droit avec flèche 3"/>
        <xdr:cNvCxnSpPr/>
      </xdr:nvCxnSpPr>
      <xdr:spPr>
        <a:xfrm flipH="1" flipV="1">
          <a:off x="137160" y="8940165"/>
          <a:ext cx="147678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144780</xdr:colOff>
      <xdr:row>48</xdr:row>
      <xdr:rowOff>38100</xdr:rowOff>
    </xdr:from>
    <xdr:to>
      <xdr:col>2</xdr:col>
      <xdr:colOff>236220</xdr:colOff>
      <xdr:row>48</xdr:row>
      <xdr:rowOff>38100</xdr:rowOff>
    </xdr:to>
    <xdr:cxnSp macro="">
      <xdr:nvCxnSpPr>
        <xdr:cNvPr id="5" name="Connecteur droit avec flèche 4"/>
        <xdr:cNvCxnSpPr/>
      </xdr:nvCxnSpPr>
      <xdr:spPr>
        <a:xfrm flipH="1">
          <a:off x="144780" y="9029700"/>
          <a:ext cx="748665" cy="0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241788</xdr:colOff>
      <xdr:row>44</xdr:row>
      <xdr:rowOff>73269</xdr:rowOff>
    </xdr:from>
    <xdr:to>
      <xdr:col>2</xdr:col>
      <xdr:colOff>271096</xdr:colOff>
      <xdr:row>44</xdr:row>
      <xdr:rowOff>80598</xdr:rowOff>
    </xdr:to>
    <xdr:cxnSp macro="">
      <xdr:nvCxnSpPr>
        <xdr:cNvPr id="2" name="Connecteur droit 1"/>
        <xdr:cNvCxnSpPr/>
      </xdr:nvCxnSpPr>
      <xdr:spPr>
        <a:xfrm rot="10800000">
          <a:off x="241788" y="8455269"/>
          <a:ext cx="943708" cy="7329"/>
        </a:xfrm>
        <a:prstGeom prst="line">
          <a:avLst/>
        </a:prstGeom>
        <a:ln w="12700">
          <a:solidFill>
            <a:schemeClr val="tx1"/>
          </a:solidFill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267577</xdr:colOff>
      <xdr:row>44</xdr:row>
      <xdr:rowOff>58616</xdr:rowOff>
    </xdr:from>
    <xdr:to>
      <xdr:col>2</xdr:col>
      <xdr:colOff>313296</xdr:colOff>
      <xdr:row>44</xdr:row>
      <xdr:rowOff>103493</xdr:rowOff>
    </xdr:to>
    <xdr:sp macro="" textlink="">
      <xdr:nvSpPr>
        <xdr:cNvPr id="3" name="Ellipse 2"/>
        <xdr:cNvSpPr/>
      </xdr:nvSpPr>
      <xdr:spPr>
        <a:xfrm flipH="1" flipV="1">
          <a:off x="1181977" y="8440616"/>
          <a:ext cx="45719" cy="44877"/>
        </a:xfrm>
        <a:prstGeom prst="ellips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fr-FR" sz="1100"/>
        </a:p>
      </xdr:txBody>
    </xdr:sp>
    <xdr:clientData/>
  </xdr:twoCellAnchor>
  <xdr:twoCellAnchor>
    <xdr:from>
      <xdr:col>4</xdr:col>
      <xdr:colOff>234169</xdr:colOff>
      <xdr:row>39</xdr:row>
      <xdr:rowOff>21981</xdr:rowOff>
    </xdr:from>
    <xdr:to>
      <xdr:col>4</xdr:col>
      <xdr:colOff>279888</xdr:colOff>
      <xdr:row>39</xdr:row>
      <xdr:rowOff>66858</xdr:rowOff>
    </xdr:to>
    <xdr:sp macro="" textlink="">
      <xdr:nvSpPr>
        <xdr:cNvPr id="4" name="Ellipse 3"/>
        <xdr:cNvSpPr/>
      </xdr:nvSpPr>
      <xdr:spPr>
        <a:xfrm>
          <a:off x="1958194" y="7451481"/>
          <a:ext cx="45719" cy="44877"/>
        </a:xfrm>
        <a:prstGeom prst="ellips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fr-FR" sz="1100"/>
        </a:p>
      </xdr:txBody>
    </xdr:sp>
    <xdr:clientData/>
  </xdr:twoCellAnchor>
  <xdr:twoCellAnchor>
    <xdr:from>
      <xdr:col>2</xdr:col>
      <xdr:colOff>298056</xdr:colOff>
      <xdr:row>33</xdr:row>
      <xdr:rowOff>36635</xdr:rowOff>
    </xdr:from>
    <xdr:to>
      <xdr:col>3</xdr:col>
      <xdr:colOff>223552</xdr:colOff>
      <xdr:row>44</xdr:row>
      <xdr:rowOff>58616</xdr:rowOff>
    </xdr:to>
    <xdr:cxnSp macro="">
      <xdr:nvCxnSpPr>
        <xdr:cNvPr id="5" name="Connecteur droit avec flèche 4"/>
        <xdr:cNvCxnSpPr>
          <a:stCxn id="7" idx="2"/>
          <a:endCxn id="3" idx="4"/>
        </xdr:cNvCxnSpPr>
      </xdr:nvCxnSpPr>
      <xdr:spPr>
        <a:xfrm rot="5400000">
          <a:off x="268863" y="7247678"/>
          <a:ext cx="2136531" cy="249346"/>
        </a:xfrm>
        <a:prstGeom prst="straightConnector1">
          <a:avLst/>
        </a:prstGeom>
        <a:ln>
          <a:solidFill>
            <a:schemeClr val="tx1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223471</xdr:colOff>
      <xdr:row>33</xdr:row>
      <xdr:rowOff>36635</xdr:rowOff>
    </xdr:from>
    <xdr:to>
      <xdr:col>4</xdr:col>
      <xdr:colOff>227020</xdr:colOff>
      <xdr:row>39</xdr:row>
      <xdr:rowOff>14657</xdr:rowOff>
    </xdr:to>
    <xdr:cxnSp macro="">
      <xdr:nvCxnSpPr>
        <xdr:cNvPr id="6" name="Connecteur droit avec flèche 5"/>
        <xdr:cNvCxnSpPr>
          <a:stCxn id="7" idx="2"/>
        </xdr:cNvCxnSpPr>
      </xdr:nvCxnSpPr>
      <xdr:spPr>
        <a:xfrm rot="16200000" flipH="1">
          <a:off x="1136347" y="6629459"/>
          <a:ext cx="1140072" cy="489324"/>
        </a:xfrm>
        <a:prstGeom prst="straightConnector1">
          <a:avLst/>
        </a:prstGeom>
        <a:ln>
          <a:solidFill>
            <a:schemeClr val="tx1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73269</xdr:colOff>
      <xdr:row>31</xdr:row>
      <xdr:rowOff>29307</xdr:rowOff>
    </xdr:from>
    <xdr:to>
      <xdr:col>5</xdr:col>
      <xdr:colOff>73269</xdr:colOff>
      <xdr:row>33</xdr:row>
      <xdr:rowOff>36635</xdr:rowOff>
    </xdr:to>
    <xdr:sp macro="" textlink="">
      <xdr:nvSpPr>
        <xdr:cNvPr id="7" name="Rectangle 6"/>
        <xdr:cNvSpPr/>
      </xdr:nvSpPr>
      <xdr:spPr>
        <a:xfrm>
          <a:off x="987669" y="5915757"/>
          <a:ext cx="1143000" cy="388328"/>
        </a:xfrm>
        <a:prstGeom prst="rect">
          <a:avLst/>
        </a:prstGeom>
        <a:solidFill>
          <a:schemeClr val="bg1"/>
        </a:solidFill>
        <a:ln w="1587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fr-FR" sz="800">
              <a:solidFill>
                <a:sysClr val="windowText" lastClr="000000"/>
              </a:solidFill>
            </a:rPr>
            <a:t>Correction a 2,5 et 5,0mm</a:t>
          </a:r>
        </a:p>
      </xdr:txBody>
    </xdr:sp>
    <xdr:clientData/>
  </xdr:twoCellAnchor>
  <xdr:twoCellAnchor>
    <xdr:from>
      <xdr:col>0</xdr:col>
      <xdr:colOff>7620</xdr:colOff>
      <xdr:row>27</xdr:row>
      <xdr:rowOff>160020</xdr:rowOff>
    </xdr:from>
    <xdr:to>
      <xdr:col>18</xdr:col>
      <xdr:colOff>0</xdr:colOff>
      <xdr:row>44</xdr:row>
      <xdr:rowOff>175260</xdr:rowOff>
    </xdr:to>
    <xdr:graphicFrame macro="">
      <xdr:nvGraphicFramePr>
        <xdr:cNvPr id="8" name="Chart 2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99060</xdr:colOff>
      <xdr:row>21</xdr:row>
      <xdr:rowOff>15240</xdr:rowOff>
    </xdr:from>
    <xdr:to>
      <xdr:col>9</xdr:col>
      <xdr:colOff>365760</xdr:colOff>
      <xdr:row>22</xdr:row>
      <xdr:rowOff>0</xdr:rowOff>
    </xdr:to>
    <xdr:sp macro="" textlink="">
      <xdr:nvSpPr>
        <xdr:cNvPr id="9" name="Oval 13"/>
        <xdr:cNvSpPr>
          <a:spLocks noChangeArrowheads="1"/>
        </xdr:cNvSpPr>
      </xdr:nvSpPr>
      <xdr:spPr bwMode="auto">
        <a:xfrm>
          <a:off x="3299460" y="3958590"/>
          <a:ext cx="266700" cy="184785"/>
        </a:xfrm>
        <a:prstGeom prst="ellips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99060</xdr:colOff>
      <xdr:row>19</xdr:row>
      <xdr:rowOff>15240</xdr:rowOff>
    </xdr:from>
    <xdr:to>
      <xdr:col>9</xdr:col>
      <xdr:colOff>312420</xdr:colOff>
      <xdr:row>19</xdr:row>
      <xdr:rowOff>167640</xdr:rowOff>
    </xdr:to>
    <xdr:sp macro="" textlink="">
      <xdr:nvSpPr>
        <xdr:cNvPr id="10" name="Texte 28"/>
        <xdr:cNvSpPr txBox="1">
          <a:spLocks noChangeArrowheads="1"/>
        </xdr:cNvSpPr>
      </xdr:nvSpPr>
      <xdr:spPr bwMode="auto">
        <a:xfrm>
          <a:off x="3299460" y="3577590"/>
          <a:ext cx="213360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9</xdr:col>
      <xdr:colOff>144780</xdr:colOff>
      <xdr:row>20</xdr:row>
      <xdr:rowOff>38100</xdr:rowOff>
    </xdr:from>
    <xdr:to>
      <xdr:col>9</xdr:col>
      <xdr:colOff>312420</xdr:colOff>
      <xdr:row>21</xdr:row>
      <xdr:rowOff>0</xdr:rowOff>
    </xdr:to>
    <xdr:grpSp>
      <xdr:nvGrpSpPr>
        <xdr:cNvPr id="11" name="Group 15"/>
        <xdr:cNvGrpSpPr>
          <a:grpSpLocks/>
        </xdr:cNvGrpSpPr>
      </xdr:nvGrpSpPr>
      <xdr:grpSpPr bwMode="auto">
        <a:xfrm>
          <a:off x="3330960" y="3774315"/>
          <a:ext cx="167640" cy="149717"/>
          <a:chOff x="-43" y="-26"/>
          <a:chExt cx="25" cy="18"/>
        </a:xfrm>
      </xdr:grpSpPr>
      <xdr:sp macro="" textlink="">
        <xdr:nvSpPr>
          <xdr:cNvPr id="12" name="Line 16"/>
          <xdr:cNvSpPr>
            <a:spLocks noChangeShapeType="1"/>
          </xdr:cNvSpPr>
        </xdr:nvSpPr>
        <xdr:spPr bwMode="auto">
          <a:xfrm flipH="1">
            <a:off x="-43" y="-26"/>
            <a:ext cx="25" cy="18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3" name="Line 17"/>
          <xdr:cNvSpPr>
            <a:spLocks noChangeShapeType="1"/>
          </xdr:cNvSpPr>
        </xdr:nvSpPr>
        <xdr:spPr bwMode="auto">
          <a:xfrm>
            <a:off x="-43" y="-26"/>
            <a:ext cx="25" cy="18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4" name="Line 18"/>
          <xdr:cNvSpPr>
            <a:spLocks noChangeShapeType="1"/>
          </xdr:cNvSpPr>
        </xdr:nvSpPr>
        <xdr:spPr bwMode="auto">
          <a:xfrm>
            <a:off x="-43" y="-8"/>
            <a:ext cx="25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 editAs="oneCell">
    <xdr:from>
      <xdr:col>1</xdr:col>
      <xdr:colOff>213360</xdr:colOff>
      <xdr:row>0</xdr:row>
      <xdr:rowOff>45720</xdr:rowOff>
    </xdr:from>
    <xdr:to>
      <xdr:col>3</xdr:col>
      <xdr:colOff>327660</xdr:colOff>
      <xdr:row>2</xdr:row>
      <xdr:rowOff>228600</xdr:rowOff>
    </xdr:to>
    <xdr:pic>
      <xdr:nvPicPr>
        <xdr:cNvPr id="15" name="Image 14"/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89610" y="45720"/>
          <a:ext cx="876300" cy="712470"/>
        </a:xfrm>
        <a:prstGeom prst="rect">
          <a:avLst/>
        </a:prstGeom>
      </xdr:spPr>
    </xdr:pic>
    <xdr:clientData/>
  </xdr:twoCellAnchor>
  <xdr:twoCellAnchor>
    <xdr:from>
      <xdr:col>7</xdr:col>
      <xdr:colOff>388030</xdr:colOff>
      <xdr:row>40</xdr:row>
      <xdr:rowOff>156371</xdr:rowOff>
    </xdr:from>
    <xdr:to>
      <xdr:col>12</xdr:col>
      <xdr:colOff>199355</xdr:colOff>
      <xdr:row>42</xdr:row>
      <xdr:rowOff>94420</xdr:rowOff>
    </xdr:to>
    <xdr:sp macro="" textlink="">
      <xdr:nvSpPr>
        <xdr:cNvPr id="16" name="Rectangle 15"/>
        <xdr:cNvSpPr/>
      </xdr:nvSpPr>
      <xdr:spPr>
        <a:xfrm>
          <a:off x="2762572" y="7722709"/>
          <a:ext cx="1568755" cy="313683"/>
        </a:xfrm>
        <a:prstGeom prst="rect">
          <a:avLst/>
        </a:prstGeom>
        <a:solidFill>
          <a:schemeClr val="bg1"/>
        </a:solidFill>
        <a:ln w="63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fr-FR" sz="1100" b="1">
              <a:solidFill>
                <a:srgbClr val="FF0000"/>
              </a:solidFill>
            </a:rPr>
            <a:t> CBR à 95% = 12</a:t>
          </a:r>
          <a:r>
            <a:rPr lang="fr-FR" sz="1100" b="1" baseline="0">
              <a:solidFill>
                <a:srgbClr val="FF0000"/>
              </a:solidFill>
            </a:rPr>
            <a:t> </a:t>
          </a:r>
          <a:r>
            <a:rPr lang="fr-FR" sz="1100" b="1">
              <a:solidFill>
                <a:srgbClr val="FF0000"/>
              </a:solidFill>
            </a:rPr>
            <a:t>%</a:t>
          </a:r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Users\BARYT\Documents\CBR-2%20OUESSO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-Paillasse"/>
      <sheetName val="CBR"/>
      <sheetName val="Rapport CBR"/>
    </sheetNames>
    <sheetDataSet>
      <sheetData sheetId="0"/>
      <sheetData sheetId="1">
        <row r="2">
          <cell r="N2" t="str">
            <v>GR</v>
          </cell>
        </row>
        <row r="15">
          <cell r="K15" t="str">
            <v>t/m3</v>
          </cell>
        </row>
      </sheetData>
      <sheetData sheetId="2"/>
    </sheetDataSet>
  </externalBook>
</externalLink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theme/themeOverride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 panose="020F03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 panose="020F05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EQ69"/>
  <sheetViews>
    <sheetView tabSelected="1" topLeftCell="B1" zoomScale="136" zoomScaleNormal="136" workbookViewId="0">
      <selection activeCell="K12" sqref="K12:M12"/>
    </sheetView>
  </sheetViews>
  <sheetFormatPr baseColWidth="10" defaultRowHeight="15" x14ac:dyDescent="0.25"/>
  <cols>
    <col min="1" max="1" width="3.7109375" customWidth="1"/>
    <col min="2" max="2" width="5.28515625" customWidth="1"/>
    <col min="3" max="3" width="4.7109375" customWidth="1"/>
    <col min="4" max="4" width="8.7109375" customWidth="1"/>
    <col min="5" max="5" width="5.140625" customWidth="1"/>
    <col min="6" max="6" width="4.28515625" customWidth="1"/>
    <col min="7" max="7" width="7.7109375" customWidth="1"/>
    <col min="8" max="8" width="5.28515625" customWidth="1"/>
    <col min="9" max="9" width="1.7109375" customWidth="1"/>
    <col min="10" max="10" width="4.28515625" customWidth="1"/>
    <col min="11" max="11" width="4.7109375" customWidth="1"/>
    <col min="12" max="12" width="4.140625" customWidth="1"/>
    <col min="13" max="13" width="5.28515625" customWidth="1"/>
    <col min="14" max="14" width="5.85546875" customWidth="1"/>
    <col min="15" max="15" width="6" customWidth="1"/>
    <col min="16" max="16" width="4" hidden="1" customWidth="1"/>
    <col min="17" max="17" width="0.7109375" hidden="1" customWidth="1"/>
    <col min="18" max="18" width="6.140625" customWidth="1"/>
    <col min="19" max="19" width="5.7109375" customWidth="1"/>
    <col min="20" max="20" width="6.28515625" customWidth="1"/>
    <col min="21" max="21" width="5.7109375" customWidth="1"/>
    <col min="22" max="22" width="6.7109375" customWidth="1"/>
    <col min="23" max="23" width="11.7109375" customWidth="1"/>
  </cols>
  <sheetData>
    <row r="1" spans="1:29" ht="22.9" customHeight="1" x14ac:dyDescent="0.25">
      <c r="A1" s="351"/>
      <c r="B1" s="352"/>
      <c r="C1" s="541" t="s">
        <v>161</v>
      </c>
      <c r="D1" s="541"/>
      <c r="E1" s="541"/>
      <c r="F1" s="541"/>
      <c r="G1" s="541"/>
      <c r="H1" s="541"/>
      <c r="I1" s="541"/>
      <c r="J1" s="541"/>
      <c r="K1" s="541"/>
      <c r="L1" s="541"/>
      <c r="M1" s="541"/>
      <c r="N1" s="541"/>
      <c r="O1" s="541"/>
      <c r="P1" s="541"/>
      <c r="Q1" s="541"/>
      <c r="R1" s="541"/>
      <c r="S1" s="541"/>
      <c r="T1" s="541"/>
      <c r="U1" s="541"/>
      <c r="V1" s="542"/>
    </row>
    <row r="2" spans="1:29" ht="19.149999999999999" customHeight="1" x14ac:dyDescent="0.25">
      <c r="A2" s="543"/>
      <c r="B2" s="544"/>
      <c r="C2" s="544"/>
      <c r="D2" s="544"/>
      <c r="E2" s="545"/>
      <c r="F2" s="545"/>
      <c r="G2" s="545"/>
      <c r="H2" s="545"/>
      <c r="I2" s="545"/>
      <c r="J2" s="545"/>
      <c r="K2" s="545"/>
      <c r="L2" s="545"/>
      <c r="M2" s="546" t="s">
        <v>307</v>
      </c>
      <c r="N2" s="546"/>
      <c r="O2" s="546"/>
      <c r="P2" s="546"/>
      <c r="Q2" s="546"/>
      <c r="R2" s="546"/>
      <c r="S2" s="546"/>
      <c r="T2" s="546"/>
      <c r="U2" s="546"/>
      <c r="V2" s="547"/>
    </row>
    <row r="3" spans="1:29" ht="16.149999999999999" customHeight="1" x14ac:dyDescent="0.25">
      <c r="A3" s="548" t="s">
        <v>162</v>
      </c>
      <c r="B3" s="549"/>
      <c r="C3" s="549"/>
      <c r="D3" s="549"/>
      <c r="E3" s="550" t="s">
        <v>363</v>
      </c>
      <c r="F3" s="551"/>
      <c r="G3" s="551"/>
      <c r="H3" s="551"/>
      <c r="I3" s="551"/>
      <c r="J3" s="551"/>
      <c r="K3" s="551"/>
      <c r="L3" s="551"/>
      <c r="M3" s="551"/>
      <c r="N3" s="551"/>
      <c r="O3" s="551"/>
      <c r="P3" s="551"/>
      <c r="Q3" s="551"/>
      <c r="R3" s="551"/>
      <c r="S3" s="551"/>
      <c r="T3" s="551"/>
      <c r="U3" s="551"/>
      <c r="V3" s="552"/>
    </row>
    <row r="4" spans="1:29" ht="20.45" customHeight="1" x14ac:dyDescent="0.25">
      <c r="A4" s="553" t="s">
        <v>163</v>
      </c>
      <c r="B4" s="554"/>
      <c r="C4" s="554"/>
      <c r="D4" s="554"/>
      <c r="E4" s="555"/>
      <c r="F4" s="556">
        <v>43808</v>
      </c>
      <c r="G4" s="557"/>
      <c r="H4" s="557"/>
      <c r="I4" s="558"/>
      <c r="J4" s="559" t="s">
        <v>164</v>
      </c>
      <c r="K4" s="560"/>
      <c r="L4" s="560"/>
      <c r="M4" s="561"/>
      <c r="N4" s="562">
        <v>43809</v>
      </c>
      <c r="O4" s="563"/>
      <c r="P4" s="563"/>
      <c r="Q4" s="563"/>
      <c r="R4" s="563"/>
      <c r="S4" s="353" t="s">
        <v>136</v>
      </c>
      <c r="T4" s="563">
        <v>43826</v>
      </c>
      <c r="U4" s="564"/>
      <c r="V4" s="565"/>
    </row>
    <row r="5" spans="1:29" ht="7.15" customHeight="1" thickBot="1" x14ac:dyDescent="0.3">
      <c r="A5" s="538"/>
      <c r="B5" s="539"/>
      <c r="C5" s="539"/>
      <c r="D5" s="539"/>
      <c r="E5" s="539"/>
      <c r="F5" s="539"/>
      <c r="G5" s="539"/>
      <c r="H5" s="539"/>
      <c r="I5" s="539"/>
      <c r="J5" s="539"/>
      <c r="K5" s="539"/>
      <c r="L5" s="539"/>
      <c r="M5" s="539"/>
      <c r="N5" s="539"/>
      <c r="O5" s="539"/>
      <c r="P5" s="539"/>
      <c r="Q5" s="539"/>
      <c r="R5" s="539"/>
      <c r="S5" s="539"/>
      <c r="T5" s="539"/>
      <c r="U5" s="539"/>
      <c r="V5" s="540"/>
    </row>
    <row r="6" spans="1:29" ht="16.5" thickBot="1" x14ac:dyDescent="0.3">
      <c r="A6" s="510" t="s">
        <v>165</v>
      </c>
      <c r="B6" s="511"/>
      <c r="C6" s="511"/>
      <c r="D6" s="511"/>
      <c r="E6" s="512"/>
      <c r="F6" s="513" t="s">
        <v>362</v>
      </c>
      <c r="G6" s="514"/>
      <c r="H6" s="514"/>
      <c r="I6" s="514"/>
      <c r="J6" s="514"/>
      <c r="K6" s="514"/>
      <c r="L6" s="514"/>
      <c r="M6" s="514"/>
      <c r="N6" s="514"/>
      <c r="O6" s="514"/>
      <c r="P6" s="514"/>
      <c r="Q6" s="514"/>
      <c r="R6" s="514"/>
      <c r="S6" s="514"/>
      <c r="T6" s="514"/>
      <c r="U6" s="514"/>
      <c r="V6" s="515"/>
    </row>
    <row r="7" spans="1:29" ht="14.45" customHeight="1" x14ac:dyDescent="0.25">
      <c r="A7" s="516" t="s">
        <v>166</v>
      </c>
      <c r="B7" s="517"/>
      <c r="C7" s="517"/>
      <c r="D7" s="517"/>
      <c r="E7" s="517"/>
      <c r="F7" s="518" t="s">
        <v>342</v>
      </c>
      <c r="G7" s="518"/>
      <c r="H7" s="518"/>
      <c r="I7" s="518"/>
      <c r="J7" s="518"/>
      <c r="K7" s="518"/>
      <c r="L7" s="518"/>
      <c r="M7" s="518"/>
      <c r="N7" s="518"/>
      <c r="O7" s="518"/>
      <c r="P7" s="518"/>
      <c r="Q7" s="518"/>
      <c r="R7" s="518"/>
      <c r="S7" s="518"/>
      <c r="T7" s="518"/>
      <c r="U7" s="518"/>
      <c r="V7" s="519"/>
    </row>
    <row r="8" spans="1:29" ht="5.45" customHeight="1" thickBot="1" x14ac:dyDescent="0.3">
      <c r="A8" s="354"/>
      <c r="B8" s="355"/>
      <c r="C8" s="355"/>
      <c r="D8" s="355"/>
      <c r="E8" s="355"/>
      <c r="F8" s="355"/>
      <c r="G8" s="355"/>
      <c r="H8" s="355"/>
      <c r="I8" s="355"/>
      <c r="J8" s="355"/>
      <c r="K8" s="355"/>
      <c r="L8" s="355"/>
      <c r="M8" s="355"/>
      <c r="N8" s="355"/>
      <c r="O8" s="355"/>
      <c r="P8" s="355"/>
      <c r="Q8" s="355"/>
      <c r="R8" s="355"/>
      <c r="S8" s="355"/>
      <c r="T8" s="355"/>
      <c r="U8" s="355"/>
      <c r="V8" s="356"/>
    </row>
    <row r="9" spans="1:29" ht="7.9" customHeight="1" thickBot="1" x14ac:dyDescent="0.3">
      <c r="A9" s="520"/>
      <c r="B9" s="521"/>
      <c r="C9" s="521"/>
      <c r="D9" s="521"/>
      <c r="E9" s="521"/>
      <c r="F9" s="521"/>
      <c r="G9" s="521"/>
      <c r="H9" s="521"/>
      <c r="I9" s="521"/>
      <c r="J9" s="521"/>
      <c r="K9" s="521"/>
      <c r="L9" s="521"/>
      <c r="M9" s="521"/>
      <c r="N9" s="521"/>
      <c r="O9" s="521"/>
      <c r="P9" s="521"/>
      <c r="Q9" s="521"/>
      <c r="R9" s="521"/>
      <c r="S9" s="521"/>
      <c r="T9" s="521"/>
      <c r="U9" s="521"/>
      <c r="V9" s="522"/>
    </row>
    <row r="10" spans="1:29" ht="18.600000000000001" customHeight="1" thickBot="1" x14ac:dyDescent="0.3">
      <c r="A10" s="357" t="s">
        <v>167</v>
      </c>
      <c r="B10" s="358"/>
      <c r="C10" s="358"/>
      <c r="D10" s="358"/>
      <c r="E10" s="358"/>
      <c r="F10" s="358"/>
      <c r="G10" s="358"/>
      <c r="H10" s="358"/>
      <c r="I10" s="358"/>
      <c r="J10" s="358"/>
      <c r="K10" s="358"/>
      <c r="L10" s="358"/>
      <c r="M10" s="359"/>
      <c r="N10" s="360" t="s">
        <v>168</v>
      </c>
      <c r="O10" s="361"/>
      <c r="P10" s="361"/>
      <c r="Q10" s="361"/>
      <c r="R10" s="361"/>
      <c r="S10" s="361"/>
      <c r="T10" s="361"/>
      <c r="U10" s="361"/>
      <c r="V10" s="362"/>
    </row>
    <row r="11" spans="1:29" ht="16.149999999999999" customHeight="1" thickBot="1" x14ac:dyDescent="0.3">
      <c r="A11" s="363" t="s">
        <v>169</v>
      </c>
      <c r="B11" s="364"/>
      <c r="C11" s="364"/>
      <c r="D11" s="523"/>
      <c r="E11" s="524"/>
      <c r="F11" s="525"/>
      <c r="G11" s="532" t="s">
        <v>170</v>
      </c>
      <c r="H11" s="533"/>
      <c r="I11" s="533"/>
      <c r="J11" s="534"/>
      <c r="K11" s="507">
        <f>'Teneur en eau 2 P1 '!F41</f>
        <v>10.557848381662694</v>
      </c>
      <c r="L11" s="508"/>
      <c r="M11" s="509"/>
      <c r="N11" s="535"/>
      <c r="O11" s="536"/>
      <c r="P11" s="536"/>
      <c r="Q11" s="536"/>
      <c r="R11" s="536"/>
      <c r="S11" s="536"/>
      <c r="T11" s="536"/>
      <c r="U11" s="536"/>
      <c r="V11" s="537"/>
    </row>
    <row r="12" spans="1:29" ht="23.45" customHeight="1" x14ac:dyDescent="0.25">
      <c r="A12" s="365" t="s">
        <v>171</v>
      </c>
      <c r="B12" s="366"/>
      <c r="C12" s="366"/>
      <c r="D12" s="495" t="s">
        <v>136</v>
      </c>
      <c r="E12" s="496"/>
      <c r="F12" s="497"/>
      <c r="G12" s="498" t="s">
        <v>364</v>
      </c>
      <c r="H12" s="499"/>
      <c r="I12" s="499"/>
      <c r="J12" s="500"/>
      <c r="K12" s="501">
        <f>PS!G42</f>
        <v>2.590367873877728</v>
      </c>
      <c r="L12" s="502"/>
      <c r="M12" s="503"/>
      <c r="N12" s="504" t="s">
        <v>172</v>
      </c>
      <c r="O12" s="505"/>
      <c r="P12" s="505"/>
      <c r="Q12" s="506"/>
      <c r="R12" s="507">
        <v>41.3</v>
      </c>
      <c r="S12" s="508"/>
      <c r="T12" s="508"/>
      <c r="U12" s="508"/>
      <c r="V12" s="509"/>
      <c r="AB12">
        <v>300</v>
      </c>
    </row>
    <row r="13" spans="1:29" ht="16.149999999999999" customHeight="1" thickBot="1" x14ac:dyDescent="0.3">
      <c r="A13" s="367" t="s">
        <v>173</v>
      </c>
      <c r="B13" s="368"/>
      <c r="C13" s="368"/>
      <c r="D13" s="573" t="s">
        <v>136</v>
      </c>
      <c r="E13" s="574"/>
      <c r="F13" s="575"/>
      <c r="G13" s="369" t="s">
        <v>174</v>
      </c>
      <c r="H13" s="370"/>
      <c r="I13" s="370"/>
      <c r="J13" s="371"/>
      <c r="K13" s="568">
        <f>E34</f>
        <v>25.233333333333334</v>
      </c>
      <c r="L13" s="569"/>
      <c r="M13" s="570"/>
      <c r="N13" s="584" t="s">
        <v>175</v>
      </c>
      <c r="O13" s="585"/>
      <c r="P13" s="585"/>
      <c r="Q13" s="586"/>
      <c r="R13" s="568" t="s">
        <v>136</v>
      </c>
      <c r="S13" s="585"/>
      <c r="T13" s="585"/>
      <c r="U13" s="585"/>
      <c r="V13" s="587"/>
    </row>
    <row r="14" spans="1:29" ht="3.6" customHeight="1" thickBot="1" x14ac:dyDescent="0.3">
      <c r="A14" s="372"/>
      <c r="B14" s="373"/>
      <c r="C14" s="373"/>
      <c r="D14" s="374"/>
      <c r="E14" s="374"/>
      <c r="F14" s="374"/>
      <c r="G14" s="374"/>
      <c r="H14" s="374"/>
      <c r="I14" s="374"/>
      <c r="J14" s="374"/>
      <c r="K14" s="374"/>
      <c r="L14" s="374"/>
      <c r="M14" s="374"/>
      <c r="N14" s="373"/>
      <c r="O14" s="373"/>
      <c r="P14" s="373"/>
      <c r="Q14" s="373"/>
      <c r="R14" s="374"/>
      <c r="S14" s="374"/>
      <c r="T14" s="374"/>
      <c r="U14" s="374"/>
      <c r="V14" s="375"/>
    </row>
    <row r="15" spans="1:29" ht="13.15" customHeight="1" x14ac:dyDescent="0.25">
      <c r="A15" s="376"/>
      <c r="B15" s="377" t="s">
        <v>176</v>
      </c>
      <c r="C15" s="493" t="s">
        <v>315</v>
      </c>
      <c r="D15" s="526" t="s">
        <v>316</v>
      </c>
      <c r="E15" s="528" t="s">
        <v>272</v>
      </c>
      <c r="F15" s="529"/>
      <c r="G15" s="378" t="s">
        <v>177</v>
      </c>
      <c r="H15" s="378"/>
      <c r="I15" s="378"/>
      <c r="J15" s="378"/>
      <c r="K15" s="378"/>
      <c r="L15" s="378"/>
      <c r="M15" s="378"/>
      <c r="N15" s="378"/>
      <c r="O15" s="378"/>
      <c r="P15" s="378"/>
      <c r="Q15" s="378"/>
      <c r="R15" s="378"/>
      <c r="S15" s="378"/>
      <c r="T15" s="378"/>
      <c r="U15" s="378"/>
      <c r="V15" s="379"/>
    </row>
    <row r="16" spans="1:29" ht="10.9" customHeight="1" thickBot="1" x14ac:dyDescent="0.3">
      <c r="A16" s="380"/>
      <c r="B16" s="381" t="s">
        <v>178</v>
      </c>
      <c r="C16" s="494"/>
      <c r="D16" s="527"/>
      <c r="E16" s="530"/>
      <c r="F16" s="531"/>
      <c r="G16" s="350"/>
      <c r="H16" s="350"/>
      <c r="I16" s="350"/>
      <c r="J16" s="350"/>
      <c r="K16" s="350"/>
      <c r="L16" s="350"/>
      <c r="M16" s="350"/>
      <c r="N16" s="350"/>
      <c r="O16" s="350"/>
      <c r="P16" s="350"/>
      <c r="Q16" s="350"/>
      <c r="R16" s="350"/>
      <c r="S16" s="350"/>
      <c r="T16" s="350"/>
      <c r="U16" s="350"/>
      <c r="V16" s="382"/>
      <c r="AC16" s="320">
        <v>63</v>
      </c>
    </row>
    <row r="17" spans="1:31" ht="12" customHeight="1" x14ac:dyDescent="0.25">
      <c r="A17" s="376"/>
      <c r="B17" s="485">
        <v>40</v>
      </c>
      <c r="C17" s="484">
        <f>'Granulo P1'!L23</f>
        <v>0</v>
      </c>
      <c r="D17" s="481">
        <f>(C17*100)/'Granulo P1'!C17:C18</f>
        <v>0</v>
      </c>
      <c r="E17" s="571">
        <f>100-D17</f>
        <v>100</v>
      </c>
      <c r="F17" s="572"/>
      <c r="G17" s="350"/>
      <c r="H17" s="350"/>
      <c r="I17" s="350"/>
      <c r="J17" s="350"/>
      <c r="K17" s="350"/>
      <c r="L17" s="350"/>
      <c r="M17" s="350"/>
      <c r="N17" s="350"/>
      <c r="O17" s="350"/>
      <c r="P17" s="350"/>
      <c r="Q17" s="350"/>
      <c r="R17" s="350"/>
      <c r="S17" s="350"/>
      <c r="T17" s="350"/>
      <c r="U17" s="350"/>
      <c r="V17" s="382"/>
      <c r="AC17" s="320">
        <v>50</v>
      </c>
    </row>
    <row r="18" spans="1:31" ht="12" customHeight="1" x14ac:dyDescent="0.25">
      <c r="A18" s="376"/>
      <c r="B18" s="383">
        <v>31.5</v>
      </c>
      <c r="C18" s="482">
        <f>'Granulo P1'!L24</f>
        <v>0</v>
      </c>
      <c r="D18" s="483">
        <f>(C18*100)/'Granulo P1'!C17</f>
        <v>0</v>
      </c>
      <c r="E18" s="576">
        <f t="shared" ref="E18:E34" si="0">100-D18</f>
        <v>100</v>
      </c>
      <c r="F18" s="577"/>
      <c r="G18" s="350"/>
      <c r="H18" s="350"/>
      <c r="I18" s="350"/>
      <c r="J18" s="350"/>
      <c r="K18" s="350"/>
      <c r="L18" s="350"/>
      <c r="M18" s="350"/>
      <c r="N18" s="350"/>
      <c r="O18" s="350"/>
      <c r="P18" s="350"/>
      <c r="Q18" s="350"/>
      <c r="R18" s="350"/>
      <c r="S18" s="350"/>
      <c r="T18" s="350"/>
      <c r="U18" s="350"/>
      <c r="V18" s="382"/>
      <c r="Z18" s="583"/>
      <c r="AA18" s="583"/>
      <c r="AB18" s="320"/>
      <c r="AC18" s="320">
        <v>40</v>
      </c>
      <c r="AD18" s="476">
        <f>E17</f>
        <v>100</v>
      </c>
    </row>
    <row r="19" spans="1:31" ht="10.15" customHeight="1" x14ac:dyDescent="0.25">
      <c r="A19" s="376"/>
      <c r="B19" s="383">
        <v>20</v>
      </c>
      <c r="C19" s="482">
        <f>'Granulo P1'!L26</f>
        <v>0</v>
      </c>
      <c r="D19" s="483">
        <f>(C19*100)/'Granulo P1'!C17</f>
        <v>0</v>
      </c>
      <c r="E19" s="576">
        <f t="shared" si="0"/>
        <v>100</v>
      </c>
      <c r="F19" s="577"/>
      <c r="G19" s="350"/>
      <c r="H19" s="350"/>
      <c r="I19" s="350"/>
      <c r="J19" s="350"/>
      <c r="K19" s="350"/>
      <c r="L19" s="350"/>
      <c r="M19" s="350"/>
      <c r="N19" s="350"/>
      <c r="O19" s="350"/>
      <c r="P19" s="350"/>
      <c r="Q19" s="350"/>
      <c r="R19" s="350"/>
      <c r="S19" s="350"/>
      <c r="T19" s="350"/>
      <c r="U19" s="350"/>
      <c r="V19" s="382"/>
      <c r="Z19" s="583"/>
      <c r="AA19" s="583"/>
      <c r="AB19" s="320"/>
      <c r="AC19" s="320">
        <v>31.5</v>
      </c>
      <c r="AD19" s="476">
        <f>E18</f>
        <v>100</v>
      </c>
    </row>
    <row r="20" spans="1:31" ht="11.45" customHeight="1" x14ac:dyDescent="0.25">
      <c r="A20" s="376"/>
      <c r="B20" s="383">
        <v>10</v>
      </c>
      <c r="C20" s="480">
        <f>'Granulo P1'!L29</f>
        <v>0</v>
      </c>
      <c r="D20" s="483">
        <f>(C20*100)/'Granulo P1'!C17</f>
        <v>0</v>
      </c>
      <c r="E20" s="576">
        <f t="shared" si="0"/>
        <v>100</v>
      </c>
      <c r="F20" s="577"/>
      <c r="G20" s="350"/>
      <c r="H20" s="350"/>
      <c r="I20" s="350"/>
      <c r="J20" s="350"/>
      <c r="K20" s="350"/>
      <c r="L20" s="350"/>
      <c r="M20" s="350"/>
      <c r="N20" s="350"/>
      <c r="O20" s="350"/>
      <c r="P20" s="350"/>
      <c r="Q20" s="350"/>
      <c r="R20" s="350"/>
      <c r="S20" s="350"/>
      <c r="T20" s="350"/>
      <c r="U20" s="350"/>
      <c r="V20" s="382"/>
      <c r="Z20" s="583"/>
      <c r="AA20" s="583"/>
      <c r="AB20" s="320"/>
      <c r="AC20" s="320">
        <v>20</v>
      </c>
      <c r="AD20" s="476">
        <f>E19</f>
        <v>100</v>
      </c>
    </row>
    <row r="21" spans="1:31" ht="10.15" customHeight="1" x14ac:dyDescent="0.25">
      <c r="A21" s="376"/>
      <c r="B21" s="383">
        <v>6.3</v>
      </c>
      <c r="C21" s="482"/>
      <c r="D21" s="483"/>
      <c r="E21" s="576"/>
      <c r="F21" s="577"/>
      <c r="G21" s="350"/>
      <c r="H21" s="350"/>
      <c r="I21" s="350"/>
      <c r="J21" s="350"/>
      <c r="K21" s="350"/>
      <c r="L21" s="350"/>
      <c r="M21" s="350"/>
      <c r="N21" s="350"/>
      <c r="O21" s="350"/>
      <c r="P21" s="350"/>
      <c r="Q21" s="350"/>
      <c r="R21" s="350"/>
      <c r="S21" s="350"/>
      <c r="T21" s="350"/>
      <c r="U21" s="350"/>
      <c r="V21" s="382"/>
      <c r="Z21" s="583"/>
      <c r="AA21" s="583"/>
      <c r="AB21" s="320"/>
      <c r="AC21" s="320">
        <v>10</v>
      </c>
      <c r="AD21" s="476">
        <f>E20</f>
        <v>100</v>
      </c>
    </row>
    <row r="22" spans="1:31" ht="11.45" customHeight="1" x14ac:dyDescent="0.25">
      <c r="A22" s="376"/>
      <c r="B22" s="383">
        <v>5</v>
      </c>
      <c r="C22" s="482">
        <f>'Granulo P1'!L32</f>
        <v>1.4</v>
      </c>
      <c r="D22" s="492">
        <f>(C22*100)/'Granulo P1'!C17</f>
        <v>0.46666666666666667</v>
      </c>
      <c r="E22" s="566">
        <f t="shared" si="0"/>
        <v>99.533333333333331</v>
      </c>
      <c r="F22" s="567"/>
      <c r="G22" s="350"/>
      <c r="H22" s="350"/>
      <c r="I22" s="350"/>
      <c r="J22" s="350"/>
      <c r="K22" s="350"/>
      <c r="L22" s="350"/>
      <c r="M22" s="350"/>
      <c r="N22" s="350"/>
      <c r="O22" s="350"/>
      <c r="P22" s="350"/>
      <c r="Q22" s="350"/>
      <c r="R22" s="350"/>
      <c r="S22" s="350"/>
      <c r="T22" s="350"/>
      <c r="U22" s="350"/>
      <c r="V22" s="382"/>
      <c r="Z22" s="583"/>
      <c r="AA22" s="583"/>
      <c r="AB22" s="320"/>
      <c r="AC22" s="320">
        <v>5</v>
      </c>
      <c r="AD22" s="476">
        <f>E22</f>
        <v>99.533333333333331</v>
      </c>
    </row>
    <row r="23" spans="1:31" ht="12.6" customHeight="1" x14ac:dyDescent="0.25">
      <c r="A23" s="376"/>
      <c r="B23" s="383">
        <v>4</v>
      </c>
      <c r="C23" s="480"/>
      <c r="D23" s="492"/>
      <c r="E23" s="566"/>
      <c r="F23" s="567"/>
      <c r="G23" s="350"/>
      <c r="H23" s="350"/>
      <c r="I23" s="350"/>
      <c r="J23" s="350"/>
      <c r="K23" s="350"/>
      <c r="L23" s="350"/>
      <c r="M23" s="350"/>
      <c r="N23" s="350"/>
      <c r="O23" s="350"/>
      <c r="P23" s="350"/>
      <c r="Q23" s="350"/>
      <c r="R23" s="350"/>
      <c r="S23" s="350"/>
      <c r="T23" s="350"/>
      <c r="U23" s="350"/>
      <c r="V23" s="382"/>
      <c r="Z23" s="588"/>
      <c r="AA23" s="589"/>
      <c r="AB23" s="320"/>
      <c r="AC23" s="320">
        <v>2</v>
      </c>
      <c r="AD23" s="476">
        <f>E25</f>
        <v>99.033333333333331</v>
      </c>
    </row>
    <row r="24" spans="1:31" ht="11.45" customHeight="1" x14ac:dyDescent="0.25">
      <c r="A24" s="376"/>
      <c r="B24" s="383">
        <v>2.5</v>
      </c>
      <c r="C24" s="482"/>
      <c r="D24" s="492"/>
      <c r="E24" s="566"/>
      <c r="F24" s="567"/>
      <c r="G24" s="350"/>
      <c r="H24" s="350"/>
      <c r="I24" s="350"/>
      <c r="J24" s="350"/>
      <c r="K24" s="350"/>
      <c r="L24" s="350"/>
      <c r="M24" s="350"/>
      <c r="N24" s="350"/>
      <c r="O24" s="350"/>
      <c r="P24" s="350"/>
      <c r="Q24" s="350"/>
      <c r="R24" s="350"/>
      <c r="S24" s="350"/>
      <c r="T24" s="350"/>
      <c r="U24" s="350"/>
      <c r="V24" s="382"/>
      <c r="AB24" s="320"/>
      <c r="AC24" s="320">
        <v>1</v>
      </c>
      <c r="AD24" s="476">
        <f>E27</f>
        <v>98.033333333333331</v>
      </c>
    </row>
    <row r="25" spans="1:31" ht="11.45" customHeight="1" x14ac:dyDescent="0.25">
      <c r="A25" s="376"/>
      <c r="B25" s="383">
        <v>2</v>
      </c>
      <c r="C25" s="482">
        <f>'Granulo P1'!L36</f>
        <v>2.9</v>
      </c>
      <c r="D25" s="492">
        <f>(C25*100)/'Granulo P1'!C17</f>
        <v>0.96666666666666667</v>
      </c>
      <c r="E25" s="566">
        <f t="shared" si="0"/>
        <v>99.033333333333331</v>
      </c>
      <c r="F25" s="567"/>
      <c r="G25" s="350"/>
      <c r="H25" s="350"/>
      <c r="I25" s="350"/>
      <c r="J25" s="350"/>
      <c r="K25" s="350"/>
      <c r="L25" s="350"/>
      <c r="M25" s="350"/>
      <c r="N25" s="350"/>
      <c r="O25" s="350"/>
      <c r="P25" s="350"/>
      <c r="Q25" s="350"/>
      <c r="R25" s="350"/>
      <c r="S25" s="350"/>
      <c r="T25" s="350"/>
      <c r="U25" s="350"/>
      <c r="V25" s="382"/>
      <c r="AB25" s="320"/>
      <c r="AC25" s="320">
        <v>0.4</v>
      </c>
      <c r="AD25" s="476">
        <f>E29</f>
        <v>88.666666666666671</v>
      </c>
    </row>
    <row r="26" spans="1:31" ht="12.6" customHeight="1" x14ac:dyDescent="0.25">
      <c r="A26" s="376"/>
      <c r="B26" s="385">
        <v>1.25</v>
      </c>
      <c r="C26" s="384"/>
      <c r="D26" s="475"/>
      <c r="E26" s="578"/>
      <c r="F26" s="579"/>
      <c r="G26" s="350"/>
      <c r="H26" s="350"/>
      <c r="I26" s="350"/>
      <c r="J26" s="350"/>
      <c r="K26" s="350"/>
      <c r="L26" s="350"/>
      <c r="M26" s="350"/>
      <c r="N26" s="350"/>
      <c r="O26" s="350"/>
      <c r="P26" s="350"/>
      <c r="Q26" s="350"/>
      <c r="R26" s="350"/>
      <c r="S26" s="350"/>
      <c r="T26" s="350"/>
      <c r="U26" s="350"/>
      <c r="V26" s="382"/>
      <c r="AB26" s="320"/>
      <c r="AC26" s="320">
        <v>0.2</v>
      </c>
      <c r="AD26" s="476">
        <f>E31</f>
        <v>70.233333333333334</v>
      </c>
    </row>
    <row r="27" spans="1:31" ht="12.6" customHeight="1" x14ac:dyDescent="0.25">
      <c r="A27" s="376"/>
      <c r="B27" s="383">
        <v>1</v>
      </c>
      <c r="C27" s="482">
        <f>'Granulo P1'!L39</f>
        <v>5.9</v>
      </c>
      <c r="D27" s="475">
        <f>(C27*100)/'Granulo P1'!C17</f>
        <v>1.9666666666666666</v>
      </c>
      <c r="E27" s="578">
        <f t="shared" si="0"/>
        <v>98.033333333333331</v>
      </c>
      <c r="F27" s="579"/>
      <c r="G27" s="350"/>
      <c r="H27" s="350"/>
      <c r="I27" s="350"/>
      <c r="J27" s="350"/>
      <c r="K27" s="350"/>
      <c r="L27" s="350"/>
      <c r="M27" s="350"/>
      <c r="N27" s="350"/>
      <c r="O27" s="350"/>
      <c r="P27" s="350"/>
      <c r="Q27" s="350"/>
      <c r="R27" s="350"/>
      <c r="S27" s="350"/>
      <c r="T27" s="350"/>
      <c r="U27" s="350"/>
      <c r="V27" s="382"/>
      <c r="AB27" s="320"/>
      <c r="AC27" s="320">
        <v>0.1</v>
      </c>
      <c r="AD27" s="476">
        <f>E33</f>
        <v>28.833333333333329</v>
      </c>
      <c r="AE27" s="446"/>
    </row>
    <row r="28" spans="1:31" ht="12.6" customHeight="1" x14ac:dyDescent="0.25">
      <c r="A28" s="376"/>
      <c r="B28" s="486">
        <v>0.63</v>
      </c>
      <c r="C28" s="482"/>
      <c r="D28" s="475"/>
      <c r="E28" s="578"/>
      <c r="F28" s="579"/>
      <c r="G28" s="350"/>
      <c r="H28" s="350"/>
      <c r="I28" s="350"/>
      <c r="J28" s="350"/>
      <c r="K28" s="350"/>
      <c r="L28" s="350"/>
      <c r="M28" s="350"/>
      <c r="N28" s="350"/>
      <c r="O28" s="350"/>
      <c r="P28" s="350"/>
      <c r="Q28" s="350"/>
      <c r="R28" s="350"/>
      <c r="S28" s="350"/>
      <c r="T28" s="350"/>
      <c r="U28" s="350"/>
      <c r="V28" s="382"/>
      <c r="AB28" s="320"/>
      <c r="AC28" s="320">
        <v>0.08</v>
      </c>
      <c r="AD28" s="476">
        <f>E34</f>
        <v>25.233333333333334</v>
      </c>
      <c r="AE28" s="446"/>
    </row>
    <row r="29" spans="1:31" ht="11.45" customHeight="1" x14ac:dyDescent="0.25">
      <c r="A29" s="376"/>
      <c r="B29" s="486">
        <v>0.4</v>
      </c>
      <c r="C29" s="482">
        <f>'Granulo P1'!L43</f>
        <v>34</v>
      </c>
      <c r="D29" s="475">
        <f>(C29*100)/'Granulo P1'!C17</f>
        <v>11.333333333333334</v>
      </c>
      <c r="E29" s="578">
        <f t="shared" si="0"/>
        <v>88.666666666666671</v>
      </c>
      <c r="F29" s="579"/>
      <c r="G29" s="350"/>
      <c r="H29" s="350"/>
      <c r="I29" s="350"/>
      <c r="J29" s="350"/>
      <c r="K29" s="350"/>
      <c r="L29" s="350"/>
      <c r="M29" s="350"/>
      <c r="N29" s="350"/>
      <c r="O29" s="350"/>
      <c r="P29" s="350"/>
      <c r="Q29" s="350"/>
      <c r="R29" s="350"/>
      <c r="S29" s="350"/>
      <c r="T29" s="350"/>
      <c r="U29" s="350"/>
      <c r="V29" s="382"/>
      <c r="AB29" s="320"/>
      <c r="AC29" s="320"/>
      <c r="AE29" s="446"/>
    </row>
    <row r="30" spans="1:31" ht="10.9" customHeight="1" x14ac:dyDescent="0.25">
      <c r="A30" s="376"/>
      <c r="B30" s="486">
        <v>0.315</v>
      </c>
      <c r="C30" s="482"/>
      <c r="D30" s="475"/>
      <c r="E30" s="578"/>
      <c r="F30" s="579"/>
      <c r="G30" s="350"/>
      <c r="H30" s="350"/>
      <c r="I30" s="350"/>
      <c r="J30" s="350"/>
      <c r="K30" s="350"/>
      <c r="L30" s="350"/>
      <c r="M30" s="350"/>
      <c r="N30" s="350"/>
      <c r="O30" s="350"/>
      <c r="P30" s="350"/>
      <c r="Q30" s="350"/>
      <c r="R30" s="350"/>
      <c r="S30" s="350"/>
      <c r="T30" s="350"/>
      <c r="U30" s="350"/>
      <c r="V30" s="382"/>
      <c r="AB30" s="320"/>
      <c r="AC30" s="320"/>
      <c r="AE30" s="446"/>
    </row>
    <row r="31" spans="1:31" ht="12" customHeight="1" x14ac:dyDescent="0.25">
      <c r="A31" s="376"/>
      <c r="B31" s="486">
        <v>0.2</v>
      </c>
      <c r="C31" s="482">
        <f>'Granulo P1'!L46</f>
        <v>89.3</v>
      </c>
      <c r="D31" s="475">
        <f>(C31*100)/'Granulo P1'!C17</f>
        <v>29.766666666666666</v>
      </c>
      <c r="E31" s="578">
        <f t="shared" si="0"/>
        <v>70.233333333333334</v>
      </c>
      <c r="F31" s="579"/>
      <c r="G31" s="350"/>
      <c r="H31" s="350"/>
      <c r="I31" s="350"/>
      <c r="J31" s="350"/>
      <c r="K31" s="350"/>
      <c r="L31" s="350"/>
      <c r="M31" s="350"/>
      <c r="N31" s="350"/>
      <c r="O31" s="350"/>
      <c r="P31" s="350"/>
      <c r="Q31" s="350"/>
      <c r="R31" s="350"/>
      <c r="S31" s="350"/>
      <c r="T31" s="350"/>
      <c r="U31" s="350"/>
      <c r="V31" s="382"/>
      <c r="AB31" s="320"/>
      <c r="AC31" s="320"/>
      <c r="AE31" s="446"/>
    </row>
    <row r="32" spans="1:31" ht="10.9" customHeight="1" x14ac:dyDescent="0.25">
      <c r="A32" s="376"/>
      <c r="B32" s="486">
        <v>0.16</v>
      </c>
      <c r="C32" s="482"/>
      <c r="D32" s="475"/>
      <c r="E32" s="578"/>
      <c r="F32" s="579"/>
      <c r="G32" s="350"/>
      <c r="H32" s="350"/>
      <c r="I32" s="350"/>
      <c r="J32" s="350"/>
      <c r="K32" s="350"/>
      <c r="L32" s="350"/>
      <c r="M32" s="350"/>
      <c r="N32" s="350"/>
      <c r="O32" s="350"/>
      <c r="P32" s="350"/>
      <c r="Q32" s="350"/>
      <c r="R32" s="350"/>
      <c r="S32" s="350"/>
      <c r="T32" s="350"/>
      <c r="U32" s="350"/>
      <c r="V32" s="382"/>
      <c r="AB32" s="320"/>
      <c r="AC32" s="320"/>
      <c r="AE32" s="446"/>
    </row>
    <row r="33" spans="1:36" ht="12" customHeight="1" x14ac:dyDescent="0.25">
      <c r="A33" s="376"/>
      <c r="B33" s="486">
        <v>0.1</v>
      </c>
      <c r="C33" s="482">
        <f>'Granulo P1'!L49</f>
        <v>213.5</v>
      </c>
      <c r="D33" s="475">
        <f>(C33*100)/'Granulo P1'!C17</f>
        <v>71.166666666666671</v>
      </c>
      <c r="E33" s="578">
        <f t="shared" si="0"/>
        <v>28.833333333333329</v>
      </c>
      <c r="F33" s="579"/>
      <c r="G33" s="350"/>
      <c r="H33" s="350"/>
      <c r="I33" s="350"/>
      <c r="J33" s="350"/>
      <c r="K33" s="350"/>
      <c r="L33" s="350"/>
      <c r="M33" s="350"/>
      <c r="N33" s="350"/>
      <c r="O33" s="350"/>
      <c r="P33" s="350"/>
      <c r="Q33" s="350"/>
      <c r="R33" s="350"/>
      <c r="S33" s="350"/>
      <c r="T33" s="350"/>
      <c r="U33" s="350"/>
      <c r="V33" s="382"/>
    </row>
    <row r="34" spans="1:36" ht="10.9" customHeight="1" thickBot="1" x14ac:dyDescent="0.3">
      <c r="A34" s="376"/>
      <c r="B34" s="386">
        <v>0.08</v>
      </c>
      <c r="C34" s="488">
        <f>'Granulo P1'!L50</f>
        <v>224.3</v>
      </c>
      <c r="D34" s="487">
        <f>(C34*100)/'Granulo P1'!C17</f>
        <v>74.766666666666666</v>
      </c>
      <c r="E34" s="647">
        <f t="shared" si="0"/>
        <v>25.233333333333334</v>
      </c>
      <c r="F34" s="648"/>
      <c r="G34" s="350"/>
      <c r="H34" s="350"/>
      <c r="I34" s="350"/>
      <c r="J34" s="350"/>
      <c r="K34" s="350"/>
      <c r="L34" s="350"/>
      <c r="M34" s="350"/>
      <c r="N34" s="350"/>
      <c r="O34" s="350"/>
      <c r="P34" s="350"/>
      <c r="Q34" s="350"/>
      <c r="R34" s="350"/>
      <c r="S34" s="350"/>
      <c r="T34" s="350"/>
      <c r="U34" s="350"/>
      <c r="V34" s="382"/>
    </row>
    <row r="35" spans="1:36" ht="4.9000000000000004" customHeight="1" thickBot="1" x14ac:dyDescent="0.3">
      <c r="A35" s="376"/>
      <c r="B35" s="350"/>
      <c r="C35" s="350"/>
      <c r="D35" s="350"/>
      <c r="E35" s="350"/>
      <c r="F35" s="350"/>
      <c r="G35" s="350"/>
      <c r="H35" s="350"/>
      <c r="I35" s="350"/>
      <c r="J35" s="350"/>
      <c r="K35" s="350"/>
      <c r="L35" s="350"/>
      <c r="M35" s="350"/>
      <c r="N35" s="350"/>
      <c r="O35" s="350"/>
      <c r="P35" s="350"/>
      <c r="Q35" s="350"/>
      <c r="R35" s="350"/>
      <c r="S35" s="350"/>
      <c r="T35" s="350"/>
      <c r="U35" s="350"/>
      <c r="V35" s="382"/>
    </row>
    <row r="36" spans="1:36" ht="14.45" customHeight="1" thickBot="1" x14ac:dyDescent="0.3">
      <c r="A36" s="360" t="s">
        <v>143</v>
      </c>
      <c r="B36" s="387"/>
      <c r="C36" s="387"/>
      <c r="D36" s="387"/>
      <c r="E36" s="387"/>
      <c r="F36" s="387"/>
      <c r="G36" s="387"/>
      <c r="H36" s="387"/>
      <c r="I36" s="388"/>
      <c r="J36" s="389"/>
      <c r="K36" s="389"/>
      <c r="L36" s="390" t="s">
        <v>179</v>
      </c>
      <c r="M36" s="391"/>
      <c r="N36" s="392"/>
      <c r="O36" s="658" t="s">
        <v>145</v>
      </c>
      <c r="P36" s="659"/>
      <c r="Q36" s="393" t="s">
        <v>146</v>
      </c>
      <c r="R36" s="394"/>
      <c r="S36" s="393" t="s">
        <v>147</v>
      </c>
      <c r="T36" s="394"/>
      <c r="U36" s="395" t="s">
        <v>180</v>
      </c>
      <c r="V36" s="396"/>
      <c r="W36" s="313"/>
    </row>
    <row r="37" spans="1:36" ht="10.9" customHeight="1" thickBot="1" x14ac:dyDescent="0.3">
      <c r="A37" s="397"/>
      <c r="B37" s="398"/>
      <c r="C37" s="398"/>
      <c r="D37" s="399" t="s">
        <v>148</v>
      </c>
      <c r="E37" s="400"/>
      <c r="F37" s="401"/>
      <c r="G37" s="400" t="s">
        <v>149</v>
      </c>
      <c r="H37" s="400"/>
      <c r="I37" s="402"/>
      <c r="J37" s="350"/>
      <c r="K37" s="350"/>
      <c r="L37" s="403" t="s">
        <v>150</v>
      </c>
      <c r="M37" s="404"/>
      <c r="N37" s="405"/>
      <c r="O37" s="406" t="s">
        <v>181</v>
      </c>
      <c r="P37" s="407"/>
      <c r="Q37" s="406" t="s">
        <v>152</v>
      </c>
      <c r="R37" s="407"/>
      <c r="S37" s="408" t="s">
        <v>182</v>
      </c>
      <c r="T37" s="409"/>
      <c r="U37" s="406" t="s">
        <v>44</v>
      </c>
      <c r="V37" s="410"/>
    </row>
    <row r="38" spans="1:36" ht="14.45" customHeight="1" x14ac:dyDescent="0.25">
      <c r="A38" s="603" t="s">
        <v>285</v>
      </c>
      <c r="B38" s="554"/>
      <c r="C38" s="604"/>
      <c r="D38" s="605">
        <f>Y54</f>
        <v>1.9650000000000001</v>
      </c>
      <c r="E38" s="606"/>
      <c r="F38" s="607"/>
      <c r="G38" s="608"/>
      <c r="H38" s="609"/>
      <c r="I38" s="610"/>
      <c r="J38" s="350"/>
      <c r="K38" s="350"/>
      <c r="L38" s="411">
        <v>56</v>
      </c>
      <c r="M38" s="412"/>
      <c r="N38" s="413"/>
      <c r="O38" s="655">
        <f>M44</f>
        <v>1.9652717520036695</v>
      </c>
      <c r="P38" s="656"/>
      <c r="Q38" s="656"/>
      <c r="R38" s="657"/>
      <c r="S38" s="590">
        <f>' CBR Poinc'!L33</f>
        <v>11.485003657644469</v>
      </c>
      <c r="T38" s="590"/>
      <c r="U38" s="591">
        <v>0</v>
      </c>
      <c r="V38" s="592"/>
    </row>
    <row r="39" spans="1:36" ht="13.15" customHeight="1" x14ac:dyDescent="0.25">
      <c r="A39" s="611" t="s">
        <v>286</v>
      </c>
      <c r="B39" s="554"/>
      <c r="C39" s="604"/>
      <c r="D39" s="597">
        <f>X54</f>
        <v>9.6999999999999993</v>
      </c>
      <c r="E39" s="598"/>
      <c r="F39" s="599"/>
      <c r="G39" s="612"/>
      <c r="H39" s="613"/>
      <c r="I39" s="614"/>
      <c r="J39" s="350"/>
      <c r="K39" s="350"/>
      <c r="L39" s="411">
        <v>25</v>
      </c>
      <c r="M39" s="412"/>
      <c r="N39" s="413"/>
      <c r="O39" s="597">
        <f>N44</f>
        <v>1.8667540165802476</v>
      </c>
      <c r="P39" s="598"/>
      <c r="Q39" s="598"/>
      <c r="R39" s="599"/>
      <c r="S39" s="651">
        <f>' CBR Poinc'!O33</f>
        <v>11.716621253406</v>
      </c>
      <c r="T39" s="651"/>
      <c r="U39" s="612">
        <v>0</v>
      </c>
      <c r="V39" s="614"/>
    </row>
    <row r="40" spans="1:36" ht="15.75" thickBot="1" x14ac:dyDescent="0.3">
      <c r="A40" s="615" t="s">
        <v>155</v>
      </c>
      <c r="B40" s="616"/>
      <c r="C40" s="617"/>
      <c r="D40" s="618"/>
      <c r="E40" s="619"/>
      <c r="F40" s="620"/>
      <c r="G40" s="621"/>
      <c r="H40" s="622"/>
      <c r="I40" s="623"/>
      <c r="J40" s="350"/>
      <c r="K40" s="350"/>
      <c r="L40" s="414">
        <v>10</v>
      </c>
      <c r="M40" s="415"/>
      <c r="N40" s="416"/>
      <c r="O40" s="600">
        <f>O44</f>
        <v>1.7687547745023489</v>
      </c>
      <c r="P40" s="601"/>
      <c r="Q40" s="601"/>
      <c r="R40" s="602"/>
      <c r="S40" s="652">
        <f>' CBR Poinc'!R33</f>
        <v>11.782708492731452</v>
      </c>
      <c r="T40" s="652"/>
      <c r="U40" s="621">
        <v>0</v>
      </c>
      <c r="V40" s="623"/>
    </row>
    <row r="41" spans="1:36" ht="6.6" customHeight="1" thickBot="1" x14ac:dyDescent="0.3">
      <c r="A41" s="376"/>
      <c r="B41" s="350"/>
      <c r="C41" s="350"/>
      <c r="D41" s="350"/>
      <c r="E41" s="350"/>
      <c r="F41" s="350"/>
      <c r="G41" s="350"/>
      <c r="H41" s="350"/>
      <c r="I41" s="350"/>
      <c r="J41" s="350"/>
      <c r="K41" s="350"/>
      <c r="L41" s="350"/>
      <c r="M41" s="350"/>
      <c r="N41" s="350"/>
      <c r="O41" s="350"/>
      <c r="P41" s="350"/>
      <c r="Q41" s="350"/>
      <c r="R41" s="350"/>
      <c r="S41" s="350"/>
      <c r="T41" s="350"/>
      <c r="U41" s="350"/>
      <c r="V41" s="382"/>
    </row>
    <row r="42" spans="1:36" ht="15.75" thickBot="1" x14ac:dyDescent="0.3">
      <c r="A42" s="417" t="s">
        <v>156</v>
      </c>
      <c r="B42" s="418">
        <v>1</v>
      </c>
      <c r="C42" s="418">
        <v>2</v>
      </c>
      <c r="D42" s="418">
        <v>3</v>
      </c>
      <c r="E42" s="418">
        <v>4</v>
      </c>
      <c r="F42" s="418">
        <v>5</v>
      </c>
      <c r="G42" s="418">
        <v>6</v>
      </c>
      <c r="H42" s="419" t="s">
        <v>157</v>
      </c>
      <c r="I42" s="420"/>
      <c r="J42" s="389"/>
      <c r="K42" s="389"/>
      <c r="L42" s="417" t="s">
        <v>156</v>
      </c>
      <c r="M42" s="418" t="s">
        <v>183</v>
      </c>
      <c r="N42" s="418" t="s">
        <v>184</v>
      </c>
      <c r="O42" s="421" t="s">
        <v>185</v>
      </c>
      <c r="P42" s="422"/>
      <c r="Q42" s="423"/>
      <c r="R42" s="424" t="s">
        <v>157</v>
      </c>
      <c r="S42" s="425">
        <v>1</v>
      </c>
      <c r="T42" s="425">
        <v>0.98</v>
      </c>
      <c r="U42" s="425">
        <v>0.95</v>
      </c>
      <c r="V42" s="426">
        <v>0.9</v>
      </c>
    </row>
    <row r="43" spans="1:36" ht="15.75" thickBot="1" x14ac:dyDescent="0.3">
      <c r="A43" s="427" t="s">
        <v>186</v>
      </c>
      <c r="B43" s="428">
        <f>'Proctor C01'!B41:C41</f>
        <v>6.0731823628206723</v>
      </c>
      <c r="C43" s="428">
        <f>'Proctor C01'!D41</f>
        <v>8.1632419995843719</v>
      </c>
      <c r="D43" s="428">
        <f>'Proctor C01'!F41</f>
        <v>10.01101281805002</v>
      </c>
      <c r="E43" s="428">
        <f>'Proctor C01'!H41</f>
        <v>12.243974722633084</v>
      </c>
      <c r="F43" s="428">
        <f>'Proctor C01'!J41</f>
        <v>14.06051614113079</v>
      </c>
      <c r="G43" s="429"/>
      <c r="H43" s="662">
        <f>'Proctor C01'!B44</f>
        <v>9.6999999999999993</v>
      </c>
      <c r="I43" s="663"/>
      <c r="J43" s="389"/>
      <c r="K43" s="389"/>
      <c r="L43" s="427" t="s">
        <v>75</v>
      </c>
      <c r="M43" s="430">
        <f>'CBR Crb (2)'!$C$26</f>
        <v>18.896643343051512</v>
      </c>
      <c r="N43" s="430">
        <f>'CBR Crb (2)'!$D$26</f>
        <v>12.452076773566572</v>
      </c>
      <c r="O43" s="431">
        <f>'CBR Crb (2)'!$E$26</f>
        <v>6.6327293488824113</v>
      </c>
      <c r="P43" s="432"/>
      <c r="Q43" s="389"/>
      <c r="R43" s="427" t="s">
        <v>75</v>
      </c>
      <c r="S43" s="430"/>
      <c r="T43" s="430"/>
      <c r="U43" s="433">
        <f>X47</f>
        <v>12.4</v>
      </c>
      <c r="V43" s="431"/>
    </row>
    <row r="44" spans="1:36" ht="15.75" thickBot="1" x14ac:dyDescent="0.3">
      <c r="A44" s="434" t="s">
        <v>145</v>
      </c>
      <c r="B44" s="429">
        <f>'Proctor C01'!B33:C33</f>
        <v>1.82576027636362</v>
      </c>
      <c r="C44" s="429">
        <f>'Proctor C01'!D33</f>
        <v>1.9369213792846265</v>
      </c>
      <c r="D44" s="429">
        <f>'Proctor C01'!F33</f>
        <v>1.9639005299893708</v>
      </c>
      <c r="E44" s="429">
        <f>'Proctor C01'!H33</f>
        <v>1.8806144892585459</v>
      </c>
      <c r="F44" s="429">
        <f>'Proctor C01'!J33</f>
        <v>1.710868598882805</v>
      </c>
      <c r="G44" s="429"/>
      <c r="H44" s="660">
        <f>'Proctor C01'!B43</f>
        <v>1.9650000000000001</v>
      </c>
      <c r="I44" s="661"/>
      <c r="J44" s="389"/>
      <c r="K44" s="389"/>
      <c r="L44" s="434" t="s">
        <v>145</v>
      </c>
      <c r="M44" s="429">
        <f>'CBR Crb (2)'!$C$27</f>
        <v>1.9652717520036695</v>
      </c>
      <c r="N44" s="429">
        <f>'CBR Crb (2)'!$D$27</f>
        <v>1.8667540165802476</v>
      </c>
      <c r="O44" s="435">
        <f>'CBR Crb (2)'!$E$27</f>
        <v>1.7687547745023489</v>
      </c>
      <c r="P44" s="389"/>
      <c r="Q44" s="389"/>
      <c r="R44" s="434" t="s">
        <v>145</v>
      </c>
      <c r="S44" s="436">
        <f>D38</f>
        <v>1.9650000000000001</v>
      </c>
      <c r="T44" s="436">
        <f>0.98*D38</f>
        <v>1.9257</v>
      </c>
      <c r="U44" s="477">
        <f>Y47</f>
        <v>1.8667499999999999</v>
      </c>
      <c r="V44" s="437">
        <f>0.9*D38</f>
        <v>1.7685000000000002</v>
      </c>
    </row>
    <row r="45" spans="1:36" ht="7.9" customHeight="1" x14ac:dyDescent="0.25">
      <c r="A45" s="376"/>
      <c r="B45" s="350"/>
      <c r="C45" s="350"/>
      <c r="D45" s="350"/>
      <c r="E45" s="350"/>
      <c r="F45" s="350"/>
      <c r="G45" s="350"/>
      <c r="H45" s="350"/>
      <c r="I45" s="350"/>
      <c r="J45" s="350"/>
      <c r="K45" s="350"/>
      <c r="L45" s="350"/>
      <c r="M45" s="350"/>
      <c r="N45" s="350"/>
      <c r="O45" s="350"/>
      <c r="P45" s="350"/>
      <c r="Q45" s="350"/>
      <c r="R45" s="350"/>
      <c r="S45" s="350"/>
      <c r="T45" s="350"/>
      <c r="U45" s="350"/>
      <c r="V45" s="382"/>
    </row>
    <row r="46" spans="1:36" ht="16.5" thickBot="1" x14ac:dyDescent="0.3">
      <c r="A46" s="376"/>
      <c r="B46" s="350"/>
      <c r="C46" s="350"/>
      <c r="D46" s="350"/>
      <c r="E46" s="350"/>
      <c r="F46" s="350"/>
      <c r="G46" s="350"/>
      <c r="H46" s="350"/>
      <c r="I46" s="350"/>
      <c r="J46" s="350"/>
      <c r="K46" s="350"/>
      <c r="L46" s="350"/>
      <c r="M46" s="350"/>
      <c r="N46" s="350"/>
      <c r="O46" s="350"/>
      <c r="P46" s="350"/>
      <c r="Q46" s="350"/>
      <c r="R46" s="350"/>
      <c r="S46" s="350"/>
      <c r="T46" s="350"/>
      <c r="U46" s="350"/>
      <c r="V46" s="382"/>
      <c r="X46" s="594" t="s">
        <v>160</v>
      </c>
      <c r="Y46" s="595"/>
      <c r="AA46" s="580">
        <v>1.5087424812322829</v>
      </c>
      <c r="AB46" s="596"/>
      <c r="AC46" s="580">
        <v>1.7608815244713649</v>
      </c>
      <c r="AD46" s="596"/>
      <c r="AE46" s="580">
        <v>1.8072856952844565</v>
      </c>
      <c r="AF46" s="596"/>
      <c r="AG46" s="580">
        <v>1.705032926024864</v>
      </c>
      <c r="AH46" s="596"/>
      <c r="AI46" s="580">
        <v>1.6033511848620288</v>
      </c>
      <c r="AJ46" s="581"/>
    </row>
    <row r="47" spans="1:36" ht="15.75" thickTop="1" x14ac:dyDescent="0.25">
      <c r="A47" s="376"/>
      <c r="B47" s="350"/>
      <c r="C47" s="350"/>
      <c r="D47" s="350"/>
      <c r="E47" s="350"/>
      <c r="F47" s="350"/>
      <c r="G47" s="350"/>
      <c r="H47" s="350"/>
      <c r="I47" s="350"/>
      <c r="J47" s="350"/>
      <c r="K47" s="350"/>
      <c r="L47" s="350"/>
      <c r="M47" s="350"/>
      <c r="N47" s="350"/>
      <c r="O47" s="350"/>
      <c r="P47" s="350"/>
      <c r="Q47" s="350"/>
      <c r="R47" s="350"/>
      <c r="S47" s="350"/>
      <c r="T47" s="350"/>
      <c r="U47" s="350"/>
      <c r="V47" s="382"/>
      <c r="X47" s="329">
        <f>'CBR Crb (2)'!T28</f>
        <v>12.4</v>
      </c>
      <c r="Y47" s="267">
        <f>'CBR Crb (2)'!U28</f>
        <v>1.8667499999999999</v>
      </c>
    </row>
    <row r="48" spans="1:36" ht="15.75" thickBot="1" x14ac:dyDescent="0.3">
      <c r="A48" s="376"/>
      <c r="B48" s="350"/>
      <c r="C48" s="350"/>
      <c r="D48" s="350"/>
      <c r="E48" s="350"/>
      <c r="F48" s="350"/>
      <c r="G48" s="350"/>
      <c r="H48" s="350"/>
      <c r="I48" s="350"/>
      <c r="J48" s="350"/>
      <c r="K48" s="350"/>
      <c r="L48" s="350"/>
      <c r="M48" s="350"/>
      <c r="N48" s="350"/>
      <c r="O48" s="350"/>
      <c r="P48" s="350"/>
      <c r="Q48" s="350"/>
      <c r="R48" s="350"/>
      <c r="S48" s="350"/>
      <c r="T48" s="350"/>
      <c r="U48" s="350"/>
      <c r="V48" s="382"/>
      <c r="X48" s="330">
        <f>X47</f>
        <v>12.4</v>
      </c>
      <c r="Y48" s="272">
        <v>1.75</v>
      </c>
      <c r="AA48" s="582">
        <v>4.144858294811776</v>
      </c>
      <c r="AB48" s="582"/>
      <c r="AC48" s="582">
        <v>6.1434380507245683</v>
      </c>
      <c r="AD48" s="582"/>
      <c r="AE48" s="582">
        <v>8.2092014738586752</v>
      </c>
      <c r="AF48" s="582"/>
      <c r="AG48" s="582">
        <v>10.115640061204832</v>
      </c>
      <c r="AH48" s="582"/>
      <c r="AI48" s="582">
        <v>12.159486396002357</v>
      </c>
      <c r="AJ48" s="593"/>
    </row>
    <row r="49" spans="1:147" x14ac:dyDescent="0.25">
      <c r="A49" s="376"/>
      <c r="B49" s="350"/>
      <c r="C49" s="350"/>
      <c r="D49" s="350"/>
      <c r="E49" s="350"/>
      <c r="F49" s="350"/>
      <c r="G49" s="350"/>
      <c r="H49" s="350"/>
      <c r="I49" s="350"/>
      <c r="J49" s="350"/>
      <c r="K49" s="350"/>
      <c r="L49" s="350"/>
      <c r="M49" s="350"/>
      <c r="N49" s="350"/>
      <c r="O49" s="350"/>
      <c r="P49" s="350"/>
      <c r="Q49" s="350"/>
      <c r="R49" s="350"/>
      <c r="S49" s="350"/>
      <c r="T49" s="350"/>
      <c r="U49" s="350"/>
      <c r="V49" s="382"/>
      <c r="X49" s="276"/>
      <c r="Y49" s="277"/>
    </row>
    <row r="50" spans="1:147" x14ac:dyDescent="0.25">
      <c r="A50" s="376"/>
      <c r="B50" s="350"/>
      <c r="C50" s="350"/>
      <c r="D50" s="350"/>
      <c r="E50" s="350"/>
      <c r="F50" s="350"/>
      <c r="G50" s="350"/>
      <c r="H50" s="350"/>
      <c r="I50" s="350"/>
      <c r="J50" s="350"/>
      <c r="K50" s="350"/>
      <c r="L50" s="350"/>
      <c r="M50" s="350"/>
      <c r="N50" s="350"/>
      <c r="O50" s="350"/>
      <c r="P50" s="350"/>
      <c r="Q50" s="350"/>
      <c r="R50" s="350"/>
      <c r="S50" s="350"/>
      <c r="T50" s="350"/>
      <c r="U50" s="350"/>
      <c r="V50" s="382"/>
      <c r="X50" s="271">
        <v>6</v>
      </c>
      <c r="Y50" s="272">
        <f>Y47</f>
        <v>1.8667499999999999</v>
      </c>
    </row>
    <row r="51" spans="1:147" x14ac:dyDescent="0.25">
      <c r="A51" s="376"/>
      <c r="B51" s="350"/>
      <c r="C51" s="350"/>
      <c r="D51" s="350"/>
      <c r="E51" s="350"/>
      <c r="F51" s="350"/>
      <c r="G51" s="350"/>
      <c r="H51" s="350"/>
      <c r="I51" s="350"/>
      <c r="J51" s="350"/>
      <c r="K51" s="350"/>
      <c r="L51" s="350"/>
      <c r="M51" s="350"/>
      <c r="N51" s="350"/>
      <c r="O51" s="350"/>
      <c r="P51" s="350"/>
      <c r="Q51" s="350"/>
      <c r="R51" s="350"/>
      <c r="S51" s="350"/>
      <c r="T51" s="350"/>
      <c r="U51" s="350"/>
      <c r="V51" s="382"/>
      <c r="X51" s="331">
        <f>X48</f>
        <v>12.4</v>
      </c>
      <c r="Y51" s="283">
        <f>Y50</f>
        <v>1.8667499999999999</v>
      </c>
      <c r="AA51" s="467">
        <v>14.939049337260677</v>
      </c>
      <c r="AB51" s="467">
        <v>9.0401457725947534</v>
      </c>
      <c r="AC51" s="254">
        <v>4.0792754050073636</v>
      </c>
    </row>
    <row r="52" spans="1:147" x14ac:dyDescent="0.25">
      <c r="A52" s="376"/>
      <c r="B52" s="350"/>
      <c r="C52" s="350"/>
      <c r="D52" s="350"/>
      <c r="E52" s="350"/>
      <c r="F52" s="350"/>
      <c r="G52" s="350"/>
      <c r="H52" s="350"/>
      <c r="I52" s="350"/>
      <c r="J52" s="350"/>
      <c r="K52" s="350"/>
      <c r="L52" s="350"/>
      <c r="M52" s="350"/>
      <c r="N52" s="350"/>
      <c r="O52" s="350"/>
      <c r="P52" s="350"/>
      <c r="Q52" s="350"/>
      <c r="R52" s="350"/>
      <c r="S52" s="350"/>
      <c r="T52" s="350"/>
      <c r="U52" s="350"/>
      <c r="V52" s="382"/>
    </row>
    <row r="53" spans="1:147" ht="15.75" thickBot="1" x14ac:dyDescent="0.3">
      <c r="A53" s="376"/>
      <c r="B53" s="350"/>
      <c r="C53" s="350"/>
      <c r="D53" s="350"/>
      <c r="E53" s="350"/>
      <c r="F53" s="350"/>
      <c r="G53" s="350"/>
      <c r="H53" s="350"/>
      <c r="I53" s="350"/>
      <c r="J53" s="350"/>
      <c r="K53" s="350"/>
      <c r="L53" s="350"/>
      <c r="M53" s="350"/>
      <c r="N53" s="350"/>
      <c r="O53" s="350"/>
      <c r="P53" s="350"/>
      <c r="Q53" s="350"/>
      <c r="R53" s="350"/>
      <c r="S53" s="350"/>
      <c r="T53" s="350"/>
      <c r="U53" s="350"/>
      <c r="V53" s="382"/>
      <c r="X53" s="653" t="s">
        <v>157</v>
      </c>
      <c r="Y53" s="654"/>
      <c r="AA53" s="466">
        <v>1.811749882333872</v>
      </c>
      <c r="AB53" s="466">
        <v>1.7248025539060909</v>
      </c>
      <c r="AC53" s="258">
        <v>1.6344850621406257</v>
      </c>
    </row>
    <row r="54" spans="1:147" x14ac:dyDescent="0.25">
      <c r="A54" s="376"/>
      <c r="B54" s="350"/>
      <c r="C54" s="350"/>
      <c r="D54" s="350"/>
      <c r="E54" s="350"/>
      <c r="F54" s="350"/>
      <c r="G54" s="350"/>
      <c r="H54" s="350"/>
      <c r="I54" s="350"/>
      <c r="J54" s="350"/>
      <c r="K54" s="350"/>
      <c r="L54" s="350"/>
      <c r="M54" s="350"/>
      <c r="N54" s="350"/>
      <c r="O54" s="350"/>
      <c r="P54" s="350"/>
      <c r="Q54" s="350"/>
      <c r="R54" s="350"/>
      <c r="S54" s="350"/>
      <c r="T54" s="350"/>
      <c r="U54" s="350"/>
      <c r="V54" s="382"/>
      <c r="X54" s="314">
        <f>'Proctor C01'!B44</f>
        <v>9.6999999999999993</v>
      </c>
      <c r="Y54" s="315">
        <f>'Proctor C01'!B43</f>
        <v>1.9650000000000001</v>
      </c>
    </row>
    <row r="55" spans="1:147" x14ac:dyDescent="0.25">
      <c r="A55" s="376"/>
      <c r="B55" s="350"/>
      <c r="C55" s="350"/>
      <c r="D55" s="350"/>
      <c r="E55" s="350"/>
      <c r="F55" s="350"/>
      <c r="G55" s="350"/>
      <c r="H55" s="350"/>
      <c r="I55" s="350"/>
      <c r="J55" s="350"/>
      <c r="K55" s="350"/>
      <c r="L55" s="350"/>
      <c r="M55" s="350"/>
      <c r="N55" s="350"/>
      <c r="O55" s="350"/>
      <c r="P55" s="350"/>
      <c r="Q55" s="350"/>
      <c r="R55" s="350"/>
      <c r="S55" s="350"/>
      <c r="T55" s="350"/>
      <c r="U55" s="350"/>
      <c r="V55" s="382"/>
      <c r="X55" s="314">
        <f>X54</f>
        <v>9.6999999999999993</v>
      </c>
      <c r="Y55" s="315">
        <v>1.78</v>
      </c>
    </row>
    <row r="56" spans="1:147" x14ac:dyDescent="0.25">
      <c r="A56" s="376"/>
      <c r="B56" s="350"/>
      <c r="C56" s="350"/>
      <c r="D56" s="350"/>
      <c r="E56" s="350"/>
      <c r="F56" s="350"/>
      <c r="G56" s="350"/>
      <c r="H56" s="350"/>
      <c r="I56" s="350"/>
      <c r="J56" s="350"/>
      <c r="K56" s="350"/>
      <c r="L56" s="350"/>
      <c r="M56" s="350"/>
      <c r="N56" s="350"/>
      <c r="O56" s="350"/>
      <c r="P56" s="350"/>
      <c r="Q56" s="350"/>
      <c r="R56" s="350"/>
      <c r="S56" s="350"/>
      <c r="T56" s="350"/>
      <c r="U56" s="350"/>
      <c r="V56" s="382"/>
      <c r="X56" s="314"/>
      <c r="Y56" s="315"/>
      <c r="AA56" s="649">
        <v>7.6067528085002696</v>
      </c>
      <c r="AB56" s="650"/>
      <c r="AC56" s="649">
        <v>7.5611458890127361</v>
      </c>
      <c r="AD56" s="650"/>
      <c r="AE56" s="649">
        <v>7.5727707943985045</v>
      </c>
      <c r="AF56" s="650"/>
    </row>
    <row r="57" spans="1:147" x14ac:dyDescent="0.25">
      <c r="A57" s="376"/>
      <c r="B57" s="350"/>
      <c r="C57" s="350"/>
      <c r="D57" s="350"/>
      <c r="E57" s="350"/>
      <c r="F57" s="350"/>
      <c r="G57" s="350"/>
      <c r="H57" s="350"/>
      <c r="I57" s="350"/>
      <c r="J57" s="350"/>
      <c r="K57" s="350"/>
      <c r="L57" s="350"/>
      <c r="M57" s="350"/>
      <c r="N57" s="350"/>
      <c r="O57" s="350"/>
      <c r="P57" s="350"/>
      <c r="Q57" s="350"/>
      <c r="R57" s="350"/>
      <c r="S57" s="350"/>
      <c r="T57" s="350"/>
      <c r="U57" s="350"/>
      <c r="V57" s="382"/>
      <c r="X57" s="314">
        <f>Y54</f>
        <v>1.9650000000000001</v>
      </c>
      <c r="Y57" s="315">
        <v>9.6999999999999993</v>
      </c>
    </row>
    <row r="58" spans="1:147" ht="13.15" customHeight="1" thickBot="1" x14ac:dyDescent="0.3">
      <c r="A58" s="376"/>
      <c r="B58" s="350"/>
      <c r="C58" s="350"/>
      <c r="D58" s="350"/>
      <c r="E58" s="350"/>
      <c r="F58" s="350"/>
      <c r="G58" s="350"/>
      <c r="H58" s="350"/>
      <c r="I58" s="350"/>
      <c r="J58" s="350"/>
      <c r="K58" s="350"/>
      <c r="L58" s="350"/>
      <c r="M58" s="350"/>
      <c r="N58" s="350"/>
      <c r="O58" s="350"/>
      <c r="P58" s="350"/>
      <c r="Q58" s="350"/>
      <c r="R58" s="350"/>
      <c r="S58" s="350"/>
      <c r="T58" s="350"/>
      <c r="U58" s="350"/>
      <c r="V58" s="382"/>
      <c r="X58" s="316">
        <f>X57</f>
        <v>1.9650000000000001</v>
      </c>
      <c r="Y58" s="317">
        <v>0</v>
      </c>
    </row>
    <row r="59" spans="1:147" ht="6.6" customHeight="1" x14ac:dyDescent="0.25">
      <c r="A59" s="644"/>
      <c r="B59" s="645"/>
      <c r="C59" s="645"/>
      <c r="D59" s="645"/>
      <c r="E59" s="645"/>
      <c r="F59" s="645"/>
      <c r="G59" s="645"/>
      <c r="H59" s="645"/>
      <c r="I59" s="645"/>
      <c r="J59" s="645"/>
      <c r="K59" s="644"/>
      <c r="L59" s="645"/>
      <c r="M59" s="645"/>
      <c r="N59" s="645"/>
      <c r="O59" s="645"/>
      <c r="P59" s="645"/>
      <c r="Q59" s="645"/>
      <c r="R59" s="645"/>
      <c r="S59" s="645"/>
      <c r="T59" s="645"/>
      <c r="U59" s="645"/>
      <c r="V59" s="646"/>
    </row>
    <row r="60" spans="1:147" ht="15.6" customHeight="1" x14ac:dyDescent="0.25">
      <c r="A60" s="624" t="s">
        <v>309</v>
      </c>
      <c r="B60" s="625"/>
      <c r="C60" s="625"/>
      <c r="D60" s="625"/>
      <c r="E60" s="625"/>
      <c r="F60" s="625"/>
      <c r="G60" s="625"/>
      <c r="H60" s="625"/>
      <c r="I60" s="625"/>
      <c r="J60" s="625"/>
      <c r="K60" s="626" t="s">
        <v>308</v>
      </c>
      <c r="L60" s="627"/>
      <c r="M60" s="627"/>
      <c r="N60" s="627"/>
      <c r="O60" s="627"/>
      <c r="P60" s="627"/>
      <c r="Q60" s="627"/>
      <c r="R60" s="627"/>
      <c r="S60" s="627"/>
      <c r="T60" s="627"/>
      <c r="U60" s="627"/>
      <c r="V60" s="628"/>
    </row>
    <row r="61" spans="1:147" ht="4.9000000000000004" customHeight="1" x14ac:dyDescent="0.25">
      <c r="A61" s="629"/>
      <c r="B61" s="630"/>
      <c r="C61" s="630"/>
      <c r="D61" s="630"/>
      <c r="E61" s="630"/>
      <c r="F61" s="630"/>
      <c r="G61" s="630"/>
      <c r="H61" s="630"/>
      <c r="I61" s="630"/>
      <c r="J61" s="630"/>
      <c r="K61" s="629"/>
      <c r="L61" s="630"/>
      <c r="M61" s="630"/>
      <c r="N61" s="630"/>
      <c r="O61" s="630"/>
      <c r="P61" s="630"/>
      <c r="Q61" s="630"/>
      <c r="R61" s="630"/>
      <c r="S61" s="630"/>
      <c r="T61" s="630"/>
      <c r="U61" s="630"/>
      <c r="V61" s="631"/>
      <c r="W61" s="632"/>
      <c r="X61" s="633"/>
      <c r="Y61" s="633"/>
      <c r="Z61" s="633"/>
      <c r="AA61" s="633"/>
      <c r="AB61" s="633"/>
      <c r="AC61" s="633"/>
      <c r="AD61" s="633"/>
      <c r="AE61" s="633"/>
      <c r="AF61" s="633"/>
      <c r="AG61" s="633"/>
      <c r="AH61" s="633"/>
      <c r="AI61" s="633"/>
      <c r="AJ61" s="633"/>
      <c r="AK61" s="633"/>
      <c r="AL61" s="633"/>
      <c r="AM61" s="633"/>
      <c r="AN61" s="633"/>
      <c r="AO61" s="633"/>
      <c r="AP61" s="633"/>
      <c r="AQ61" s="633"/>
      <c r="AR61" s="633"/>
      <c r="AS61" s="633"/>
      <c r="AT61" s="633"/>
      <c r="AU61" s="633"/>
      <c r="AV61" s="633"/>
      <c r="AW61" s="633"/>
      <c r="AX61" s="633"/>
      <c r="AY61" s="633"/>
      <c r="AZ61" s="633"/>
      <c r="BA61" s="633"/>
      <c r="BB61" s="633"/>
      <c r="BC61" s="633"/>
      <c r="BD61" s="633"/>
      <c r="BE61" s="633"/>
      <c r="BF61" s="633"/>
      <c r="BG61" s="633"/>
      <c r="BH61" s="633"/>
      <c r="BI61" s="633"/>
      <c r="BJ61" s="633"/>
      <c r="BK61" s="633"/>
      <c r="BL61" s="633"/>
      <c r="BM61" s="633"/>
      <c r="BN61" s="633"/>
      <c r="BO61" s="633"/>
      <c r="BP61" s="633"/>
      <c r="BQ61" s="633"/>
      <c r="BR61" s="633"/>
      <c r="BS61" s="633"/>
      <c r="BT61" s="633"/>
      <c r="BU61" s="633"/>
      <c r="BV61" s="633"/>
      <c r="BW61" s="633"/>
      <c r="BX61" s="633"/>
      <c r="BY61" s="633"/>
      <c r="BZ61" s="633"/>
      <c r="CA61" s="633"/>
      <c r="CB61" s="633"/>
      <c r="CC61" s="633"/>
      <c r="CD61" s="633"/>
      <c r="CE61" s="633"/>
      <c r="CF61" s="633"/>
      <c r="CG61" s="633"/>
      <c r="CH61" s="633"/>
      <c r="CI61" s="633"/>
      <c r="CJ61" s="633"/>
      <c r="CK61" s="633"/>
      <c r="CL61" s="633"/>
      <c r="CM61" s="633"/>
      <c r="CN61" s="633"/>
      <c r="CO61" s="633"/>
      <c r="CP61" s="633"/>
      <c r="CQ61" s="633"/>
      <c r="CR61" s="633"/>
      <c r="CS61" s="633"/>
      <c r="CT61" s="633"/>
      <c r="CU61" s="633"/>
      <c r="CV61" s="633"/>
      <c r="CW61" s="633"/>
      <c r="CX61" s="633"/>
      <c r="CY61" s="633"/>
      <c r="CZ61" s="633"/>
      <c r="DA61" s="633"/>
      <c r="DB61" s="633"/>
      <c r="DC61" s="633"/>
      <c r="DD61" s="633"/>
      <c r="DE61" s="633"/>
      <c r="DF61" s="633"/>
      <c r="DG61" s="633"/>
      <c r="DH61" s="633"/>
      <c r="DI61" s="633"/>
      <c r="DJ61" s="633"/>
      <c r="DK61" s="633"/>
      <c r="DL61" s="633"/>
      <c r="DM61" s="633"/>
      <c r="DN61" s="633"/>
      <c r="DO61" s="633"/>
      <c r="DP61" s="633"/>
      <c r="DQ61" s="633"/>
      <c r="DR61" s="633"/>
      <c r="DS61" s="633"/>
      <c r="DT61" s="633"/>
      <c r="DU61" s="633"/>
      <c r="DV61" s="633"/>
      <c r="DW61" s="633"/>
      <c r="DX61" s="633"/>
      <c r="DY61" s="633"/>
      <c r="DZ61" s="633"/>
      <c r="EA61" s="633"/>
      <c r="EB61" s="633"/>
      <c r="EC61" s="633"/>
      <c r="ED61" s="633"/>
      <c r="EE61" s="633"/>
      <c r="EF61" s="633"/>
      <c r="EG61" s="633"/>
      <c r="EH61" s="633"/>
      <c r="EI61" s="633"/>
      <c r="EJ61" s="633"/>
      <c r="EK61" s="633"/>
      <c r="EL61" s="633"/>
      <c r="EM61" s="633"/>
      <c r="EN61" s="633"/>
      <c r="EO61" s="633"/>
      <c r="EP61" s="633"/>
      <c r="EQ61" s="633"/>
    </row>
    <row r="62" spans="1:147" ht="3.6" customHeight="1" x14ac:dyDescent="0.25">
      <c r="A62" s="629"/>
      <c r="B62" s="630"/>
      <c r="C62" s="630"/>
      <c r="D62" s="630"/>
      <c r="E62" s="630"/>
      <c r="F62" s="630"/>
      <c r="G62" s="630"/>
      <c r="H62" s="630"/>
      <c r="I62" s="630"/>
      <c r="J62" s="630"/>
      <c r="K62" s="629"/>
      <c r="L62" s="630"/>
      <c r="M62" s="630"/>
      <c r="N62" s="630"/>
      <c r="O62" s="630"/>
      <c r="P62" s="630"/>
      <c r="Q62" s="630"/>
      <c r="R62" s="630"/>
      <c r="S62" s="630"/>
      <c r="T62" s="630"/>
      <c r="U62" s="630"/>
      <c r="V62" s="631"/>
      <c r="W62" s="632"/>
      <c r="X62" s="633"/>
      <c r="Y62" s="633"/>
      <c r="Z62" s="633"/>
      <c r="AA62" s="633"/>
      <c r="AB62" s="633"/>
      <c r="AC62" s="633"/>
      <c r="AD62" s="633"/>
      <c r="AE62" s="633"/>
      <c r="AF62" s="633"/>
      <c r="AG62" s="633"/>
      <c r="AH62" s="633"/>
      <c r="AI62" s="633"/>
      <c r="AJ62" s="633"/>
      <c r="AK62" s="633"/>
      <c r="AL62" s="633"/>
      <c r="AM62" s="633"/>
      <c r="AN62" s="633"/>
      <c r="AO62" s="633"/>
      <c r="AP62" s="633"/>
      <c r="AQ62" s="633"/>
      <c r="AR62" s="633"/>
      <c r="AS62" s="633"/>
      <c r="AT62" s="633"/>
      <c r="AU62" s="633"/>
      <c r="AV62" s="633"/>
      <c r="AW62" s="633"/>
      <c r="AX62" s="633"/>
      <c r="AY62" s="633"/>
      <c r="AZ62" s="633"/>
      <c r="BA62" s="633"/>
      <c r="BB62" s="633"/>
      <c r="BC62" s="633"/>
      <c r="BD62" s="633"/>
      <c r="BE62" s="633"/>
      <c r="BF62" s="633"/>
      <c r="BG62" s="633"/>
      <c r="BH62" s="633"/>
      <c r="BI62" s="633"/>
      <c r="BJ62" s="633"/>
      <c r="BK62" s="633"/>
      <c r="BL62" s="633"/>
      <c r="BM62" s="633"/>
      <c r="BN62" s="633"/>
      <c r="BO62" s="633"/>
      <c r="BP62" s="633"/>
      <c r="BQ62" s="633"/>
      <c r="BR62" s="633"/>
      <c r="BS62" s="633"/>
      <c r="BT62" s="633"/>
      <c r="BU62" s="633"/>
      <c r="BV62" s="633"/>
      <c r="BW62" s="633"/>
      <c r="BX62" s="633"/>
      <c r="BY62" s="633"/>
      <c r="BZ62" s="633"/>
      <c r="CA62" s="633"/>
      <c r="CB62" s="633"/>
      <c r="CC62" s="633"/>
      <c r="CD62" s="633"/>
      <c r="CE62" s="633"/>
      <c r="CF62" s="633"/>
      <c r="CG62" s="633"/>
      <c r="CH62" s="633"/>
      <c r="CI62" s="633"/>
      <c r="CJ62" s="633"/>
      <c r="CK62" s="633"/>
      <c r="CL62" s="633"/>
      <c r="CM62" s="633"/>
      <c r="CN62" s="633"/>
      <c r="CO62" s="633"/>
      <c r="CP62" s="633"/>
      <c r="CQ62" s="633"/>
      <c r="CR62" s="633"/>
      <c r="CS62" s="633"/>
      <c r="CT62" s="633"/>
      <c r="CU62" s="633"/>
      <c r="CV62" s="633"/>
      <c r="CW62" s="633"/>
      <c r="CX62" s="633"/>
      <c r="CY62" s="633"/>
      <c r="CZ62" s="633"/>
      <c r="DA62" s="633"/>
      <c r="DB62" s="633"/>
      <c r="DC62" s="633"/>
      <c r="DD62" s="633"/>
      <c r="DE62" s="633"/>
      <c r="DF62" s="633"/>
      <c r="DG62" s="633"/>
      <c r="DH62" s="633"/>
      <c r="DI62" s="633"/>
      <c r="DJ62" s="633"/>
      <c r="DK62" s="633"/>
      <c r="DL62" s="633"/>
      <c r="DM62" s="633"/>
      <c r="DN62" s="633"/>
      <c r="DO62" s="633"/>
      <c r="DP62" s="633"/>
      <c r="DQ62" s="633"/>
      <c r="DR62" s="633"/>
      <c r="DS62" s="633"/>
      <c r="DT62" s="633"/>
      <c r="DU62" s="633"/>
      <c r="DV62" s="633"/>
      <c r="DW62" s="633"/>
      <c r="DX62" s="633"/>
      <c r="DY62" s="633"/>
      <c r="DZ62" s="633"/>
      <c r="EA62" s="633"/>
      <c r="EB62" s="633"/>
      <c r="EC62" s="633"/>
      <c r="ED62" s="633"/>
      <c r="EE62" s="633"/>
      <c r="EF62" s="633"/>
      <c r="EG62" s="633"/>
      <c r="EH62" s="633"/>
      <c r="EI62" s="633"/>
      <c r="EJ62" s="633"/>
      <c r="EK62" s="633"/>
      <c r="EL62" s="633"/>
      <c r="EM62" s="633"/>
      <c r="EN62" s="633"/>
      <c r="EO62" s="633"/>
      <c r="EP62" s="633"/>
      <c r="EQ62" s="633"/>
    </row>
    <row r="63" spans="1:147" ht="7.15" customHeight="1" x14ac:dyDescent="0.25">
      <c r="A63" s="629"/>
      <c r="B63" s="630"/>
      <c r="C63" s="630"/>
      <c r="D63" s="630"/>
      <c r="E63" s="630"/>
      <c r="F63" s="630"/>
      <c r="G63" s="630"/>
      <c r="H63" s="630"/>
      <c r="I63" s="630"/>
      <c r="J63" s="630"/>
      <c r="K63" s="629"/>
      <c r="L63" s="630"/>
      <c r="M63" s="630"/>
      <c r="N63" s="630"/>
      <c r="O63" s="630"/>
      <c r="P63" s="630"/>
      <c r="Q63" s="630"/>
      <c r="R63" s="630"/>
      <c r="S63" s="630"/>
      <c r="T63" s="630"/>
      <c r="U63" s="630"/>
      <c r="V63" s="631"/>
      <c r="W63" s="632"/>
      <c r="X63" s="633"/>
      <c r="Y63" s="633"/>
      <c r="Z63" s="633"/>
      <c r="AA63" s="633"/>
      <c r="AB63" s="633"/>
      <c r="AC63" s="633"/>
      <c r="AD63" s="633"/>
      <c r="AE63" s="633"/>
      <c r="AF63" s="633"/>
      <c r="AG63" s="633"/>
      <c r="AH63" s="633"/>
      <c r="AI63" s="633"/>
      <c r="AJ63" s="633"/>
      <c r="AK63" s="633"/>
      <c r="AL63" s="633"/>
      <c r="AM63" s="633"/>
      <c r="AN63" s="633"/>
      <c r="AO63" s="633"/>
      <c r="AP63" s="633"/>
      <c r="AQ63" s="633"/>
      <c r="AR63" s="633"/>
      <c r="AS63" s="633"/>
      <c r="AT63" s="633"/>
      <c r="AU63" s="633"/>
      <c r="AV63" s="633"/>
      <c r="AW63" s="633"/>
      <c r="AX63" s="633"/>
      <c r="AY63" s="633"/>
      <c r="AZ63" s="633"/>
      <c r="BA63" s="633"/>
      <c r="BB63" s="633"/>
      <c r="BC63" s="633"/>
      <c r="BD63" s="633"/>
      <c r="BE63" s="633"/>
      <c r="BF63" s="633"/>
      <c r="BG63" s="633"/>
      <c r="BH63" s="633"/>
      <c r="BI63" s="633"/>
      <c r="BJ63" s="633"/>
      <c r="BK63" s="633"/>
      <c r="BL63" s="633"/>
      <c r="BM63" s="633"/>
      <c r="BN63" s="633"/>
      <c r="BO63" s="633"/>
      <c r="BP63" s="633"/>
      <c r="BQ63" s="633"/>
      <c r="BR63" s="633"/>
      <c r="BS63" s="633"/>
      <c r="BT63" s="633"/>
      <c r="BU63" s="633"/>
      <c r="BV63" s="633"/>
      <c r="BW63" s="633"/>
      <c r="BX63" s="633"/>
      <c r="BY63" s="633"/>
      <c r="BZ63" s="633"/>
      <c r="CA63" s="633"/>
      <c r="CB63" s="633"/>
      <c r="CC63" s="633"/>
      <c r="CD63" s="633"/>
      <c r="CE63" s="633"/>
      <c r="CF63" s="633"/>
      <c r="CG63" s="633"/>
      <c r="CH63" s="633"/>
      <c r="CI63" s="633"/>
      <c r="CJ63" s="633"/>
      <c r="CK63" s="633"/>
      <c r="CL63" s="633"/>
      <c r="CM63" s="633"/>
      <c r="CN63" s="633"/>
      <c r="CO63" s="633"/>
      <c r="CP63" s="633"/>
      <c r="CQ63" s="633"/>
      <c r="CR63" s="633"/>
      <c r="CS63" s="633"/>
      <c r="CT63" s="633"/>
      <c r="CU63" s="633"/>
      <c r="CV63" s="633"/>
      <c r="CW63" s="633"/>
      <c r="CX63" s="633"/>
      <c r="CY63" s="633"/>
      <c r="CZ63" s="633"/>
      <c r="DA63" s="633"/>
      <c r="DB63" s="633"/>
      <c r="DC63" s="633"/>
      <c r="DD63" s="633"/>
      <c r="DE63" s="633"/>
      <c r="DF63" s="633"/>
      <c r="DG63" s="633"/>
      <c r="DH63" s="633"/>
      <c r="DI63" s="633"/>
      <c r="DJ63" s="633"/>
      <c r="DK63" s="633"/>
      <c r="DL63" s="633"/>
      <c r="DM63" s="633"/>
      <c r="DN63" s="633"/>
      <c r="DO63" s="633"/>
      <c r="DP63" s="633"/>
      <c r="DQ63" s="633"/>
      <c r="DR63" s="633"/>
      <c r="DS63" s="633"/>
      <c r="DT63" s="633"/>
      <c r="DU63" s="633"/>
      <c r="DV63" s="633"/>
      <c r="DW63" s="633"/>
      <c r="DX63" s="633"/>
      <c r="DY63" s="633"/>
      <c r="DZ63" s="633"/>
      <c r="EA63" s="633"/>
      <c r="EB63" s="633"/>
      <c r="EC63" s="633"/>
      <c r="ED63" s="633"/>
      <c r="EE63" s="633"/>
      <c r="EF63" s="633"/>
      <c r="EG63" s="633"/>
      <c r="EH63" s="633"/>
      <c r="EI63" s="633"/>
      <c r="EJ63" s="633"/>
      <c r="EK63" s="633"/>
      <c r="EL63" s="633"/>
      <c r="EM63" s="633"/>
      <c r="EN63" s="633"/>
      <c r="EO63" s="633"/>
      <c r="EP63" s="633"/>
      <c r="EQ63" s="633"/>
    </row>
    <row r="64" spans="1:147" ht="4.1500000000000004" customHeight="1" x14ac:dyDescent="0.25">
      <c r="A64" s="629"/>
      <c r="B64" s="630"/>
      <c r="C64" s="630"/>
      <c r="D64" s="630"/>
      <c r="E64" s="630"/>
      <c r="F64" s="630"/>
      <c r="G64" s="630"/>
      <c r="H64" s="630"/>
      <c r="I64" s="630"/>
      <c r="J64" s="630"/>
      <c r="K64" s="629"/>
      <c r="L64" s="630"/>
      <c r="M64" s="630"/>
      <c r="N64" s="630"/>
      <c r="O64" s="630"/>
      <c r="P64" s="630"/>
      <c r="Q64" s="630"/>
      <c r="R64" s="630"/>
      <c r="S64" s="630"/>
      <c r="T64" s="630"/>
      <c r="U64" s="630"/>
      <c r="V64" s="631"/>
      <c r="W64" s="632"/>
      <c r="X64" s="633"/>
      <c r="Y64" s="633"/>
      <c r="Z64" s="633"/>
      <c r="AA64" s="633"/>
      <c r="AB64" s="633"/>
      <c r="AC64" s="633"/>
      <c r="AD64" s="633"/>
      <c r="AE64" s="633"/>
      <c r="AF64" s="633"/>
      <c r="AG64" s="633"/>
      <c r="AH64" s="633"/>
      <c r="AI64" s="633"/>
      <c r="AJ64" s="633"/>
      <c r="AK64" s="633"/>
      <c r="AL64" s="633"/>
      <c r="AM64" s="633"/>
      <c r="AN64" s="633"/>
      <c r="AO64" s="633"/>
      <c r="AP64" s="633"/>
      <c r="AQ64" s="633"/>
      <c r="AR64" s="633"/>
      <c r="AS64" s="633"/>
      <c r="AT64" s="633"/>
      <c r="AU64" s="633"/>
      <c r="AV64" s="633"/>
      <c r="AW64" s="633"/>
      <c r="AX64" s="633"/>
      <c r="AY64" s="633"/>
      <c r="AZ64" s="633"/>
      <c r="BA64" s="633"/>
      <c r="BB64" s="633"/>
      <c r="BC64" s="633"/>
      <c r="BD64" s="633"/>
      <c r="BE64" s="633"/>
      <c r="BF64" s="633"/>
      <c r="BG64" s="633"/>
      <c r="BH64" s="633"/>
      <c r="BI64" s="633"/>
      <c r="BJ64" s="633"/>
      <c r="BK64" s="633"/>
      <c r="BL64" s="633"/>
      <c r="BM64" s="633"/>
      <c r="BN64" s="633"/>
      <c r="BO64" s="633"/>
      <c r="BP64" s="633"/>
      <c r="BQ64" s="633"/>
      <c r="BR64" s="633"/>
      <c r="BS64" s="633"/>
      <c r="BT64" s="633"/>
      <c r="BU64" s="633"/>
      <c r="BV64" s="633"/>
      <c r="BW64" s="633"/>
      <c r="BX64" s="633"/>
      <c r="BY64" s="633"/>
      <c r="BZ64" s="633"/>
      <c r="CA64" s="633"/>
      <c r="CB64" s="633"/>
      <c r="CC64" s="633"/>
      <c r="CD64" s="633"/>
      <c r="CE64" s="633"/>
      <c r="CF64" s="633"/>
      <c r="CG64" s="633"/>
      <c r="CH64" s="633"/>
      <c r="CI64" s="633"/>
      <c r="CJ64" s="633"/>
      <c r="CK64" s="633"/>
      <c r="CL64" s="633"/>
      <c r="CM64" s="633"/>
      <c r="CN64" s="633"/>
      <c r="CO64" s="633"/>
      <c r="CP64" s="633"/>
      <c r="CQ64" s="633"/>
      <c r="CR64" s="633"/>
      <c r="CS64" s="633"/>
      <c r="CT64" s="633"/>
      <c r="CU64" s="633"/>
      <c r="CV64" s="633"/>
      <c r="CW64" s="633"/>
      <c r="CX64" s="633"/>
      <c r="CY64" s="633"/>
      <c r="CZ64" s="633"/>
      <c r="DA64" s="633"/>
      <c r="DB64" s="633"/>
      <c r="DC64" s="633"/>
      <c r="DD64" s="633"/>
      <c r="DE64" s="633"/>
      <c r="DF64" s="633"/>
      <c r="DG64" s="633"/>
      <c r="DH64" s="633"/>
      <c r="DI64" s="633"/>
      <c r="DJ64" s="633"/>
      <c r="DK64" s="633"/>
      <c r="DL64" s="633"/>
      <c r="DM64" s="633"/>
      <c r="DN64" s="633"/>
      <c r="DO64" s="633"/>
      <c r="DP64" s="633"/>
      <c r="DQ64" s="633"/>
      <c r="DR64" s="633"/>
      <c r="DS64" s="633"/>
      <c r="DT64" s="633"/>
      <c r="DU64" s="633"/>
      <c r="DV64" s="633"/>
      <c r="DW64" s="633"/>
      <c r="DX64" s="633"/>
      <c r="DY64" s="633"/>
      <c r="DZ64" s="633"/>
      <c r="EA64" s="633"/>
      <c r="EB64" s="633"/>
      <c r="EC64" s="633"/>
      <c r="ED64" s="633"/>
      <c r="EE64" s="633"/>
      <c r="EF64" s="633"/>
      <c r="EG64" s="633"/>
      <c r="EH64" s="633"/>
      <c r="EI64" s="633"/>
      <c r="EJ64" s="633"/>
      <c r="EK64" s="633"/>
      <c r="EL64" s="633"/>
      <c r="EM64" s="633"/>
      <c r="EN64" s="633"/>
      <c r="EO64" s="633"/>
      <c r="EP64" s="633"/>
      <c r="EQ64" s="633"/>
    </row>
    <row r="65" spans="1:147" ht="1.9" customHeight="1" x14ac:dyDescent="0.25">
      <c r="A65" s="629"/>
      <c r="B65" s="630"/>
      <c r="C65" s="630"/>
      <c r="D65" s="630"/>
      <c r="E65" s="630"/>
      <c r="F65" s="630"/>
      <c r="G65" s="630"/>
      <c r="H65" s="630"/>
      <c r="I65" s="630"/>
      <c r="J65" s="630"/>
      <c r="K65" s="629"/>
      <c r="L65" s="630"/>
      <c r="M65" s="630"/>
      <c r="N65" s="630"/>
      <c r="O65" s="630"/>
      <c r="P65" s="630"/>
      <c r="Q65" s="630"/>
      <c r="R65" s="630"/>
      <c r="S65" s="630"/>
      <c r="T65" s="630"/>
      <c r="U65" s="630"/>
      <c r="V65" s="631"/>
      <c r="W65" s="632"/>
      <c r="X65" s="633"/>
      <c r="Y65" s="633"/>
      <c r="Z65" s="633"/>
      <c r="AA65" s="633"/>
      <c r="AB65" s="633"/>
      <c r="AC65" s="633"/>
      <c r="AD65" s="633"/>
      <c r="AE65" s="633"/>
      <c r="AF65" s="633"/>
      <c r="AG65" s="633"/>
      <c r="AH65" s="633"/>
      <c r="AI65" s="633"/>
      <c r="AJ65" s="633"/>
      <c r="AK65" s="633"/>
      <c r="AL65" s="633"/>
      <c r="AM65" s="633"/>
      <c r="AN65" s="633"/>
      <c r="AO65" s="633"/>
      <c r="AP65" s="633"/>
      <c r="AQ65" s="633"/>
      <c r="AR65" s="633"/>
      <c r="AS65" s="633"/>
      <c r="AT65" s="633"/>
      <c r="AU65" s="633"/>
      <c r="AV65" s="633"/>
      <c r="AW65" s="633"/>
      <c r="AX65" s="633"/>
      <c r="AY65" s="633"/>
      <c r="AZ65" s="633"/>
      <c r="BA65" s="633"/>
      <c r="BB65" s="633"/>
      <c r="BC65" s="633"/>
      <c r="BD65" s="633"/>
      <c r="BE65" s="633"/>
      <c r="BF65" s="633"/>
      <c r="BG65" s="633"/>
      <c r="BH65" s="633"/>
      <c r="BI65" s="633"/>
      <c r="BJ65" s="633"/>
      <c r="BK65" s="633"/>
      <c r="BL65" s="633"/>
      <c r="BM65" s="633"/>
      <c r="BN65" s="633"/>
      <c r="BO65" s="633"/>
      <c r="BP65" s="633"/>
      <c r="BQ65" s="633"/>
      <c r="BR65" s="633"/>
      <c r="BS65" s="633"/>
      <c r="BT65" s="633"/>
      <c r="BU65" s="633"/>
      <c r="BV65" s="633"/>
      <c r="BW65" s="633"/>
      <c r="BX65" s="633"/>
      <c r="BY65" s="633"/>
      <c r="BZ65" s="633"/>
      <c r="CA65" s="633"/>
      <c r="CB65" s="633"/>
      <c r="CC65" s="633"/>
      <c r="CD65" s="633"/>
      <c r="CE65" s="633"/>
      <c r="CF65" s="633"/>
      <c r="CG65" s="633"/>
      <c r="CH65" s="633"/>
      <c r="CI65" s="633"/>
      <c r="CJ65" s="633"/>
      <c r="CK65" s="633"/>
      <c r="CL65" s="633"/>
      <c r="CM65" s="633"/>
      <c r="CN65" s="633"/>
      <c r="CO65" s="633"/>
      <c r="CP65" s="633"/>
      <c r="CQ65" s="633"/>
      <c r="CR65" s="633"/>
      <c r="CS65" s="633"/>
      <c r="CT65" s="633"/>
      <c r="CU65" s="633"/>
      <c r="CV65" s="633"/>
      <c r="CW65" s="633"/>
      <c r="CX65" s="633"/>
      <c r="CY65" s="633"/>
      <c r="CZ65" s="633"/>
      <c r="DA65" s="633"/>
      <c r="DB65" s="633"/>
      <c r="DC65" s="633"/>
      <c r="DD65" s="633"/>
      <c r="DE65" s="633"/>
      <c r="DF65" s="633"/>
      <c r="DG65" s="633"/>
      <c r="DH65" s="633"/>
      <c r="DI65" s="633"/>
      <c r="DJ65" s="633"/>
      <c r="DK65" s="633"/>
      <c r="DL65" s="633"/>
      <c r="DM65" s="633"/>
      <c r="DN65" s="633"/>
      <c r="DO65" s="633"/>
      <c r="DP65" s="633"/>
      <c r="DQ65" s="633"/>
      <c r="DR65" s="633"/>
      <c r="DS65" s="633"/>
      <c r="DT65" s="633"/>
      <c r="DU65" s="633"/>
      <c r="DV65" s="633"/>
      <c r="DW65" s="633"/>
      <c r="DX65" s="633"/>
      <c r="DY65" s="633"/>
      <c r="DZ65" s="633"/>
      <c r="EA65" s="633"/>
      <c r="EB65" s="633"/>
      <c r="EC65" s="633"/>
      <c r="ED65" s="633"/>
      <c r="EE65" s="633"/>
      <c r="EF65" s="633"/>
      <c r="EG65" s="633"/>
      <c r="EH65" s="633"/>
      <c r="EI65" s="633"/>
      <c r="EJ65" s="633"/>
      <c r="EK65" s="633"/>
      <c r="EL65" s="633"/>
      <c r="EM65" s="633"/>
      <c r="EN65" s="633"/>
      <c r="EO65" s="633"/>
      <c r="EP65" s="633"/>
      <c r="EQ65" s="633"/>
    </row>
    <row r="66" spans="1:147" ht="10.15" customHeight="1" x14ac:dyDescent="0.25">
      <c r="A66" s="634" t="s">
        <v>310</v>
      </c>
      <c r="B66" s="635"/>
      <c r="C66" s="635"/>
      <c r="D66" s="635"/>
      <c r="E66" s="635"/>
      <c r="F66" s="635"/>
      <c r="G66" s="635"/>
      <c r="H66" s="635"/>
      <c r="I66" s="635"/>
      <c r="J66" s="635"/>
      <c r="K66" s="638" t="s">
        <v>187</v>
      </c>
      <c r="L66" s="639"/>
      <c r="M66" s="639"/>
      <c r="N66" s="639"/>
      <c r="O66" s="639"/>
      <c r="P66" s="639"/>
      <c r="Q66" s="639"/>
      <c r="R66" s="639"/>
      <c r="S66" s="639"/>
      <c r="T66" s="639"/>
      <c r="U66" s="639"/>
      <c r="V66" s="640"/>
      <c r="W66" s="632"/>
      <c r="X66" s="633"/>
      <c r="Y66" s="633"/>
      <c r="Z66" s="633"/>
      <c r="AA66" s="633"/>
      <c r="AB66" s="633"/>
      <c r="AC66" s="633"/>
      <c r="AD66" s="633"/>
      <c r="AE66" s="633"/>
      <c r="AF66" s="633"/>
      <c r="AG66" s="633"/>
      <c r="AH66" s="633"/>
      <c r="AI66" s="633"/>
      <c r="AJ66" s="633"/>
      <c r="AK66" s="633"/>
      <c r="AL66" s="633"/>
      <c r="AM66" s="633"/>
      <c r="AN66" s="633"/>
      <c r="AO66" s="633"/>
      <c r="AP66" s="633"/>
      <c r="AQ66" s="633"/>
      <c r="AR66" s="633"/>
      <c r="AS66" s="633"/>
      <c r="AT66" s="633"/>
      <c r="AU66" s="633"/>
      <c r="AV66" s="633"/>
      <c r="AW66" s="633"/>
      <c r="AX66" s="633"/>
      <c r="AY66" s="633"/>
      <c r="AZ66" s="633"/>
      <c r="BA66" s="633"/>
      <c r="BB66" s="633"/>
      <c r="BC66" s="633"/>
      <c r="BD66" s="633"/>
      <c r="BE66" s="633"/>
      <c r="BF66" s="633"/>
      <c r="BG66" s="633"/>
      <c r="BH66" s="633"/>
      <c r="BI66" s="633"/>
      <c r="BJ66" s="633"/>
      <c r="BK66" s="633"/>
      <c r="BL66" s="633"/>
      <c r="BM66" s="633"/>
      <c r="BN66" s="633"/>
      <c r="BO66" s="633"/>
      <c r="BP66" s="633"/>
      <c r="BQ66" s="633"/>
      <c r="BR66" s="633"/>
      <c r="BS66" s="633"/>
      <c r="BT66" s="633"/>
      <c r="BU66" s="633"/>
      <c r="BV66" s="633"/>
      <c r="BW66" s="633"/>
      <c r="BX66" s="633"/>
      <c r="BY66" s="633"/>
      <c r="BZ66" s="633"/>
      <c r="CA66" s="633"/>
      <c r="CB66" s="633"/>
      <c r="CC66" s="633"/>
      <c r="CD66" s="633"/>
      <c r="CE66" s="633"/>
      <c r="CF66" s="633"/>
      <c r="CG66" s="633"/>
      <c r="CH66" s="633"/>
      <c r="CI66" s="633"/>
      <c r="CJ66" s="633"/>
      <c r="CK66" s="633"/>
      <c r="CL66" s="633"/>
      <c r="CM66" s="633"/>
      <c r="CN66" s="633"/>
      <c r="CO66" s="633"/>
      <c r="CP66" s="633"/>
      <c r="CQ66" s="633"/>
      <c r="CR66" s="633"/>
      <c r="CS66" s="633"/>
      <c r="CT66" s="633"/>
      <c r="CU66" s="633"/>
      <c r="CV66" s="633"/>
      <c r="CW66" s="633"/>
      <c r="CX66" s="633"/>
      <c r="CY66" s="633"/>
      <c r="CZ66" s="633"/>
      <c r="DA66" s="633"/>
      <c r="DB66" s="633"/>
      <c r="DC66" s="633"/>
      <c r="DD66" s="633"/>
      <c r="DE66" s="633"/>
      <c r="DF66" s="633"/>
      <c r="DG66" s="633"/>
      <c r="DH66" s="633"/>
      <c r="DI66" s="633"/>
      <c r="DJ66" s="633"/>
      <c r="DK66" s="633"/>
      <c r="DL66" s="633"/>
      <c r="DM66" s="633"/>
      <c r="DN66" s="633"/>
      <c r="DO66" s="633"/>
      <c r="DP66" s="633"/>
      <c r="DQ66" s="633"/>
      <c r="DR66" s="633"/>
      <c r="DS66" s="633"/>
      <c r="DT66" s="633"/>
      <c r="DU66" s="633"/>
      <c r="DV66" s="633"/>
      <c r="DW66" s="633"/>
      <c r="DX66" s="633"/>
      <c r="DY66" s="633"/>
      <c r="DZ66" s="633"/>
      <c r="EA66" s="633"/>
      <c r="EB66" s="633"/>
      <c r="EC66" s="633"/>
      <c r="ED66" s="633"/>
      <c r="EE66" s="633"/>
      <c r="EF66" s="633"/>
      <c r="EG66" s="633"/>
      <c r="EH66" s="633"/>
      <c r="EI66" s="633"/>
      <c r="EJ66" s="633"/>
      <c r="EK66" s="633"/>
      <c r="EL66" s="633"/>
      <c r="EM66" s="633"/>
      <c r="EN66" s="633"/>
      <c r="EO66" s="633"/>
      <c r="EP66" s="633"/>
      <c r="EQ66" s="633"/>
    </row>
    <row r="67" spans="1:147" ht="15" hidden="1" customHeight="1" thickBot="1" x14ac:dyDescent="0.3">
      <c r="A67" s="634"/>
      <c r="B67" s="635"/>
      <c r="C67" s="635"/>
      <c r="D67" s="635"/>
      <c r="E67" s="635"/>
      <c r="F67" s="635"/>
      <c r="G67" s="635"/>
      <c r="H67" s="635"/>
      <c r="I67" s="635"/>
      <c r="J67" s="635"/>
      <c r="K67" s="638"/>
      <c r="L67" s="639"/>
      <c r="M67" s="639"/>
      <c r="N67" s="639"/>
      <c r="O67" s="639"/>
      <c r="P67" s="639"/>
      <c r="Q67" s="639"/>
      <c r="R67" s="639"/>
      <c r="S67" s="639"/>
      <c r="T67" s="639"/>
      <c r="U67" s="639"/>
      <c r="V67" s="640"/>
      <c r="W67" s="632"/>
      <c r="X67" s="633"/>
      <c r="Y67" s="633"/>
      <c r="Z67" s="633"/>
      <c r="AA67" s="633"/>
      <c r="AB67" s="633"/>
      <c r="AC67" s="633"/>
      <c r="AD67" s="633"/>
      <c r="AE67" s="633"/>
      <c r="AF67" s="633"/>
      <c r="AG67" s="633"/>
      <c r="AH67" s="633"/>
      <c r="AI67" s="633"/>
      <c r="AJ67" s="633"/>
      <c r="AK67" s="633"/>
      <c r="AL67" s="633"/>
      <c r="AM67" s="633"/>
      <c r="AN67" s="633"/>
      <c r="AO67" s="633"/>
      <c r="AP67" s="633"/>
      <c r="AQ67" s="633"/>
      <c r="AR67" s="633"/>
      <c r="AS67" s="633"/>
      <c r="AT67" s="633"/>
      <c r="AU67" s="633"/>
      <c r="AV67" s="633"/>
      <c r="AW67" s="633"/>
      <c r="AX67" s="633"/>
      <c r="AY67" s="633"/>
      <c r="AZ67" s="633"/>
      <c r="BA67" s="633"/>
      <c r="BB67" s="633"/>
      <c r="BC67" s="633"/>
      <c r="BD67" s="633"/>
      <c r="BE67" s="633"/>
      <c r="BF67" s="633"/>
      <c r="BG67" s="633"/>
      <c r="BH67" s="633"/>
      <c r="BI67" s="633"/>
      <c r="BJ67" s="633"/>
      <c r="BK67" s="633"/>
      <c r="BL67" s="633"/>
      <c r="BM67" s="633"/>
      <c r="BN67" s="633"/>
      <c r="BO67" s="633"/>
      <c r="BP67" s="633"/>
      <c r="BQ67" s="633"/>
      <c r="BR67" s="633"/>
      <c r="BS67" s="633"/>
      <c r="BT67" s="633"/>
      <c r="BU67" s="633"/>
      <c r="BV67" s="633"/>
      <c r="BW67" s="633"/>
      <c r="BX67" s="633"/>
      <c r="BY67" s="633"/>
      <c r="BZ67" s="633"/>
      <c r="CA67" s="633"/>
      <c r="CB67" s="633"/>
      <c r="CC67" s="633"/>
      <c r="CD67" s="633"/>
      <c r="CE67" s="633"/>
      <c r="CF67" s="633"/>
      <c r="CG67" s="633"/>
      <c r="CH67" s="633"/>
      <c r="CI67" s="633"/>
      <c r="CJ67" s="633"/>
      <c r="CK67" s="633"/>
      <c r="CL67" s="633"/>
      <c r="CM67" s="633"/>
      <c r="CN67" s="633"/>
      <c r="CO67" s="633"/>
      <c r="CP67" s="633"/>
      <c r="CQ67" s="633"/>
      <c r="CR67" s="633"/>
      <c r="CS67" s="633"/>
      <c r="CT67" s="633"/>
      <c r="CU67" s="633"/>
      <c r="CV67" s="633"/>
      <c r="CW67" s="633"/>
      <c r="CX67" s="633"/>
      <c r="CY67" s="633"/>
      <c r="CZ67" s="633"/>
      <c r="DA67" s="633"/>
      <c r="DB67" s="633"/>
      <c r="DC67" s="633"/>
      <c r="DD67" s="633"/>
      <c r="DE67" s="633"/>
      <c r="DF67" s="633"/>
      <c r="DG67" s="633"/>
      <c r="DH67" s="633"/>
      <c r="DI67" s="633"/>
      <c r="DJ67" s="633"/>
      <c r="DK67" s="633"/>
      <c r="DL67" s="633"/>
      <c r="DM67" s="633"/>
      <c r="DN67" s="633"/>
      <c r="DO67" s="633"/>
      <c r="DP67" s="633"/>
      <c r="DQ67" s="633"/>
      <c r="DR67" s="633"/>
      <c r="DS67" s="633"/>
      <c r="DT67" s="633"/>
      <c r="DU67" s="633"/>
      <c r="DV67" s="633"/>
      <c r="DW67" s="633"/>
      <c r="DX67" s="633"/>
      <c r="DY67" s="633"/>
      <c r="DZ67" s="633"/>
      <c r="EA67" s="633"/>
      <c r="EB67" s="633"/>
      <c r="EC67" s="633"/>
      <c r="ED67" s="633"/>
      <c r="EE67" s="633"/>
      <c r="EF67" s="633"/>
      <c r="EG67" s="633"/>
      <c r="EH67" s="633"/>
      <c r="EI67" s="633"/>
      <c r="EJ67" s="633"/>
      <c r="EK67" s="633"/>
      <c r="EL67" s="633"/>
      <c r="EM67" s="633"/>
      <c r="EN67" s="633"/>
      <c r="EO67" s="633"/>
      <c r="EP67" s="633"/>
      <c r="EQ67" s="633"/>
    </row>
    <row r="68" spans="1:147" ht="7.15" customHeight="1" thickBot="1" x14ac:dyDescent="0.3">
      <c r="A68" s="636"/>
      <c r="B68" s="637"/>
      <c r="C68" s="637"/>
      <c r="D68" s="637"/>
      <c r="E68" s="637"/>
      <c r="F68" s="637"/>
      <c r="G68" s="637"/>
      <c r="H68" s="637"/>
      <c r="I68" s="637"/>
      <c r="J68" s="637"/>
      <c r="K68" s="641"/>
      <c r="L68" s="642"/>
      <c r="M68" s="642"/>
      <c r="N68" s="642"/>
      <c r="O68" s="642"/>
      <c r="P68" s="642"/>
      <c r="Q68" s="642"/>
      <c r="R68" s="642"/>
      <c r="S68" s="642"/>
      <c r="T68" s="642"/>
      <c r="U68" s="642"/>
      <c r="V68" s="643"/>
      <c r="W68" s="632"/>
      <c r="X68" s="633"/>
      <c r="Y68" s="633"/>
      <c r="Z68" s="633"/>
      <c r="AA68" s="633"/>
      <c r="AB68" s="633"/>
      <c r="AC68" s="633"/>
      <c r="AD68" s="633"/>
      <c r="AE68" s="633"/>
      <c r="AF68" s="633"/>
      <c r="AG68" s="633"/>
      <c r="AH68" s="633"/>
      <c r="AI68" s="633"/>
      <c r="AJ68" s="633"/>
      <c r="AK68" s="633"/>
      <c r="AL68" s="633"/>
      <c r="AM68" s="633"/>
      <c r="AN68" s="633"/>
      <c r="AO68" s="633"/>
      <c r="AP68" s="633"/>
      <c r="AQ68" s="633"/>
      <c r="AR68" s="633"/>
      <c r="AS68" s="633"/>
      <c r="AT68" s="633"/>
      <c r="AU68" s="633"/>
      <c r="AV68" s="633"/>
      <c r="AW68" s="633"/>
      <c r="AX68" s="633"/>
      <c r="AY68" s="633"/>
      <c r="AZ68" s="633"/>
      <c r="BA68" s="633"/>
      <c r="BB68" s="633"/>
      <c r="BC68" s="633"/>
      <c r="BD68" s="633"/>
      <c r="BE68" s="633"/>
      <c r="BF68" s="633"/>
      <c r="BG68" s="633"/>
      <c r="BH68" s="633"/>
      <c r="BI68" s="633"/>
      <c r="BJ68" s="633"/>
      <c r="BK68" s="633"/>
      <c r="BL68" s="633"/>
      <c r="BM68" s="633"/>
      <c r="BN68" s="633"/>
      <c r="BO68" s="633"/>
      <c r="BP68" s="633"/>
      <c r="BQ68" s="633"/>
      <c r="BR68" s="633"/>
      <c r="BS68" s="633"/>
      <c r="BT68" s="633"/>
      <c r="BU68" s="633"/>
      <c r="BV68" s="633"/>
      <c r="BW68" s="633"/>
      <c r="BX68" s="633"/>
      <c r="BY68" s="633"/>
      <c r="BZ68" s="633"/>
      <c r="CA68" s="633"/>
      <c r="CB68" s="633"/>
      <c r="CC68" s="633"/>
      <c r="CD68" s="633"/>
      <c r="CE68" s="633"/>
      <c r="CF68" s="633"/>
      <c r="CG68" s="633"/>
      <c r="CH68" s="633"/>
      <c r="CI68" s="633"/>
      <c r="CJ68" s="633"/>
      <c r="CK68" s="633"/>
      <c r="CL68" s="633"/>
      <c r="CM68" s="633"/>
      <c r="CN68" s="633"/>
      <c r="CO68" s="633"/>
      <c r="CP68" s="633"/>
      <c r="CQ68" s="633"/>
      <c r="CR68" s="633"/>
      <c r="CS68" s="633"/>
      <c r="CT68" s="633"/>
      <c r="CU68" s="633"/>
      <c r="CV68" s="633"/>
      <c r="CW68" s="633"/>
      <c r="CX68" s="633"/>
      <c r="CY68" s="633"/>
      <c r="CZ68" s="633"/>
      <c r="DA68" s="633"/>
      <c r="DB68" s="633"/>
      <c r="DC68" s="633"/>
      <c r="DD68" s="633"/>
      <c r="DE68" s="633"/>
      <c r="DF68" s="633"/>
      <c r="DG68" s="633"/>
      <c r="DH68" s="633"/>
      <c r="DI68" s="633"/>
      <c r="DJ68" s="633"/>
      <c r="DK68" s="633"/>
      <c r="DL68" s="633"/>
      <c r="DM68" s="633"/>
      <c r="DN68" s="633"/>
      <c r="DO68" s="633"/>
      <c r="DP68" s="633"/>
      <c r="DQ68" s="633"/>
      <c r="DR68" s="633"/>
      <c r="DS68" s="633"/>
      <c r="DT68" s="633"/>
      <c r="DU68" s="633"/>
      <c r="DV68" s="633"/>
      <c r="DW68" s="633"/>
      <c r="DX68" s="633"/>
      <c r="DY68" s="633"/>
      <c r="DZ68" s="633"/>
      <c r="EA68" s="633"/>
      <c r="EB68" s="633"/>
      <c r="EC68" s="633"/>
      <c r="ED68" s="633"/>
      <c r="EE68" s="633"/>
      <c r="EF68" s="633"/>
      <c r="EG68" s="633"/>
      <c r="EH68" s="633"/>
      <c r="EI68" s="633"/>
      <c r="EJ68" s="633"/>
      <c r="EK68" s="633"/>
      <c r="EL68" s="633"/>
      <c r="EM68" s="633"/>
      <c r="EN68" s="633"/>
      <c r="EO68" s="633"/>
      <c r="EP68" s="633"/>
      <c r="EQ68" s="633"/>
    </row>
    <row r="69" spans="1:147" ht="7.15" customHeight="1" x14ac:dyDescent="0.25"/>
  </sheetData>
  <mergeCells count="102">
    <mergeCell ref="E33:F33"/>
    <mergeCell ref="E34:F34"/>
    <mergeCell ref="AA56:AB56"/>
    <mergeCell ref="AC56:AD56"/>
    <mergeCell ref="AE56:AF56"/>
    <mergeCell ref="AA48:AB48"/>
    <mergeCell ref="AC48:AD48"/>
    <mergeCell ref="AE48:AF48"/>
    <mergeCell ref="S39:T39"/>
    <mergeCell ref="U39:V39"/>
    <mergeCell ref="S40:T40"/>
    <mergeCell ref="U40:V40"/>
    <mergeCell ref="X53:Y53"/>
    <mergeCell ref="O38:R38"/>
    <mergeCell ref="O36:P36"/>
    <mergeCell ref="H44:I44"/>
    <mergeCell ref="H43:I43"/>
    <mergeCell ref="A60:J60"/>
    <mergeCell ref="K60:V60"/>
    <mergeCell ref="A61:J65"/>
    <mergeCell ref="K61:V65"/>
    <mergeCell ref="W61:EQ68"/>
    <mergeCell ref="A66:J68"/>
    <mergeCell ref="K66:V68"/>
    <mergeCell ref="A59:J59"/>
    <mergeCell ref="K59:V59"/>
    <mergeCell ref="A38:C38"/>
    <mergeCell ref="D38:F38"/>
    <mergeCell ref="G38:I38"/>
    <mergeCell ref="A39:C39"/>
    <mergeCell ref="D39:F39"/>
    <mergeCell ref="G39:I39"/>
    <mergeCell ref="A40:C40"/>
    <mergeCell ref="D40:F40"/>
    <mergeCell ref="G40:I40"/>
    <mergeCell ref="AI46:AJ46"/>
    <mergeCell ref="AG48:AH48"/>
    <mergeCell ref="Z18:AA18"/>
    <mergeCell ref="Z19:AA19"/>
    <mergeCell ref="Z20:AA20"/>
    <mergeCell ref="Z21:AA21"/>
    <mergeCell ref="N13:Q13"/>
    <mergeCell ref="R13:V13"/>
    <mergeCell ref="Z23:AA23"/>
    <mergeCell ref="Z22:AA22"/>
    <mergeCell ref="S38:T38"/>
    <mergeCell ref="U38:V38"/>
    <mergeCell ref="AI48:AJ48"/>
    <mergeCell ref="X46:Y46"/>
    <mergeCell ref="AA46:AB46"/>
    <mergeCell ref="AC46:AD46"/>
    <mergeCell ref="AE46:AF46"/>
    <mergeCell ref="AG46:AH46"/>
    <mergeCell ref="O39:R39"/>
    <mergeCell ref="O40:R40"/>
    <mergeCell ref="E25:F25"/>
    <mergeCell ref="K13:M13"/>
    <mergeCell ref="E17:F17"/>
    <mergeCell ref="D13:F13"/>
    <mergeCell ref="E20:F20"/>
    <mergeCell ref="E21:F21"/>
    <mergeCell ref="E32:F32"/>
    <mergeCell ref="E26:F26"/>
    <mergeCell ref="E27:F27"/>
    <mergeCell ref="E28:F28"/>
    <mergeCell ref="E29:F29"/>
    <mergeCell ref="E30:F30"/>
    <mergeCell ref="E31:F31"/>
    <mergeCell ref="E18:F18"/>
    <mergeCell ref="E19:F19"/>
    <mergeCell ref="E24:F24"/>
    <mergeCell ref="E22:F22"/>
    <mergeCell ref="E23:F23"/>
    <mergeCell ref="A5:V5"/>
    <mergeCell ref="C1:V1"/>
    <mergeCell ref="A2:D2"/>
    <mergeCell ref="E2:L2"/>
    <mergeCell ref="M2:V2"/>
    <mergeCell ref="A3:D3"/>
    <mergeCell ref="E3:V3"/>
    <mergeCell ref="A4:E4"/>
    <mergeCell ref="F4:I4"/>
    <mergeCell ref="J4:M4"/>
    <mergeCell ref="N4:R4"/>
    <mergeCell ref="T4:V4"/>
    <mergeCell ref="C15:C16"/>
    <mergeCell ref="D12:F12"/>
    <mergeCell ref="G12:J12"/>
    <mergeCell ref="K12:M12"/>
    <mergeCell ref="N12:Q12"/>
    <mergeCell ref="R12:V12"/>
    <mergeCell ref="A6:E6"/>
    <mergeCell ref="F6:V6"/>
    <mergeCell ref="A7:E7"/>
    <mergeCell ref="F7:V7"/>
    <mergeCell ref="A9:V9"/>
    <mergeCell ref="D11:F11"/>
    <mergeCell ref="D15:D16"/>
    <mergeCell ref="E15:F16"/>
    <mergeCell ref="G11:J11"/>
    <mergeCell ref="K11:M11"/>
    <mergeCell ref="N11:V11"/>
  </mergeCells>
  <printOptions horizontalCentered="1"/>
  <pageMargins left="0.31496062992125984" right="0.11811023622047245" top="0.74803149606299213" bottom="0.39370078740157483" header="0.31496062992125984" footer="0.31496062992125984"/>
  <pageSetup paperSize="9" scale="90" fitToWidth="0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T51"/>
  <sheetViews>
    <sheetView topLeftCell="A8" workbookViewId="0">
      <selection activeCell="T29" sqref="T29"/>
    </sheetView>
  </sheetViews>
  <sheetFormatPr baseColWidth="10" defaultRowHeight="15" x14ac:dyDescent="0.25"/>
  <cols>
    <col min="1" max="1" width="13.28515625" customWidth="1"/>
    <col min="2" max="2" width="3.85546875" customWidth="1"/>
    <col min="3" max="3" width="4.140625" customWidth="1"/>
    <col min="4" max="4" width="4" customWidth="1"/>
    <col min="5" max="5" width="4.28515625" customWidth="1"/>
    <col min="6" max="6" width="4.7109375" customWidth="1"/>
    <col min="7" max="7" width="4.28515625" customWidth="1"/>
    <col min="8" max="9" width="4.7109375" customWidth="1"/>
    <col min="10" max="10" width="4.28515625" customWidth="1"/>
    <col min="11" max="11" width="4.7109375" customWidth="1"/>
    <col min="12" max="12" width="4.85546875" customWidth="1"/>
    <col min="13" max="13" width="5.140625" customWidth="1"/>
    <col min="14" max="14" width="5.28515625" customWidth="1"/>
    <col min="15" max="15" width="6.28515625" customWidth="1"/>
    <col min="16" max="16" width="7.28515625" customWidth="1"/>
  </cols>
  <sheetData>
    <row r="1" spans="1:18" ht="14.45" customHeight="1" x14ac:dyDescent="0.25">
      <c r="A1" s="318"/>
      <c r="B1" s="664" t="s">
        <v>188</v>
      </c>
      <c r="C1" s="665"/>
      <c r="D1" s="665"/>
      <c r="E1" s="665"/>
      <c r="F1" s="665"/>
      <c r="G1" s="665"/>
      <c r="H1" s="665"/>
      <c r="I1" s="665"/>
      <c r="J1" s="665"/>
      <c r="K1" s="665"/>
      <c r="L1" s="666"/>
      <c r="M1" s="667"/>
      <c r="N1" s="668"/>
      <c r="O1" s="669"/>
      <c r="P1" s="670"/>
    </row>
    <row r="2" spans="1:18" ht="16.899999999999999" customHeight="1" x14ac:dyDescent="0.25">
      <c r="A2" s="671" t="s">
        <v>189</v>
      </c>
      <c r="B2" s="673" t="s">
        <v>190</v>
      </c>
      <c r="C2" s="674"/>
      <c r="D2" s="674"/>
      <c r="E2" s="674"/>
      <c r="F2" s="674"/>
      <c r="G2" s="674"/>
      <c r="H2" s="674"/>
      <c r="I2" s="674"/>
      <c r="J2" s="674"/>
      <c r="K2" s="674"/>
      <c r="L2" s="675"/>
      <c r="M2" s="332"/>
      <c r="N2" s="724" t="s">
        <v>189</v>
      </c>
      <c r="O2" s="724"/>
      <c r="P2" s="333"/>
    </row>
    <row r="3" spans="1:18" ht="14.45" customHeight="1" x14ac:dyDescent="0.25">
      <c r="A3" s="671"/>
      <c r="B3" s="673" t="s">
        <v>191</v>
      </c>
      <c r="C3" s="674"/>
      <c r="D3" s="674"/>
      <c r="E3" s="674"/>
      <c r="F3" s="674"/>
      <c r="G3" s="674"/>
      <c r="H3" s="674"/>
      <c r="I3" s="674"/>
      <c r="J3" s="674"/>
      <c r="K3" s="674"/>
      <c r="L3" s="675"/>
      <c r="M3" s="332"/>
      <c r="N3" s="724"/>
      <c r="O3" s="724"/>
      <c r="P3" s="333"/>
    </row>
    <row r="4" spans="1:18" ht="15.75" thickBot="1" x14ac:dyDescent="0.3">
      <c r="A4" s="672"/>
      <c r="B4" s="676" t="s">
        <v>192</v>
      </c>
      <c r="C4" s="677"/>
      <c r="D4" s="677"/>
      <c r="E4" s="677"/>
      <c r="F4" s="677"/>
      <c r="G4" s="677"/>
      <c r="H4" s="677"/>
      <c r="I4" s="677"/>
      <c r="J4" s="677"/>
      <c r="K4" s="677"/>
      <c r="L4" s="678"/>
      <c r="M4" s="334"/>
      <c r="N4" s="725"/>
      <c r="O4" s="725"/>
      <c r="P4" s="335"/>
    </row>
    <row r="5" spans="1:18" x14ac:dyDescent="0.25">
      <c r="A5" s="679"/>
      <c r="B5" s="679"/>
      <c r="C5" s="679"/>
      <c r="D5" s="679"/>
      <c r="E5" s="679"/>
      <c r="F5" s="679"/>
      <c r="G5" s="679"/>
      <c r="H5" s="679"/>
      <c r="I5" s="679"/>
      <c r="J5" s="679"/>
      <c r="K5" s="679"/>
      <c r="L5" s="679"/>
      <c r="M5" s="679"/>
      <c r="N5" s="679"/>
      <c r="O5" s="679"/>
      <c r="P5" s="679"/>
    </row>
    <row r="6" spans="1:18" ht="16.149999999999999" customHeight="1" x14ac:dyDescent="0.25">
      <c r="A6" s="336" t="s">
        <v>193</v>
      </c>
      <c r="B6" s="680">
        <v>43809</v>
      </c>
      <c r="C6" s="681"/>
      <c r="D6" s="681"/>
      <c r="E6" s="681"/>
      <c r="F6" s="681"/>
      <c r="G6" s="681"/>
      <c r="H6" s="682" t="s">
        <v>194</v>
      </c>
      <c r="I6" s="682"/>
      <c r="J6" s="682"/>
      <c r="K6" s="682"/>
      <c r="L6" s="682" t="s">
        <v>338</v>
      </c>
      <c r="M6" s="682"/>
      <c r="N6" s="682"/>
      <c r="O6" s="682"/>
      <c r="P6" s="683"/>
    </row>
    <row r="7" spans="1:18" x14ac:dyDescent="0.25">
      <c r="A7" s="337"/>
      <c r="B7" s="684"/>
      <c r="C7" s="684"/>
      <c r="D7" s="684"/>
      <c r="E7" s="684"/>
      <c r="F7" s="684"/>
      <c r="G7" s="684"/>
      <c r="H7" s="684"/>
      <c r="I7" s="684"/>
      <c r="J7" s="684"/>
      <c r="K7" s="684"/>
      <c r="L7" s="684"/>
      <c r="M7" s="684"/>
      <c r="N7" s="684"/>
      <c r="O7" s="684"/>
      <c r="P7" s="684"/>
      <c r="Q7" s="319"/>
      <c r="R7" s="319"/>
    </row>
    <row r="8" spans="1:18" x14ac:dyDescent="0.25">
      <c r="A8" s="338"/>
      <c r="B8" s="685"/>
      <c r="C8" s="685"/>
      <c r="D8" s="685"/>
      <c r="E8" s="685"/>
      <c r="F8" s="685"/>
      <c r="G8" s="685"/>
      <c r="H8" s="685"/>
      <c r="I8" s="685"/>
      <c r="J8" s="685"/>
      <c r="K8" s="685"/>
      <c r="L8" s="685"/>
      <c r="M8" s="685"/>
      <c r="N8" s="685"/>
      <c r="O8" s="685"/>
      <c r="P8" s="685"/>
    </row>
    <row r="9" spans="1:18" x14ac:dyDescent="0.25">
      <c r="A9" s="686" t="s">
        <v>195</v>
      </c>
      <c r="B9" s="687"/>
      <c r="C9" s="687"/>
      <c r="D9" s="687"/>
      <c r="E9" s="687"/>
      <c r="F9" s="687"/>
      <c r="G9" s="687"/>
      <c r="H9" s="687"/>
      <c r="I9" s="685"/>
      <c r="J9" s="685"/>
      <c r="K9" s="685"/>
      <c r="L9" s="685"/>
      <c r="M9" s="685"/>
      <c r="N9" s="685"/>
      <c r="O9" s="685"/>
      <c r="P9" s="685"/>
    </row>
    <row r="10" spans="1:18" ht="8.4499999999999993" customHeight="1" x14ac:dyDescent="0.25">
      <c r="A10" s="685"/>
      <c r="B10" s="685"/>
      <c r="C10" s="685"/>
      <c r="D10" s="685"/>
      <c r="E10" s="685"/>
      <c r="F10" s="685"/>
      <c r="G10" s="685"/>
      <c r="H10" s="685"/>
      <c r="I10" s="685"/>
      <c r="J10" s="685"/>
      <c r="K10" s="685"/>
      <c r="L10" s="685"/>
      <c r="M10" s="685"/>
      <c r="N10" s="685"/>
      <c r="O10" s="685"/>
      <c r="P10" s="685"/>
    </row>
    <row r="11" spans="1:18" ht="18.75" x14ac:dyDescent="0.35">
      <c r="A11" s="339" t="s">
        <v>275</v>
      </c>
      <c r="B11" s="688">
        <v>400</v>
      </c>
      <c r="C11" s="689"/>
      <c r="D11" s="690"/>
      <c r="E11" s="588">
        <v>500</v>
      </c>
      <c r="F11" s="681"/>
      <c r="G11" s="589"/>
      <c r="H11" s="588">
        <v>630</v>
      </c>
      <c r="I11" s="681"/>
      <c r="J11" s="589"/>
      <c r="K11" s="588">
        <v>800</v>
      </c>
      <c r="L11" s="681"/>
      <c r="M11" s="589"/>
      <c r="N11" s="588">
        <v>1000</v>
      </c>
      <c r="O11" s="589"/>
      <c r="P11" s="340"/>
    </row>
    <row r="12" spans="1:18" x14ac:dyDescent="0.25">
      <c r="A12" s="341" t="s">
        <v>196</v>
      </c>
      <c r="B12" s="588">
        <v>20</v>
      </c>
      <c r="C12" s="681"/>
      <c r="D12" s="589"/>
      <c r="E12" s="588">
        <v>50</v>
      </c>
      <c r="F12" s="681"/>
      <c r="G12" s="589"/>
      <c r="H12" s="588">
        <v>100</v>
      </c>
      <c r="I12" s="681"/>
      <c r="J12" s="589"/>
      <c r="K12" s="588">
        <v>150</v>
      </c>
      <c r="L12" s="681"/>
      <c r="M12" s="589"/>
      <c r="N12" s="588">
        <v>200</v>
      </c>
      <c r="O12" s="589"/>
      <c r="P12" s="340"/>
    </row>
    <row r="13" spans="1:18" x14ac:dyDescent="0.25">
      <c r="A13" s="684"/>
      <c r="B13" s="684"/>
      <c r="C13" s="684"/>
      <c r="D13" s="684"/>
      <c r="E13" s="684"/>
      <c r="F13" s="684"/>
      <c r="G13" s="684"/>
      <c r="H13" s="684"/>
      <c r="I13" s="684"/>
      <c r="J13" s="684"/>
      <c r="K13" s="684"/>
      <c r="L13" s="684"/>
      <c r="M13" s="684"/>
      <c r="N13" s="684"/>
      <c r="O13" s="684"/>
      <c r="P13" s="340"/>
    </row>
    <row r="14" spans="1:18" ht="18.75" x14ac:dyDescent="0.35">
      <c r="A14" s="339" t="s">
        <v>276</v>
      </c>
      <c r="B14" s="341">
        <v>5</v>
      </c>
      <c r="C14" s="341" t="s">
        <v>197</v>
      </c>
      <c r="D14" s="341">
        <v>8</v>
      </c>
      <c r="E14" s="341">
        <v>10</v>
      </c>
      <c r="F14" s="341" t="s">
        <v>198</v>
      </c>
      <c r="G14" s="341">
        <v>16</v>
      </c>
      <c r="H14" s="341">
        <v>20</v>
      </c>
      <c r="I14" s="341">
        <v>25</v>
      </c>
      <c r="J14" s="341" t="s">
        <v>199</v>
      </c>
      <c r="K14" s="341">
        <v>40</v>
      </c>
      <c r="L14" s="341">
        <v>50</v>
      </c>
      <c r="M14" s="341">
        <v>63</v>
      </c>
      <c r="N14" s="341">
        <v>80</v>
      </c>
      <c r="O14" s="692" t="s">
        <v>277</v>
      </c>
      <c r="P14" s="692"/>
    </row>
    <row r="15" spans="1:18" ht="18" x14ac:dyDescent="0.25">
      <c r="A15" s="342" t="s">
        <v>196</v>
      </c>
      <c r="B15" s="341" t="s">
        <v>200</v>
      </c>
      <c r="C15" s="341" t="s">
        <v>201</v>
      </c>
      <c r="D15" s="341" t="s">
        <v>202</v>
      </c>
      <c r="E15" s="341" t="s">
        <v>203</v>
      </c>
      <c r="F15" s="341" t="s">
        <v>204</v>
      </c>
      <c r="G15" s="341">
        <v>2</v>
      </c>
      <c r="H15" s="341">
        <v>3</v>
      </c>
      <c r="I15" s="341">
        <v>5</v>
      </c>
      <c r="J15" s="341">
        <v>8</v>
      </c>
      <c r="K15" s="341">
        <v>12</v>
      </c>
      <c r="L15" s="341">
        <v>20</v>
      </c>
      <c r="M15" s="341">
        <v>30</v>
      </c>
      <c r="N15" s="341">
        <v>50</v>
      </c>
      <c r="O15" s="583" t="s">
        <v>278</v>
      </c>
      <c r="P15" s="583"/>
    </row>
    <row r="16" spans="1:18" x14ac:dyDescent="0.25">
      <c r="A16" s="684"/>
      <c r="B16" s="684"/>
      <c r="C16" s="684"/>
      <c r="D16" s="684"/>
      <c r="E16" s="684"/>
      <c r="F16" s="684"/>
      <c r="G16" s="684"/>
      <c r="H16" s="684"/>
      <c r="I16" s="684"/>
      <c r="J16" s="684"/>
      <c r="K16" s="684"/>
      <c r="L16" s="684"/>
      <c r="M16" s="684"/>
      <c r="N16" s="684"/>
      <c r="O16" s="684"/>
      <c r="P16" s="684"/>
    </row>
    <row r="17" spans="1:16" x14ac:dyDescent="0.25">
      <c r="A17" s="685"/>
      <c r="B17" s="685"/>
      <c r="C17" s="685"/>
      <c r="D17" s="685"/>
      <c r="E17" s="685"/>
      <c r="F17" s="685"/>
      <c r="G17" s="685"/>
      <c r="H17" s="685"/>
      <c r="I17" s="685"/>
      <c r="J17" s="685"/>
      <c r="K17" s="685"/>
      <c r="L17" s="685"/>
      <c r="M17" s="685"/>
      <c r="N17" s="685"/>
      <c r="O17" s="685"/>
      <c r="P17" s="685"/>
    </row>
    <row r="18" spans="1:16" x14ac:dyDescent="0.25">
      <c r="A18" s="687" t="s">
        <v>279</v>
      </c>
      <c r="B18" s="687"/>
      <c r="C18" s="687"/>
      <c r="D18" s="687"/>
      <c r="E18" s="687"/>
      <c r="F18" s="685"/>
      <c r="G18" s="685"/>
      <c r="H18" s="685"/>
      <c r="I18" s="685"/>
      <c r="J18" s="685"/>
      <c r="K18" s="685"/>
      <c r="L18" s="685"/>
      <c r="M18" s="685"/>
      <c r="N18" s="685"/>
      <c r="O18" s="685"/>
      <c r="P18" s="685"/>
    </row>
    <row r="19" spans="1:16" ht="10.9" customHeight="1" thickBot="1" x14ac:dyDescent="0.3">
      <c r="A19" s="691"/>
      <c r="B19" s="691"/>
      <c r="C19" s="691"/>
      <c r="D19" s="691"/>
      <c r="E19" s="691"/>
      <c r="F19" s="691"/>
      <c r="G19" s="691"/>
      <c r="H19" s="691"/>
      <c r="I19" s="691"/>
      <c r="J19" s="691"/>
      <c r="K19" s="691"/>
      <c r="L19" s="691"/>
      <c r="M19" s="691"/>
      <c r="N19" s="691"/>
      <c r="O19" s="691"/>
      <c r="P19" s="691"/>
    </row>
    <row r="20" spans="1:16" x14ac:dyDescent="0.25">
      <c r="A20" s="693" t="s">
        <v>273</v>
      </c>
      <c r="B20" s="694"/>
      <c r="C20" s="694"/>
      <c r="D20" s="694"/>
      <c r="E20" s="694"/>
      <c r="F20" s="694"/>
      <c r="G20" s="694"/>
      <c r="H20" s="694"/>
      <c r="I20" s="694"/>
      <c r="J20" s="694"/>
      <c r="K20" s="694"/>
      <c r="L20" s="694"/>
      <c r="M20" s="694"/>
      <c r="N20" s="694"/>
      <c r="O20" s="694"/>
      <c r="P20" s="695"/>
    </row>
    <row r="21" spans="1:16" x14ac:dyDescent="0.25">
      <c r="A21" s="696" t="s">
        <v>205</v>
      </c>
      <c r="B21" s="697"/>
      <c r="C21" s="697"/>
      <c r="D21" s="697"/>
      <c r="E21" s="697"/>
      <c r="F21" s="697"/>
      <c r="G21" s="697"/>
      <c r="H21" s="697"/>
      <c r="I21" s="697"/>
      <c r="J21" s="697"/>
      <c r="K21" s="697"/>
      <c r="L21" s="697"/>
      <c r="M21" s="697"/>
      <c r="N21" s="697"/>
      <c r="O21" s="697"/>
      <c r="P21" s="698"/>
    </row>
    <row r="22" spans="1:16" x14ac:dyDescent="0.25">
      <c r="A22" s="699"/>
      <c r="B22" s="700"/>
      <c r="C22" s="700"/>
      <c r="D22" s="700"/>
      <c r="E22" s="700"/>
      <c r="F22" s="700"/>
      <c r="G22" s="700"/>
      <c r="H22" s="700"/>
      <c r="I22" s="700"/>
      <c r="J22" s="700"/>
      <c r="K22" s="700"/>
      <c r="L22" s="700"/>
      <c r="M22" s="700"/>
      <c r="N22" s="700"/>
      <c r="O22" s="700"/>
      <c r="P22" s="701"/>
    </row>
    <row r="23" spans="1:16" x14ac:dyDescent="0.25">
      <c r="A23" s="699"/>
      <c r="B23" s="700"/>
      <c r="C23" s="702"/>
      <c r="D23" s="342"/>
      <c r="E23" s="583" t="s">
        <v>206</v>
      </c>
      <c r="F23" s="583"/>
      <c r="G23" s="703"/>
      <c r="H23" s="700"/>
      <c r="I23" s="700"/>
      <c r="J23" s="700"/>
      <c r="K23" s="702"/>
      <c r="L23" s="343"/>
      <c r="M23" s="588" t="s">
        <v>207</v>
      </c>
      <c r="N23" s="589"/>
      <c r="O23" s="703"/>
      <c r="P23" s="701"/>
    </row>
    <row r="24" spans="1:16" x14ac:dyDescent="0.25">
      <c r="A24" s="704"/>
      <c r="B24" s="705"/>
      <c r="C24" s="705"/>
      <c r="D24" s="705"/>
      <c r="E24" s="705"/>
      <c r="F24" s="705"/>
      <c r="G24" s="705"/>
      <c r="H24" s="705"/>
      <c r="I24" s="705"/>
      <c r="J24" s="705"/>
      <c r="K24" s="705"/>
      <c r="L24" s="705"/>
      <c r="M24" s="705"/>
      <c r="N24" s="705"/>
      <c r="O24" s="705"/>
      <c r="P24" s="706"/>
    </row>
    <row r="25" spans="1:16" x14ac:dyDescent="0.25">
      <c r="A25" s="344" t="s">
        <v>274</v>
      </c>
      <c r="B25" s="684"/>
      <c r="C25" s="684"/>
      <c r="D25" s="684"/>
      <c r="E25" s="684"/>
      <c r="F25" s="684"/>
      <c r="G25" s="684"/>
      <c r="H25" s="684"/>
      <c r="I25" s="684"/>
      <c r="J25" s="684"/>
      <c r="K25" s="684"/>
      <c r="L25" s="684"/>
      <c r="M25" s="684"/>
      <c r="N25" s="684"/>
      <c r="O25" s="684"/>
      <c r="P25" s="707"/>
    </row>
    <row r="26" spans="1:16" x14ac:dyDescent="0.25">
      <c r="A26" s="699"/>
      <c r="B26" s="700"/>
      <c r="C26" s="700"/>
      <c r="D26" s="700"/>
      <c r="E26" s="700"/>
      <c r="F26" s="700"/>
      <c r="G26" s="700"/>
      <c r="H26" s="700"/>
      <c r="I26" s="700"/>
      <c r="J26" s="700"/>
      <c r="K26" s="700"/>
      <c r="L26" s="700"/>
      <c r="M26" s="700"/>
      <c r="N26" s="700"/>
      <c r="O26" s="700"/>
      <c r="P26" s="701"/>
    </row>
    <row r="27" spans="1:16" ht="16.5" x14ac:dyDescent="0.3">
      <c r="A27" s="345" t="s">
        <v>208</v>
      </c>
      <c r="B27" s="705" t="s">
        <v>339</v>
      </c>
      <c r="C27" s="705"/>
      <c r="D27" s="705"/>
      <c r="E27" s="705"/>
      <c r="F27" s="705"/>
      <c r="G27" s="705"/>
      <c r="H27" s="705" t="s">
        <v>280</v>
      </c>
      <c r="I27" s="705"/>
      <c r="J27" s="705"/>
      <c r="K27" s="705"/>
      <c r="L27" s="705"/>
      <c r="M27" s="705">
        <v>35</v>
      </c>
      <c r="N27" s="705"/>
      <c r="O27" s="346">
        <v>34.799999999999997</v>
      </c>
      <c r="P27" s="346" t="s">
        <v>265</v>
      </c>
    </row>
    <row r="28" spans="1:16" ht="4.1500000000000004" customHeight="1" x14ac:dyDescent="0.25">
      <c r="A28" s="708"/>
      <c r="B28" s="684"/>
      <c r="C28" s="684"/>
      <c r="D28" s="684"/>
      <c r="E28" s="684"/>
      <c r="F28" s="684"/>
      <c r="G28" s="684"/>
      <c r="H28" s="684"/>
      <c r="I28" s="684"/>
      <c r="J28" s="684"/>
      <c r="K28" s="684"/>
      <c r="L28" s="684"/>
      <c r="M28" s="684"/>
      <c r="N28" s="684"/>
      <c r="O28" s="684"/>
      <c r="P28" s="707"/>
    </row>
    <row r="29" spans="1:16" x14ac:dyDescent="0.25">
      <c r="A29" s="709" t="s">
        <v>209</v>
      </c>
      <c r="B29" s="710"/>
      <c r="C29" s="710"/>
      <c r="D29" s="710"/>
      <c r="E29" s="710"/>
      <c r="F29" s="710"/>
      <c r="G29" s="710"/>
      <c r="H29" s="711" t="s">
        <v>210</v>
      </c>
      <c r="I29" s="711"/>
      <c r="J29" s="711"/>
      <c r="K29" s="711"/>
      <c r="L29" s="711"/>
      <c r="M29" s="700">
        <v>225</v>
      </c>
      <c r="N29" s="700"/>
      <c r="O29" s="347">
        <v>238.5</v>
      </c>
      <c r="P29" s="347" t="s">
        <v>266</v>
      </c>
    </row>
    <row r="30" spans="1:16" ht="2.4500000000000002" customHeight="1" x14ac:dyDescent="0.25">
      <c r="A30" s="348"/>
      <c r="B30" s="349"/>
      <c r="C30" s="349"/>
      <c r="D30" s="349"/>
      <c r="E30" s="349"/>
      <c r="F30" s="349"/>
      <c r="G30" s="349"/>
      <c r="H30" s="349"/>
      <c r="I30" s="349"/>
      <c r="J30" s="349"/>
      <c r="K30" s="349"/>
      <c r="L30" s="349"/>
      <c r="M30" s="349"/>
      <c r="N30" s="349"/>
      <c r="O30" s="705">
        <v>193.6</v>
      </c>
      <c r="P30" s="706"/>
    </row>
    <row r="31" spans="1:16" ht="16.5" x14ac:dyDescent="0.3">
      <c r="A31" s="713" t="s">
        <v>211</v>
      </c>
      <c r="B31" s="714"/>
      <c r="C31" s="714"/>
      <c r="D31" s="714"/>
      <c r="E31" s="714"/>
      <c r="F31" s="714"/>
      <c r="G31" s="714"/>
      <c r="H31" s="684"/>
      <c r="I31" s="684"/>
      <c r="J31" s="684"/>
      <c r="K31" s="350" t="s">
        <v>281</v>
      </c>
      <c r="L31" s="350"/>
      <c r="M31" s="700">
        <v>206.9</v>
      </c>
      <c r="N31" s="700"/>
      <c r="O31" s="347">
        <v>219</v>
      </c>
      <c r="P31" s="347" t="s">
        <v>267</v>
      </c>
    </row>
    <row r="32" spans="1:16" ht="3.6" customHeight="1" x14ac:dyDescent="0.25">
      <c r="A32" s="704"/>
      <c r="B32" s="705"/>
      <c r="C32" s="705"/>
      <c r="D32" s="705"/>
      <c r="E32" s="705"/>
      <c r="F32" s="705"/>
      <c r="G32" s="705"/>
      <c r="H32" s="705"/>
      <c r="I32" s="705"/>
      <c r="J32" s="705"/>
      <c r="K32" s="705"/>
      <c r="L32" s="705"/>
      <c r="M32" s="705"/>
      <c r="N32" s="705"/>
      <c r="O32" s="705"/>
      <c r="P32" s="706"/>
    </row>
    <row r="33" spans="1:20" x14ac:dyDescent="0.25">
      <c r="A33" s="715" t="s">
        <v>212</v>
      </c>
      <c r="B33" s="716"/>
      <c r="C33" s="716"/>
      <c r="D33" s="716"/>
      <c r="E33" s="716"/>
      <c r="F33" s="716"/>
      <c r="G33" s="716"/>
      <c r="H33" s="716"/>
      <c r="I33" s="716"/>
      <c r="J33" s="716"/>
      <c r="K33" s="716"/>
      <c r="L33" s="716"/>
      <c r="M33" s="716"/>
      <c r="N33" s="716"/>
      <c r="O33" s="716"/>
      <c r="P33" s="717"/>
    </row>
    <row r="34" spans="1:20" x14ac:dyDescent="0.25">
      <c r="A34" s="699"/>
      <c r="B34" s="700"/>
      <c r="C34" s="700"/>
      <c r="D34" s="700"/>
      <c r="E34" s="700"/>
      <c r="F34" s="700"/>
      <c r="G34" s="700"/>
      <c r="H34" s="700"/>
      <c r="I34" s="700"/>
      <c r="J34" s="700"/>
      <c r="K34" s="700"/>
      <c r="L34" s="700"/>
      <c r="M34" s="700"/>
      <c r="N34" s="700"/>
      <c r="O34" s="700"/>
      <c r="P34" s="701"/>
    </row>
    <row r="35" spans="1:20" ht="16.5" x14ac:dyDescent="0.3">
      <c r="A35" s="713" t="s">
        <v>282</v>
      </c>
      <c r="B35" s="714"/>
      <c r="C35" s="714"/>
      <c r="D35" s="714"/>
      <c r="E35" s="714"/>
      <c r="F35" s="714"/>
      <c r="G35" s="714"/>
      <c r="H35" s="714"/>
      <c r="I35" s="714"/>
      <c r="J35" s="714"/>
      <c r="K35" s="714"/>
      <c r="L35" s="714"/>
      <c r="M35" s="714"/>
      <c r="N35" s="714"/>
      <c r="O35" s="714"/>
      <c r="P35" s="732"/>
    </row>
    <row r="36" spans="1:20" ht="16.5" x14ac:dyDescent="0.3">
      <c r="A36" s="713" t="s">
        <v>283</v>
      </c>
      <c r="B36" s="714"/>
      <c r="C36" s="714"/>
      <c r="D36" s="714"/>
      <c r="E36" s="714"/>
      <c r="F36" s="714"/>
      <c r="G36" s="714"/>
      <c r="H36" s="714"/>
      <c r="I36" s="714"/>
      <c r="J36" s="714"/>
      <c r="K36" s="714"/>
      <c r="L36" s="714"/>
      <c r="M36" s="714"/>
      <c r="N36" s="714"/>
      <c r="O36" s="714"/>
      <c r="P36" s="732"/>
    </row>
    <row r="37" spans="1:20" x14ac:dyDescent="0.25">
      <c r="A37" s="699"/>
      <c r="B37" s="700"/>
      <c r="C37" s="700"/>
      <c r="D37" s="700"/>
      <c r="E37" s="700"/>
      <c r="F37" s="700"/>
      <c r="G37" s="700"/>
      <c r="H37" s="700"/>
      <c r="I37" s="700"/>
      <c r="J37" s="700"/>
      <c r="K37" s="700"/>
      <c r="L37" s="700"/>
      <c r="M37" s="700"/>
      <c r="N37" s="700"/>
      <c r="O37" s="700"/>
      <c r="P37" s="701"/>
      <c r="S37" s="326">
        <f>(M29-M31)/(M31-M27)*100</f>
        <v>10.529377545084348</v>
      </c>
      <c r="T37" s="326">
        <f>(O29-O31)/(O31-O27)*100</f>
        <v>10.586319218241043</v>
      </c>
    </row>
    <row r="38" spans="1:20" x14ac:dyDescent="0.25">
      <c r="A38" s="699"/>
      <c r="B38" s="700"/>
      <c r="C38" s="700"/>
      <c r="D38" s="700"/>
      <c r="E38" s="700"/>
      <c r="F38" s="700"/>
      <c r="G38" s="700"/>
      <c r="H38" s="700"/>
      <c r="I38" s="700"/>
      <c r="J38" s="700"/>
      <c r="K38" s="700"/>
      <c r="L38" s="700"/>
      <c r="M38" s="700"/>
      <c r="N38" s="700"/>
      <c r="O38" s="700"/>
      <c r="P38" s="701"/>
    </row>
    <row r="39" spans="1:20" x14ac:dyDescent="0.25">
      <c r="A39" s="699"/>
      <c r="B39" s="700"/>
      <c r="C39" s="700"/>
      <c r="D39" s="700"/>
      <c r="E39" s="700"/>
      <c r="F39" s="700"/>
      <c r="G39" s="700"/>
      <c r="H39" s="700"/>
      <c r="I39" s="700"/>
      <c r="J39" s="700"/>
      <c r="K39" s="700"/>
      <c r="L39" s="700"/>
      <c r="M39" s="700"/>
      <c r="N39" s="700"/>
      <c r="O39" s="700"/>
      <c r="P39" s="701"/>
    </row>
    <row r="40" spans="1:20" ht="30.6" customHeight="1" x14ac:dyDescent="0.25">
      <c r="A40" s="699"/>
      <c r="B40" s="700"/>
      <c r="C40" s="700"/>
      <c r="D40" s="700"/>
      <c r="E40" s="700"/>
      <c r="F40" s="700"/>
      <c r="G40" s="700"/>
      <c r="H40" s="700"/>
      <c r="I40" s="700"/>
      <c r="J40" s="700"/>
      <c r="K40" s="700"/>
      <c r="L40" s="700"/>
      <c r="M40" s="700"/>
      <c r="N40" s="700"/>
      <c r="O40" s="700"/>
      <c r="P40" s="701"/>
    </row>
    <row r="41" spans="1:20" x14ac:dyDescent="0.25">
      <c r="A41" s="733" t="s">
        <v>284</v>
      </c>
      <c r="B41" s="734"/>
      <c r="C41" s="734"/>
      <c r="D41" s="734"/>
      <c r="E41" s="734"/>
      <c r="F41" s="712">
        <f>AVERAGE(S37:T37)</f>
        <v>10.557848381662694</v>
      </c>
      <c r="G41" s="712"/>
      <c r="H41" s="712"/>
      <c r="I41" s="697" t="s">
        <v>213</v>
      </c>
      <c r="J41" s="697"/>
      <c r="K41" s="700"/>
      <c r="L41" s="700"/>
      <c r="M41" s="700"/>
      <c r="N41" s="700"/>
      <c r="O41" s="700"/>
      <c r="P41" s="701"/>
    </row>
    <row r="42" spans="1:20" ht="11.45" customHeight="1" x14ac:dyDescent="0.25">
      <c r="A42" s="699"/>
      <c r="B42" s="700"/>
      <c r="C42" s="700"/>
      <c r="D42" s="700"/>
      <c r="E42" s="700"/>
      <c r="F42" s="700"/>
      <c r="G42" s="700"/>
      <c r="H42" s="700"/>
      <c r="I42" s="700"/>
      <c r="J42" s="700"/>
      <c r="K42" s="700"/>
      <c r="L42" s="700"/>
      <c r="M42" s="700"/>
      <c r="N42" s="700"/>
      <c r="O42" s="700"/>
      <c r="P42" s="701"/>
    </row>
    <row r="43" spans="1:20" ht="15.75" thickBot="1" x14ac:dyDescent="0.3">
      <c r="A43" s="726"/>
      <c r="B43" s="727"/>
      <c r="C43" s="727"/>
      <c r="D43" s="727"/>
      <c r="E43" s="727"/>
      <c r="F43" s="727"/>
      <c r="G43" s="727"/>
      <c r="H43" s="727"/>
      <c r="I43" s="727"/>
      <c r="J43" s="727"/>
      <c r="K43" s="727"/>
      <c r="L43" s="727"/>
      <c r="M43" s="727"/>
      <c r="N43" s="727"/>
      <c r="O43" s="727"/>
      <c r="P43" s="728"/>
    </row>
    <row r="44" spans="1:20" ht="8.4499999999999993" customHeight="1" x14ac:dyDescent="0.25">
      <c r="A44" s="700"/>
      <c r="B44" s="700"/>
      <c r="C44" s="700"/>
      <c r="D44" s="700"/>
      <c r="E44" s="700"/>
      <c r="F44" s="700"/>
      <c r="G44" s="700"/>
      <c r="H44" s="700"/>
      <c r="I44" s="700"/>
      <c r="J44" s="700"/>
      <c r="K44" s="700"/>
      <c r="L44" s="700"/>
      <c r="M44" s="700"/>
      <c r="N44" s="700"/>
      <c r="O44" s="700"/>
      <c r="P44" s="700"/>
    </row>
    <row r="45" spans="1:20" ht="2.4500000000000002" customHeight="1" thickBot="1" x14ac:dyDescent="0.3">
      <c r="A45" s="700"/>
      <c r="B45" s="700"/>
      <c r="C45" s="700"/>
      <c r="D45" s="700"/>
      <c r="E45" s="700"/>
      <c r="F45" s="700"/>
      <c r="G45" s="700"/>
      <c r="H45" s="700"/>
      <c r="I45" s="700"/>
      <c r="J45" s="700"/>
      <c r="K45" s="700"/>
      <c r="L45" s="700"/>
      <c r="M45" s="700"/>
      <c r="N45" s="700"/>
      <c r="O45" s="700"/>
      <c r="P45" s="700"/>
    </row>
    <row r="46" spans="1:20" x14ac:dyDescent="0.25">
      <c r="A46" s="729" t="s">
        <v>214</v>
      </c>
      <c r="B46" s="730"/>
      <c r="C46" s="730"/>
      <c r="D46" s="730"/>
      <c r="E46" s="730"/>
      <c r="F46" s="730"/>
      <c r="G46" s="730"/>
      <c r="H46" s="731"/>
      <c r="I46" s="729" t="s">
        <v>132</v>
      </c>
      <c r="J46" s="730"/>
      <c r="K46" s="730"/>
      <c r="L46" s="730"/>
      <c r="M46" s="730"/>
      <c r="N46" s="730"/>
      <c r="O46" s="730"/>
      <c r="P46" s="731"/>
    </row>
    <row r="47" spans="1:20" x14ac:dyDescent="0.25">
      <c r="A47" s="718"/>
      <c r="B47" s="719"/>
      <c r="C47" s="719"/>
      <c r="D47" s="719"/>
      <c r="E47" s="719"/>
      <c r="F47" s="719"/>
      <c r="G47" s="719"/>
      <c r="H47" s="720"/>
      <c r="I47" s="718"/>
      <c r="J47" s="719"/>
      <c r="K47" s="719"/>
      <c r="L47" s="719"/>
      <c r="M47" s="719"/>
      <c r="N47" s="719"/>
      <c r="O47" s="719"/>
      <c r="P47" s="720"/>
    </row>
    <row r="48" spans="1:20" x14ac:dyDescent="0.25">
      <c r="A48" s="718"/>
      <c r="B48" s="719"/>
      <c r="C48" s="719"/>
      <c r="D48" s="719"/>
      <c r="E48" s="719"/>
      <c r="F48" s="719"/>
      <c r="G48" s="719"/>
      <c r="H48" s="720"/>
      <c r="I48" s="718"/>
      <c r="J48" s="719"/>
      <c r="K48" s="719"/>
      <c r="L48" s="719"/>
      <c r="M48" s="719"/>
      <c r="N48" s="719"/>
      <c r="O48" s="719"/>
      <c r="P48" s="720"/>
    </row>
    <row r="49" spans="1:16" x14ac:dyDescent="0.25">
      <c r="A49" s="718"/>
      <c r="B49" s="719"/>
      <c r="C49" s="719"/>
      <c r="D49" s="719"/>
      <c r="E49" s="719"/>
      <c r="F49" s="719"/>
      <c r="G49" s="719"/>
      <c r="H49" s="720"/>
      <c r="I49" s="718"/>
      <c r="J49" s="719"/>
      <c r="K49" s="719"/>
      <c r="L49" s="719"/>
      <c r="M49" s="719"/>
      <c r="N49" s="719"/>
      <c r="O49" s="719"/>
      <c r="P49" s="720"/>
    </row>
    <row r="50" spans="1:16" ht="15.75" thickBot="1" x14ac:dyDescent="0.3">
      <c r="A50" s="721" t="s">
        <v>271</v>
      </c>
      <c r="B50" s="722"/>
      <c r="C50" s="722"/>
      <c r="D50" s="722"/>
      <c r="E50" s="722"/>
      <c r="F50" s="722"/>
      <c r="G50" s="722"/>
      <c r="H50" s="723"/>
      <c r="I50" s="721"/>
      <c r="J50" s="722"/>
      <c r="K50" s="722"/>
      <c r="L50" s="722"/>
      <c r="M50" s="722"/>
      <c r="N50" s="722"/>
      <c r="O50" s="722"/>
      <c r="P50" s="723"/>
    </row>
    <row r="51" spans="1:16" x14ac:dyDescent="0.25">
      <c r="A51" s="321"/>
      <c r="B51" s="321"/>
      <c r="C51" s="321"/>
      <c r="D51" s="321"/>
      <c r="E51" s="321"/>
      <c r="F51" s="321"/>
      <c r="G51" s="321"/>
      <c r="H51" s="321"/>
      <c r="I51" s="321"/>
      <c r="J51" s="321"/>
      <c r="K51" s="321"/>
      <c r="L51" s="321"/>
      <c r="M51" s="321"/>
      <c r="N51" s="321"/>
      <c r="O51" s="321"/>
      <c r="P51" s="321"/>
    </row>
  </sheetData>
  <mergeCells count="79">
    <mergeCell ref="A47:H49"/>
    <mergeCell ref="I47:P49"/>
    <mergeCell ref="A50:H50"/>
    <mergeCell ref="I50:P50"/>
    <mergeCell ref="N2:O4"/>
    <mergeCell ref="A42:P42"/>
    <mergeCell ref="A43:P43"/>
    <mergeCell ref="A44:P44"/>
    <mergeCell ref="A45:P45"/>
    <mergeCell ref="A46:H46"/>
    <mergeCell ref="I46:P46"/>
    <mergeCell ref="A34:P34"/>
    <mergeCell ref="A35:P35"/>
    <mergeCell ref="A36:P36"/>
    <mergeCell ref="A37:P40"/>
    <mergeCell ref="A41:E41"/>
    <mergeCell ref="F41:H41"/>
    <mergeCell ref="I41:J41"/>
    <mergeCell ref="K41:P41"/>
    <mergeCell ref="A31:G31"/>
    <mergeCell ref="H31:J31"/>
    <mergeCell ref="M31:N31"/>
    <mergeCell ref="A32:P32"/>
    <mergeCell ref="A33:P33"/>
    <mergeCell ref="A28:P28"/>
    <mergeCell ref="A29:G29"/>
    <mergeCell ref="H29:L29"/>
    <mergeCell ref="M29:N29"/>
    <mergeCell ref="O30:P30"/>
    <mergeCell ref="A24:P24"/>
    <mergeCell ref="B25:C25"/>
    <mergeCell ref="D25:P25"/>
    <mergeCell ref="A26:P26"/>
    <mergeCell ref="B27:G27"/>
    <mergeCell ref="H27:L27"/>
    <mergeCell ref="M27:N27"/>
    <mergeCell ref="A20:P20"/>
    <mergeCell ref="A21:P21"/>
    <mergeCell ref="A22:P22"/>
    <mergeCell ref="A23:C23"/>
    <mergeCell ref="E23:F23"/>
    <mergeCell ref="G23:K23"/>
    <mergeCell ref="M23:N23"/>
    <mergeCell ref="O23:P23"/>
    <mergeCell ref="A19:P19"/>
    <mergeCell ref="B12:D12"/>
    <mergeCell ref="E12:G12"/>
    <mergeCell ref="H12:J12"/>
    <mergeCell ref="K12:M12"/>
    <mergeCell ref="N12:O12"/>
    <mergeCell ref="A13:O13"/>
    <mergeCell ref="O14:P14"/>
    <mergeCell ref="O15:P15"/>
    <mergeCell ref="A16:P17"/>
    <mergeCell ref="A18:E18"/>
    <mergeCell ref="F18:P18"/>
    <mergeCell ref="B11:D11"/>
    <mergeCell ref="E11:G11"/>
    <mergeCell ref="H11:J11"/>
    <mergeCell ref="K11:M11"/>
    <mergeCell ref="N11:O11"/>
    <mergeCell ref="B8:K8"/>
    <mergeCell ref="L8:P8"/>
    <mergeCell ref="A9:H9"/>
    <mergeCell ref="I9:P9"/>
    <mergeCell ref="A10:P10"/>
    <mergeCell ref="A5:P5"/>
    <mergeCell ref="B6:G6"/>
    <mergeCell ref="H6:K6"/>
    <mergeCell ref="L6:P6"/>
    <mergeCell ref="B7:K7"/>
    <mergeCell ref="L7:P7"/>
    <mergeCell ref="B1:L1"/>
    <mergeCell ref="M1:N1"/>
    <mergeCell ref="O1:P1"/>
    <mergeCell ref="A2:A4"/>
    <mergeCell ref="B2:L2"/>
    <mergeCell ref="B3:L3"/>
    <mergeCell ref="B4:L4"/>
  </mergeCells>
  <pageMargins left="0.70866141732283472" right="0.70866141732283472" top="0.74803149606299213" bottom="0.74803149606299213" header="0.31496062992125984" footer="0.31496062992125984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  <pageSetUpPr fitToPage="1"/>
  </sheetPr>
  <dimension ref="A1:S57"/>
  <sheetViews>
    <sheetView topLeftCell="A29" workbookViewId="0">
      <selection activeCell="R38" sqref="R38"/>
    </sheetView>
  </sheetViews>
  <sheetFormatPr baseColWidth="10" defaultRowHeight="15" x14ac:dyDescent="0.25"/>
  <cols>
    <col min="1" max="1" width="14.28515625" customWidth="1"/>
    <col min="2" max="2" width="5.28515625" customWidth="1"/>
    <col min="3" max="3" width="6.28515625" customWidth="1"/>
    <col min="4" max="4" width="7.28515625" customWidth="1"/>
    <col min="5" max="5" width="7.140625" customWidth="1"/>
    <col min="6" max="6" width="4.7109375" customWidth="1"/>
    <col min="7" max="7" width="3.85546875" customWidth="1"/>
    <col min="8" max="9" width="4.140625" customWidth="1"/>
    <col min="10" max="10" width="4.28515625" customWidth="1"/>
    <col min="11" max="11" width="4" customWidth="1"/>
    <col min="12" max="12" width="4.140625" customWidth="1"/>
    <col min="13" max="13" width="4.7109375" customWidth="1"/>
    <col min="14" max="15" width="7.28515625" customWidth="1"/>
  </cols>
  <sheetData>
    <row r="1" spans="1:15" ht="16.149999999999999" customHeight="1" x14ac:dyDescent="0.25">
      <c r="A1" s="318"/>
      <c r="B1" s="664" t="s">
        <v>215</v>
      </c>
      <c r="C1" s="665"/>
      <c r="D1" s="665"/>
      <c r="E1" s="665"/>
      <c r="F1" s="665"/>
      <c r="G1" s="665"/>
      <c r="H1" s="665"/>
      <c r="I1" s="665"/>
      <c r="J1" s="665"/>
      <c r="K1" s="665"/>
      <c r="L1" s="667" t="s">
        <v>216</v>
      </c>
      <c r="M1" s="668"/>
      <c r="N1" s="669" t="s">
        <v>217</v>
      </c>
      <c r="O1" s="670"/>
    </row>
    <row r="2" spans="1:15" ht="15" customHeight="1" x14ac:dyDescent="0.25">
      <c r="A2" s="671" t="s">
        <v>189</v>
      </c>
      <c r="B2" s="673" t="s">
        <v>264</v>
      </c>
      <c r="C2" s="674"/>
      <c r="D2" s="674"/>
      <c r="E2" s="674"/>
      <c r="F2" s="674"/>
      <c r="G2" s="674"/>
      <c r="H2" s="674"/>
      <c r="I2" s="674"/>
      <c r="J2" s="674"/>
      <c r="K2" s="674"/>
      <c r="L2" s="632" t="s">
        <v>218</v>
      </c>
      <c r="M2" s="735"/>
      <c r="N2" s="736" t="s">
        <v>219</v>
      </c>
      <c r="O2" s="736"/>
    </row>
    <row r="3" spans="1:15" ht="25.15" customHeight="1" x14ac:dyDescent="0.25">
      <c r="A3" s="671"/>
      <c r="B3" s="673"/>
      <c r="C3" s="674"/>
      <c r="D3" s="674"/>
      <c r="E3" s="674"/>
      <c r="F3" s="674"/>
      <c r="G3" s="674"/>
      <c r="H3" s="674"/>
      <c r="I3" s="674"/>
      <c r="J3" s="674"/>
      <c r="K3" s="674"/>
      <c r="L3" s="632" t="s">
        <v>220</v>
      </c>
      <c r="M3" s="735"/>
      <c r="N3" s="736" t="s">
        <v>221</v>
      </c>
      <c r="O3" s="736"/>
    </row>
    <row r="4" spans="1:15" ht="16.899999999999999" customHeight="1" thickBot="1" x14ac:dyDescent="0.3">
      <c r="A4" s="672"/>
      <c r="B4" s="676" t="s">
        <v>222</v>
      </c>
      <c r="C4" s="677"/>
      <c r="D4" s="677"/>
      <c r="E4" s="677"/>
      <c r="F4" s="677"/>
      <c r="G4" s="677"/>
      <c r="H4" s="677"/>
      <c r="I4" s="677"/>
      <c r="J4" s="677"/>
      <c r="K4" s="677"/>
      <c r="L4" s="738" t="s">
        <v>223</v>
      </c>
      <c r="M4" s="739"/>
      <c r="N4" s="740" t="s">
        <v>224</v>
      </c>
      <c r="O4" s="741"/>
    </row>
    <row r="5" spans="1:15" ht="4.9000000000000004" customHeight="1" x14ac:dyDescent="0.25">
      <c r="A5" s="742"/>
      <c r="B5" s="742"/>
      <c r="C5" s="742"/>
      <c r="D5" s="742"/>
      <c r="E5" s="742"/>
      <c r="F5" s="742"/>
      <c r="G5" s="742"/>
      <c r="H5" s="742"/>
      <c r="I5" s="742"/>
      <c r="J5" s="742"/>
      <c r="K5" s="742"/>
      <c r="L5" s="742"/>
      <c r="M5" s="742"/>
      <c r="N5" s="742"/>
      <c r="O5" s="742"/>
    </row>
    <row r="6" spans="1:15" x14ac:dyDescent="0.25">
      <c r="A6" s="336" t="s">
        <v>193</v>
      </c>
      <c r="B6" s="680">
        <v>43811</v>
      </c>
      <c r="C6" s="680"/>
      <c r="D6" s="680"/>
      <c r="E6" s="680"/>
      <c r="F6" s="681" t="s">
        <v>194</v>
      </c>
      <c r="G6" s="681"/>
      <c r="H6" s="681"/>
      <c r="I6" s="681"/>
      <c r="J6" s="681"/>
      <c r="K6" s="743" t="s">
        <v>340</v>
      </c>
      <c r="L6" s="743"/>
      <c r="M6" s="743"/>
      <c r="N6" s="743"/>
      <c r="O6" s="744"/>
    </row>
    <row r="7" spans="1:15" ht="8.4499999999999993" customHeight="1" x14ac:dyDescent="0.25">
      <c r="A7" s="684"/>
      <c r="B7" s="684"/>
      <c r="C7" s="684"/>
      <c r="D7" s="684"/>
      <c r="E7" s="684"/>
      <c r="F7" s="684"/>
      <c r="G7" s="684"/>
      <c r="H7" s="684"/>
      <c r="I7" s="684"/>
      <c r="J7" s="684"/>
      <c r="K7" s="684"/>
      <c r="L7" s="684"/>
      <c r="M7" s="684"/>
      <c r="N7" s="684"/>
      <c r="O7" s="684"/>
    </row>
    <row r="8" spans="1:15" ht="4.9000000000000004" hidden="1" customHeight="1" x14ac:dyDescent="0.25">
      <c r="A8" s="685"/>
      <c r="B8" s="685"/>
      <c r="C8" s="685"/>
      <c r="D8" s="685"/>
      <c r="E8" s="685"/>
      <c r="F8" s="685"/>
      <c r="G8" s="685"/>
      <c r="H8" s="685"/>
      <c r="I8" s="685"/>
      <c r="J8" s="685"/>
      <c r="K8" s="685"/>
      <c r="L8" s="685"/>
      <c r="M8" s="685"/>
      <c r="N8" s="685"/>
      <c r="O8" s="685"/>
    </row>
    <row r="9" spans="1:15" x14ac:dyDescent="0.25">
      <c r="A9" s="686" t="s">
        <v>195</v>
      </c>
      <c r="B9" s="687"/>
      <c r="C9" s="687"/>
      <c r="D9" s="687"/>
      <c r="E9" s="687"/>
      <c r="F9" s="687"/>
      <c r="G9" s="687"/>
      <c r="H9" s="687"/>
      <c r="I9" s="737"/>
      <c r="J9" s="737"/>
      <c r="K9" s="737"/>
      <c r="L9" s="685"/>
      <c r="M9" s="685"/>
      <c r="N9" s="685"/>
      <c r="O9" s="685"/>
    </row>
    <row r="10" spans="1:15" ht="2.4500000000000002" customHeight="1" x14ac:dyDescent="0.25">
      <c r="A10" s="700"/>
      <c r="B10" s="700"/>
      <c r="C10" s="700"/>
      <c r="D10" s="700"/>
      <c r="E10" s="700"/>
      <c r="F10" s="700"/>
      <c r="G10" s="700"/>
      <c r="H10" s="700"/>
      <c r="I10" s="700"/>
      <c r="J10" s="700"/>
      <c r="K10" s="700"/>
      <c r="L10" s="700"/>
      <c r="M10" s="700"/>
      <c r="N10" s="700"/>
      <c r="O10" s="700"/>
    </row>
    <row r="11" spans="1:15" ht="2.4500000000000002" customHeight="1" x14ac:dyDescent="0.25">
      <c r="A11" s="700"/>
      <c r="B11" s="700"/>
      <c r="C11" s="700"/>
      <c r="D11" s="700"/>
      <c r="E11" s="700"/>
      <c r="F11" s="700"/>
      <c r="G11" s="700"/>
      <c r="H11" s="700"/>
      <c r="I11" s="700"/>
      <c r="J11" s="700"/>
      <c r="K11" s="700"/>
      <c r="L11" s="700"/>
      <c r="M11" s="700"/>
      <c r="N11" s="700"/>
      <c r="O11" s="340"/>
    </row>
    <row r="12" spans="1:15" ht="17.25" x14ac:dyDescent="0.3">
      <c r="A12" s="438" t="s">
        <v>287</v>
      </c>
      <c r="B12" s="439">
        <v>5</v>
      </c>
      <c r="C12" s="439" t="s">
        <v>197</v>
      </c>
      <c r="D12" s="439">
        <v>8</v>
      </c>
      <c r="E12" s="439">
        <v>10</v>
      </c>
      <c r="F12" s="439" t="s">
        <v>198</v>
      </c>
      <c r="G12" s="439">
        <v>16</v>
      </c>
      <c r="H12" s="439">
        <v>20</v>
      </c>
      <c r="I12" s="439">
        <v>25</v>
      </c>
      <c r="J12" s="439" t="s">
        <v>199</v>
      </c>
      <c r="K12" s="439">
        <v>40</v>
      </c>
      <c r="L12" s="439">
        <v>63</v>
      </c>
      <c r="M12" s="439">
        <v>80</v>
      </c>
      <c r="N12" s="745" t="s">
        <v>288</v>
      </c>
      <c r="O12" s="745"/>
    </row>
    <row r="13" spans="1:15" ht="17.25" x14ac:dyDescent="0.25">
      <c r="A13" s="440" t="s">
        <v>196</v>
      </c>
      <c r="B13" s="439" t="s">
        <v>200</v>
      </c>
      <c r="C13" s="439" t="s">
        <v>201</v>
      </c>
      <c r="D13" s="439" t="s">
        <v>202</v>
      </c>
      <c r="E13" s="439" t="s">
        <v>203</v>
      </c>
      <c r="F13" s="439" t="s">
        <v>204</v>
      </c>
      <c r="G13" s="439">
        <v>2</v>
      </c>
      <c r="H13" s="439">
        <v>3</v>
      </c>
      <c r="I13" s="439">
        <v>5</v>
      </c>
      <c r="J13" s="439">
        <v>8</v>
      </c>
      <c r="K13" s="439">
        <v>12</v>
      </c>
      <c r="L13" s="439">
        <v>30</v>
      </c>
      <c r="M13" s="439">
        <v>50</v>
      </c>
      <c r="N13" s="746" t="s">
        <v>289</v>
      </c>
      <c r="O13" s="746"/>
    </row>
    <row r="14" spans="1:15" ht="13.15" customHeight="1" x14ac:dyDescent="0.25">
      <c r="A14" s="747"/>
      <c r="B14" s="684"/>
      <c r="C14" s="684"/>
      <c r="D14" s="684"/>
      <c r="E14" s="684"/>
      <c r="F14" s="684"/>
      <c r="G14" s="684"/>
      <c r="H14" s="684"/>
      <c r="I14" s="684"/>
      <c r="J14" s="684"/>
      <c r="K14" s="684"/>
      <c r="L14" s="684"/>
      <c r="M14" s="684"/>
      <c r="N14" s="684"/>
      <c r="O14" s="748"/>
    </row>
    <row r="15" spans="1:15" ht="14.45" customHeight="1" x14ac:dyDescent="0.25">
      <c r="A15" s="749" t="s">
        <v>225</v>
      </c>
      <c r="B15" s="751" t="s">
        <v>226</v>
      </c>
      <c r="C15" s="751"/>
      <c r="D15" s="751"/>
      <c r="E15" s="753" t="s">
        <v>176</v>
      </c>
      <c r="F15" s="754"/>
      <c r="G15" s="754"/>
      <c r="H15" s="755" t="s">
        <v>227</v>
      </c>
      <c r="I15" s="755"/>
      <c r="J15" s="755"/>
      <c r="K15" s="755"/>
      <c r="L15" s="756" t="s">
        <v>228</v>
      </c>
      <c r="M15" s="757"/>
      <c r="N15" s="762" t="s">
        <v>229</v>
      </c>
      <c r="O15" s="762"/>
    </row>
    <row r="16" spans="1:15" ht="11.45" customHeight="1" x14ac:dyDescent="0.25">
      <c r="A16" s="750"/>
      <c r="B16" s="752"/>
      <c r="C16" s="752"/>
      <c r="D16" s="752"/>
      <c r="E16" s="753"/>
      <c r="F16" s="754"/>
      <c r="G16" s="754"/>
      <c r="H16" s="755"/>
      <c r="I16" s="755"/>
      <c r="J16" s="755"/>
      <c r="K16" s="755"/>
      <c r="L16" s="758"/>
      <c r="M16" s="759"/>
      <c r="N16" s="762"/>
      <c r="O16" s="762"/>
    </row>
    <row r="17" spans="1:19" x14ac:dyDescent="0.25">
      <c r="A17" s="763" t="s">
        <v>290</v>
      </c>
      <c r="B17" s="772" t="s">
        <v>230</v>
      </c>
      <c r="C17" s="691">
        <v>300</v>
      </c>
      <c r="D17" s="773" t="s">
        <v>231</v>
      </c>
      <c r="E17" s="753" t="s">
        <v>58</v>
      </c>
      <c r="F17" s="754" t="s">
        <v>232</v>
      </c>
      <c r="G17" s="754"/>
      <c r="H17" s="754" t="s">
        <v>233</v>
      </c>
      <c r="I17" s="754"/>
      <c r="J17" s="754" t="s">
        <v>234</v>
      </c>
      <c r="K17" s="754"/>
      <c r="L17" s="758"/>
      <c r="M17" s="759"/>
      <c r="N17" s="764" t="s">
        <v>235</v>
      </c>
      <c r="O17" s="764" t="s">
        <v>236</v>
      </c>
    </row>
    <row r="18" spans="1:19" ht="7.9" customHeight="1" x14ac:dyDescent="0.25">
      <c r="A18" s="763"/>
      <c r="B18" s="772"/>
      <c r="C18" s="691"/>
      <c r="D18" s="773"/>
      <c r="E18" s="753"/>
      <c r="F18" s="754"/>
      <c r="G18" s="754"/>
      <c r="H18" s="754"/>
      <c r="I18" s="754"/>
      <c r="J18" s="754"/>
      <c r="K18" s="754"/>
      <c r="L18" s="760"/>
      <c r="M18" s="761"/>
      <c r="N18" s="764"/>
      <c r="O18" s="764"/>
    </row>
    <row r="19" spans="1:19" ht="14.45" customHeight="1" x14ac:dyDescent="0.25">
      <c r="A19" s="765" t="s">
        <v>291</v>
      </c>
      <c r="B19" s="766"/>
      <c r="C19" s="766"/>
      <c r="D19" s="769" t="s">
        <v>237</v>
      </c>
      <c r="E19" s="441">
        <v>100</v>
      </c>
      <c r="F19" s="746"/>
      <c r="G19" s="746"/>
      <c r="H19" s="583"/>
      <c r="I19" s="583"/>
      <c r="J19" s="771"/>
      <c r="K19" s="771"/>
      <c r="L19" s="583"/>
      <c r="M19" s="583"/>
      <c r="N19" s="342"/>
      <c r="O19" s="342"/>
      <c r="Q19" s="322"/>
      <c r="R19" s="322"/>
      <c r="S19" s="322"/>
    </row>
    <row r="20" spans="1:19" x14ac:dyDescent="0.25">
      <c r="A20" s="767"/>
      <c r="B20" s="768"/>
      <c r="C20" s="768"/>
      <c r="D20" s="770"/>
      <c r="E20" s="441">
        <v>80</v>
      </c>
      <c r="F20" s="746"/>
      <c r="G20" s="746"/>
      <c r="H20" s="583"/>
      <c r="I20" s="583"/>
      <c r="J20" s="771"/>
      <c r="K20" s="771"/>
      <c r="L20" s="583"/>
      <c r="M20" s="583"/>
      <c r="N20" s="342"/>
      <c r="O20" s="342"/>
      <c r="Q20" s="322"/>
      <c r="R20" s="322"/>
      <c r="S20" s="322"/>
    </row>
    <row r="21" spans="1:19" ht="14.45" customHeight="1" x14ac:dyDescent="0.3">
      <c r="A21" s="772" t="s">
        <v>292</v>
      </c>
      <c r="B21" s="774"/>
      <c r="C21" s="774"/>
      <c r="D21" s="775"/>
      <c r="E21" s="441">
        <v>63</v>
      </c>
      <c r="F21" s="746"/>
      <c r="G21" s="746"/>
      <c r="H21" s="583"/>
      <c r="I21" s="583"/>
      <c r="J21" s="771"/>
      <c r="K21" s="771"/>
      <c r="L21" s="583"/>
      <c r="M21" s="583"/>
      <c r="N21" s="342"/>
      <c r="O21" s="342"/>
    </row>
    <row r="22" spans="1:19" ht="15" customHeight="1" x14ac:dyDescent="0.25">
      <c r="A22" s="442" t="s">
        <v>238</v>
      </c>
      <c r="B22" s="776"/>
      <c r="C22" s="776"/>
      <c r="D22" s="443" t="s">
        <v>239</v>
      </c>
      <c r="E22" s="441">
        <v>50</v>
      </c>
      <c r="F22" s="746"/>
      <c r="G22" s="746"/>
      <c r="H22" s="583"/>
      <c r="I22" s="583"/>
      <c r="J22" s="771"/>
      <c r="K22" s="771"/>
      <c r="L22" s="583"/>
      <c r="M22" s="583"/>
      <c r="N22" s="342"/>
      <c r="O22" s="342"/>
    </row>
    <row r="23" spans="1:19" ht="14.45" customHeight="1" x14ac:dyDescent="0.3">
      <c r="A23" s="777" t="s">
        <v>293</v>
      </c>
      <c r="B23" s="774"/>
      <c r="C23" s="774"/>
      <c r="D23" s="778"/>
      <c r="E23" s="440">
        <v>40</v>
      </c>
      <c r="F23" s="746"/>
      <c r="G23" s="746"/>
      <c r="H23" s="583"/>
      <c r="I23" s="583"/>
      <c r="J23" s="771"/>
      <c r="K23" s="771"/>
      <c r="L23" s="588">
        <f>J23</f>
        <v>0</v>
      </c>
      <c r="M23" s="589"/>
      <c r="N23" s="341">
        <f>L23/C17*100</f>
        <v>0</v>
      </c>
      <c r="O23" s="341">
        <f>100-N23</f>
        <v>100</v>
      </c>
    </row>
    <row r="24" spans="1:19" ht="15" customHeight="1" x14ac:dyDescent="0.25">
      <c r="A24" s="444" t="s">
        <v>240</v>
      </c>
      <c r="B24" s="779"/>
      <c r="C24" s="779"/>
      <c r="D24" s="445" t="s">
        <v>239</v>
      </c>
      <c r="E24" s="440">
        <v>31.5</v>
      </c>
      <c r="F24" s="746"/>
      <c r="G24" s="746"/>
      <c r="H24" s="583"/>
      <c r="I24" s="583"/>
      <c r="J24" s="771">
        <v>0</v>
      </c>
      <c r="K24" s="771"/>
      <c r="L24" s="583">
        <f>L23+J24</f>
        <v>0</v>
      </c>
      <c r="M24" s="583"/>
      <c r="N24" s="341">
        <f>L24/C17*100</f>
        <v>0</v>
      </c>
      <c r="O24" s="446">
        <f>100-N24</f>
        <v>100</v>
      </c>
    </row>
    <row r="25" spans="1:19" x14ac:dyDescent="0.25">
      <c r="A25" s="752" t="s">
        <v>294</v>
      </c>
      <c r="B25" s="782" t="s">
        <v>241</v>
      </c>
      <c r="C25" s="716"/>
      <c r="D25" s="783"/>
      <c r="E25" s="440">
        <v>25</v>
      </c>
      <c r="F25" s="746"/>
      <c r="G25" s="746"/>
      <c r="H25" s="583"/>
      <c r="I25" s="583"/>
      <c r="J25" s="771"/>
      <c r="K25" s="771"/>
      <c r="L25" s="583"/>
      <c r="M25" s="583"/>
      <c r="N25" s="341"/>
      <c r="O25" s="446"/>
    </row>
    <row r="26" spans="1:19" ht="17.25" x14ac:dyDescent="0.3">
      <c r="A26" s="780"/>
      <c r="B26" s="447" t="s">
        <v>295</v>
      </c>
      <c r="C26" s="448"/>
      <c r="D26" s="449" t="s">
        <v>242</v>
      </c>
      <c r="E26" s="440">
        <v>20</v>
      </c>
      <c r="F26" s="746"/>
      <c r="G26" s="746"/>
      <c r="H26" s="583"/>
      <c r="I26" s="583"/>
      <c r="J26" s="771">
        <v>0</v>
      </c>
      <c r="K26" s="771"/>
      <c r="L26" s="771">
        <f>L24+J26</f>
        <v>0</v>
      </c>
      <c r="M26" s="583"/>
      <c r="N26" s="341">
        <f>L26/C17*100</f>
        <v>0</v>
      </c>
      <c r="O26" s="446">
        <f>100-N26</f>
        <v>100</v>
      </c>
    </row>
    <row r="27" spans="1:19" x14ac:dyDescent="0.25">
      <c r="A27" s="780"/>
      <c r="B27" s="782" t="s">
        <v>243</v>
      </c>
      <c r="C27" s="716"/>
      <c r="D27" s="783"/>
      <c r="E27" s="440">
        <v>16</v>
      </c>
      <c r="F27" s="746"/>
      <c r="G27" s="746"/>
      <c r="H27" s="583"/>
      <c r="I27" s="583"/>
      <c r="J27" s="771"/>
      <c r="K27" s="771"/>
      <c r="L27" s="583"/>
      <c r="M27" s="583"/>
      <c r="N27" s="341"/>
      <c r="O27" s="446"/>
    </row>
    <row r="28" spans="1:19" x14ac:dyDescent="0.25">
      <c r="A28" s="781"/>
      <c r="B28" s="450" t="s">
        <v>244</v>
      </c>
      <c r="C28" s="450"/>
      <c r="D28" s="451" t="s">
        <v>245</v>
      </c>
      <c r="E28" s="440">
        <v>12.5</v>
      </c>
      <c r="F28" s="746"/>
      <c r="G28" s="746"/>
      <c r="H28" s="583"/>
      <c r="I28" s="583"/>
      <c r="J28" s="771"/>
      <c r="K28" s="771"/>
      <c r="L28" s="583"/>
      <c r="M28" s="583"/>
      <c r="N28" s="341"/>
      <c r="O28" s="446"/>
    </row>
    <row r="29" spans="1:19" x14ac:dyDescent="0.25">
      <c r="A29" s="752" t="s">
        <v>296</v>
      </c>
      <c r="B29" s="782" t="s">
        <v>241</v>
      </c>
      <c r="C29" s="716"/>
      <c r="D29" s="783"/>
      <c r="E29" s="440">
        <v>10</v>
      </c>
      <c r="F29" s="746"/>
      <c r="G29" s="746"/>
      <c r="H29" s="583"/>
      <c r="I29" s="583"/>
      <c r="J29" s="771">
        <v>0</v>
      </c>
      <c r="K29" s="771"/>
      <c r="L29" s="583">
        <f>J29+L26</f>
        <v>0</v>
      </c>
      <c r="M29" s="583"/>
      <c r="N29" s="341">
        <f>L29/C17*100</f>
        <v>0</v>
      </c>
      <c r="O29" s="446">
        <f>100-N29</f>
        <v>100</v>
      </c>
    </row>
    <row r="30" spans="1:19" x14ac:dyDescent="0.25">
      <c r="A30" s="780"/>
      <c r="B30" s="452" t="s">
        <v>246</v>
      </c>
      <c r="C30" s="450"/>
      <c r="D30" s="451" t="s">
        <v>242</v>
      </c>
      <c r="E30" s="440">
        <v>8</v>
      </c>
      <c r="F30" s="746"/>
      <c r="G30" s="746"/>
      <c r="H30" s="583"/>
      <c r="I30" s="583"/>
      <c r="J30" s="771"/>
      <c r="K30" s="771"/>
      <c r="L30" s="583"/>
      <c r="M30" s="583"/>
      <c r="N30" s="341"/>
      <c r="O30" s="446"/>
    </row>
    <row r="31" spans="1:19" x14ac:dyDescent="0.25">
      <c r="A31" s="780"/>
      <c r="B31" s="784" t="s">
        <v>243</v>
      </c>
      <c r="C31" s="691"/>
      <c r="D31" s="785"/>
      <c r="E31" s="440">
        <v>6.3</v>
      </c>
      <c r="F31" s="746"/>
      <c r="G31" s="746"/>
      <c r="H31" s="583"/>
      <c r="I31" s="583"/>
      <c r="J31" s="771"/>
      <c r="K31" s="771"/>
      <c r="L31" s="583"/>
      <c r="M31" s="583"/>
      <c r="N31" s="341"/>
      <c r="O31" s="446"/>
    </row>
    <row r="32" spans="1:19" x14ac:dyDescent="0.25">
      <c r="A32" s="781"/>
      <c r="B32" s="452" t="s">
        <v>247</v>
      </c>
      <c r="C32" s="450"/>
      <c r="D32" s="451" t="s">
        <v>242</v>
      </c>
      <c r="E32" s="440">
        <v>5</v>
      </c>
      <c r="F32" s="746"/>
      <c r="G32" s="746"/>
      <c r="H32" s="583"/>
      <c r="I32" s="583"/>
      <c r="J32" s="771">
        <v>1.4</v>
      </c>
      <c r="K32" s="771"/>
      <c r="L32" s="583">
        <f>J32+L29</f>
        <v>1.4</v>
      </c>
      <c r="M32" s="583"/>
      <c r="N32" s="341">
        <f>L32/C17*100</f>
        <v>0.46666666666666662</v>
      </c>
      <c r="O32" s="446">
        <f>100-N32</f>
        <v>99.533333333333331</v>
      </c>
    </row>
    <row r="33" spans="1:15" x14ac:dyDescent="0.25">
      <c r="A33" s="786" t="s">
        <v>248</v>
      </c>
      <c r="B33" s="787"/>
      <c r="C33" s="787"/>
      <c r="D33" s="788"/>
      <c r="E33" s="440">
        <v>4</v>
      </c>
      <c r="F33" s="746"/>
      <c r="G33" s="746"/>
      <c r="H33" s="583"/>
      <c r="I33" s="583"/>
      <c r="J33" s="771"/>
      <c r="K33" s="771"/>
      <c r="L33" s="583"/>
      <c r="M33" s="583"/>
      <c r="N33" s="341"/>
      <c r="O33" s="341"/>
    </row>
    <row r="34" spans="1:15" ht="13.15" customHeight="1" x14ac:dyDescent="0.3">
      <c r="A34" s="789" t="s">
        <v>297</v>
      </c>
      <c r="B34" s="790"/>
      <c r="C34" s="450"/>
      <c r="D34" s="451" t="s">
        <v>242</v>
      </c>
      <c r="E34" s="440">
        <v>3.15</v>
      </c>
      <c r="F34" s="746"/>
      <c r="G34" s="746"/>
      <c r="H34" s="583"/>
      <c r="I34" s="583"/>
      <c r="J34" s="771"/>
      <c r="K34" s="771"/>
      <c r="L34" s="583"/>
      <c r="M34" s="583"/>
      <c r="N34" s="341"/>
      <c r="O34" s="341"/>
    </row>
    <row r="35" spans="1:15" x14ac:dyDescent="0.25">
      <c r="A35" s="791" t="s">
        <v>249</v>
      </c>
      <c r="B35" s="792"/>
      <c r="C35" s="792"/>
      <c r="D35" s="793"/>
      <c r="E35" s="440">
        <v>2.5</v>
      </c>
      <c r="F35" s="746"/>
      <c r="G35" s="746"/>
      <c r="H35" s="583"/>
      <c r="I35" s="583"/>
      <c r="J35" s="771"/>
      <c r="K35" s="771"/>
      <c r="L35" s="583"/>
      <c r="M35" s="583"/>
      <c r="N35" s="341"/>
      <c r="O35" s="341"/>
    </row>
    <row r="36" spans="1:15" x14ac:dyDescent="0.25">
      <c r="A36" s="794"/>
      <c r="B36" s="795"/>
      <c r="C36" s="795"/>
      <c r="D36" s="796"/>
      <c r="E36" s="440">
        <v>2</v>
      </c>
      <c r="F36" s="746"/>
      <c r="G36" s="746"/>
      <c r="H36" s="583"/>
      <c r="I36" s="583"/>
      <c r="J36" s="771">
        <v>1.5</v>
      </c>
      <c r="K36" s="771"/>
      <c r="L36" s="583">
        <f>J36+L32</f>
        <v>2.9</v>
      </c>
      <c r="M36" s="583"/>
      <c r="N36" s="341">
        <f>L36/C17*100</f>
        <v>0.96666666666666667</v>
      </c>
      <c r="O36" s="446">
        <f>100-N36</f>
        <v>99.033333333333331</v>
      </c>
    </row>
    <row r="37" spans="1:15" x14ac:dyDescent="0.25">
      <c r="A37" s="797" t="s">
        <v>250</v>
      </c>
      <c r="B37" s="798"/>
      <c r="C37" s="453"/>
      <c r="D37" s="454" t="s">
        <v>251</v>
      </c>
      <c r="E37" s="440">
        <v>1.6</v>
      </c>
      <c r="F37" s="746"/>
      <c r="G37" s="746"/>
      <c r="H37" s="583"/>
      <c r="I37" s="583"/>
      <c r="J37" s="771"/>
      <c r="K37" s="771"/>
      <c r="L37" s="583"/>
      <c r="M37" s="583"/>
      <c r="N37" s="341"/>
      <c r="O37" s="341"/>
    </row>
    <row r="38" spans="1:15" ht="13.15" customHeight="1" x14ac:dyDescent="0.3">
      <c r="A38" s="799" t="s">
        <v>298</v>
      </c>
      <c r="B38" s="800"/>
      <c r="C38" s="800"/>
      <c r="D38" s="801"/>
      <c r="E38" s="440">
        <v>1.25</v>
      </c>
      <c r="F38" s="746"/>
      <c r="G38" s="746"/>
      <c r="H38" s="583"/>
      <c r="I38" s="583"/>
      <c r="J38" s="771"/>
      <c r="K38" s="771"/>
      <c r="L38" s="583"/>
      <c r="M38" s="583"/>
      <c r="N38" s="341"/>
      <c r="O38" s="446"/>
    </row>
    <row r="39" spans="1:15" ht="13.15" customHeight="1" x14ac:dyDescent="0.25">
      <c r="A39" s="802" t="s">
        <v>299</v>
      </c>
      <c r="B39" s="803"/>
      <c r="C39" s="806"/>
      <c r="D39" s="807" t="s">
        <v>242</v>
      </c>
      <c r="E39" s="440">
        <v>1</v>
      </c>
      <c r="F39" s="746"/>
      <c r="G39" s="746"/>
      <c r="H39" s="583"/>
      <c r="I39" s="583"/>
      <c r="J39" s="771">
        <v>3</v>
      </c>
      <c r="K39" s="771"/>
      <c r="L39" s="583">
        <f>J39+L36</f>
        <v>5.9</v>
      </c>
      <c r="M39" s="583"/>
      <c r="N39" s="455">
        <f>L39/C17*100</f>
        <v>1.966666666666667</v>
      </c>
      <c r="O39" s="446">
        <f>100-N39</f>
        <v>98.033333333333331</v>
      </c>
    </row>
    <row r="40" spans="1:15" ht="15" customHeight="1" x14ac:dyDescent="0.25">
      <c r="A40" s="804"/>
      <c r="B40" s="805"/>
      <c r="C40" s="719"/>
      <c r="D40" s="808"/>
      <c r="E40" s="456">
        <v>0.8</v>
      </c>
      <c r="F40" s="746">
        <v>800</v>
      </c>
      <c r="G40" s="746"/>
      <c r="H40" s="583"/>
      <c r="I40" s="583"/>
      <c r="J40" s="771"/>
      <c r="K40" s="771"/>
      <c r="L40" s="583"/>
      <c r="M40" s="583"/>
      <c r="N40" s="341"/>
      <c r="O40" s="446"/>
    </row>
    <row r="41" spans="1:15" ht="15.6" customHeight="1" x14ac:dyDescent="0.25">
      <c r="A41" s="791" t="s">
        <v>300</v>
      </c>
      <c r="B41" s="792"/>
      <c r="C41" s="792"/>
      <c r="D41" s="793"/>
      <c r="E41" s="457">
        <v>0.63</v>
      </c>
      <c r="F41" s="746">
        <v>630</v>
      </c>
      <c r="G41" s="746"/>
      <c r="H41" s="583"/>
      <c r="I41" s="583"/>
      <c r="J41" s="771"/>
      <c r="K41" s="771"/>
      <c r="L41" s="583"/>
      <c r="M41" s="583"/>
      <c r="N41" s="341"/>
      <c r="O41" s="446"/>
    </row>
    <row r="42" spans="1:15" x14ac:dyDescent="0.25">
      <c r="A42" s="794"/>
      <c r="B42" s="795"/>
      <c r="C42" s="795"/>
      <c r="D42" s="796"/>
      <c r="E42" s="457">
        <v>0.5</v>
      </c>
      <c r="F42" s="746">
        <v>500</v>
      </c>
      <c r="G42" s="746"/>
      <c r="H42" s="583"/>
      <c r="I42" s="583"/>
      <c r="J42" s="771"/>
      <c r="K42" s="771"/>
      <c r="L42" s="583"/>
      <c r="M42" s="583"/>
      <c r="N42" s="341"/>
      <c r="O42" s="446"/>
    </row>
    <row r="43" spans="1:15" ht="14.45" customHeight="1" x14ac:dyDescent="0.25">
      <c r="A43" s="811" t="s">
        <v>301</v>
      </c>
      <c r="B43" s="812"/>
      <c r="C43" s="815"/>
      <c r="D43" s="816" t="s">
        <v>252</v>
      </c>
      <c r="E43" s="457">
        <v>0.4</v>
      </c>
      <c r="F43" s="746">
        <v>400</v>
      </c>
      <c r="G43" s="746"/>
      <c r="H43" s="583"/>
      <c r="I43" s="583"/>
      <c r="J43" s="771">
        <v>28.1</v>
      </c>
      <c r="K43" s="771"/>
      <c r="L43" s="583">
        <f>J43+L39</f>
        <v>34</v>
      </c>
      <c r="M43" s="583"/>
      <c r="N43" s="455">
        <f>L43/C17*100</f>
        <v>11.333333333333332</v>
      </c>
      <c r="O43" s="446">
        <f>100-N43</f>
        <v>88.666666666666671</v>
      </c>
    </row>
    <row r="44" spans="1:15" x14ac:dyDescent="0.25">
      <c r="A44" s="813"/>
      <c r="B44" s="814"/>
      <c r="C44" s="815"/>
      <c r="D44" s="816"/>
      <c r="E44" s="457">
        <v>0.315</v>
      </c>
      <c r="F44" s="746">
        <v>315</v>
      </c>
      <c r="G44" s="746"/>
      <c r="H44" s="583"/>
      <c r="I44" s="583"/>
      <c r="J44" s="771"/>
      <c r="K44" s="771"/>
      <c r="L44" s="583"/>
      <c r="M44" s="583"/>
      <c r="N44" s="341"/>
      <c r="O44" s="446"/>
    </row>
    <row r="45" spans="1:15" ht="15" customHeight="1" x14ac:dyDescent="0.25">
      <c r="A45" s="809" t="s">
        <v>253</v>
      </c>
      <c r="B45" s="810"/>
      <c r="C45" s="458" t="s">
        <v>254</v>
      </c>
      <c r="D45" s="459"/>
      <c r="E45" s="457">
        <v>0.25</v>
      </c>
      <c r="F45" s="746">
        <v>250</v>
      </c>
      <c r="G45" s="746"/>
      <c r="H45" s="583"/>
      <c r="I45" s="583"/>
      <c r="J45" s="771"/>
      <c r="K45" s="771"/>
      <c r="L45" s="583"/>
      <c r="M45" s="583"/>
      <c r="N45" s="341"/>
      <c r="O45" s="446"/>
    </row>
    <row r="46" spans="1:15" ht="13.15" customHeight="1" x14ac:dyDescent="0.25">
      <c r="A46" s="811"/>
      <c r="B46" s="812"/>
      <c r="C46" s="804" t="s">
        <v>302</v>
      </c>
      <c r="D46" s="817"/>
      <c r="E46" s="457">
        <v>0.2</v>
      </c>
      <c r="F46" s="746">
        <v>200</v>
      </c>
      <c r="G46" s="746"/>
      <c r="H46" s="583"/>
      <c r="I46" s="583"/>
      <c r="J46" s="771">
        <v>55.3</v>
      </c>
      <c r="K46" s="771"/>
      <c r="L46" s="583">
        <f>J46+L43</f>
        <v>89.3</v>
      </c>
      <c r="M46" s="583"/>
      <c r="N46" s="341">
        <f>L46/C17*100</f>
        <v>29.766666666666662</v>
      </c>
      <c r="O46" s="446">
        <f>100-N46</f>
        <v>70.233333333333334</v>
      </c>
    </row>
    <row r="47" spans="1:15" x14ac:dyDescent="0.25">
      <c r="A47" s="811"/>
      <c r="B47" s="812"/>
      <c r="C47" s="786" t="s">
        <v>255</v>
      </c>
      <c r="D47" s="788"/>
      <c r="E47" s="457">
        <v>0.16</v>
      </c>
      <c r="F47" s="746">
        <v>160</v>
      </c>
      <c r="G47" s="746"/>
      <c r="H47" s="583"/>
      <c r="I47" s="583"/>
      <c r="J47" s="771"/>
      <c r="K47" s="771"/>
      <c r="L47" s="583"/>
      <c r="M47" s="583"/>
      <c r="N47" s="341"/>
      <c r="O47" s="446"/>
    </row>
    <row r="48" spans="1:15" ht="13.9" customHeight="1" x14ac:dyDescent="0.3">
      <c r="A48" s="813"/>
      <c r="B48" s="814"/>
      <c r="C48" s="819" t="s">
        <v>303</v>
      </c>
      <c r="D48" s="820"/>
      <c r="E48" s="457">
        <v>0.125</v>
      </c>
      <c r="F48" s="746">
        <v>125</v>
      </c>
      <c r="G48" s="746"/>
      <c r="H48" s="583"/>
      <c r="I48" s="583"/>
      <c r="J48" s="771"/>
      <c r="K48" s="771"/>
      <c r="L48" s="583"/>
      <c r="M48" s="583"/>
      <c r="N48" s="341"/>
      <c r="O48" s="446"/>
    </row>
    <row r="49" spans="1:15" ht="12.6" customHeight="1" x14ac:dyDescent="0.25">
      <c r="A49" s="821" t="s">
        <v>256</v>
      </c>
      <c r="B49" s="822"/>
      <c r="C49" s="822"/>
      <c r="D49" s="823"/>
      <c r="E49" s="456">
        <v>0.1</v>
      </c>
      <c r="F49" s="746">
        <v>100</v>
      </c>
      <c r="G49" s="746"/>
      <c r="H49" s="583"/>
      <c r="I49" s="583"/>
      <c r="J49" s="771">
        <v>124.2</v>
      </c>
      <c r="K49" s="771"/>
      <c r="L49" s="583">
        <f>J49+L46</f>
        <v>213.5</v>
      </c>
      <c r="M49" s="583"/>
      <c r="N49" s="341">
        <f>L49/C17*100</f>
        <v>71.166666666666671</v>
      </c>
      <c r="O49" s="446">
        <f>100-N49</f>
        <v>28.833333333333329</v>
      </c>
    </row>
    <row r="50" spans="1:15" ht="12.6" customHeight="1" x14ac:dyDescent="0.25">
      <c r="A50" s="789" t="s">
        <v>257</v>
      </c>
      <c r="B50" s="790"/>
      <c r="C50" s="346"/>
      <c r="D50" s="449" t="s">
        <v>258</v>
      </c>
      <c r="E50" s="460">
        <v>0.08</v>
      </c>
      <c r="F50" s="746">
        <v>80</v>
      </c>
      <c r="G50" s="746"/>
      <c r="H50" s="583"/>
      <c r="I50" s="583"/>
      <c r="J50" s="771">
        <v>10.8</v>
      </c>
      <c r="K50" s="771"/>
      <c r="L50" s="588">
        <f>J50+L49</f>
        <v>224.3</v>
      </c>
      <c r="M50" s="589"/>
      <c r="N50" s="341">
        <f>L50/C17*100</f>
        <v>74.766666666666666</v>
      </c>
      <c r="O50" s="446">
        <f>100-N50</f>
        <v>25.233333333333334</v>
      </c>
    </row>
    <row r="51" spans="1:15" ht="34.9" customHeight="1" x14ac:dyDescent="0.25">
      <c r="A51" s="818" t="s">
        <v>259</v>
      </c>
      <c r="B51" s="818"/>
      <c r="C51" s="818"/>
      <c r="D51" s="818"/>
      <c r="E51" s="583"/>
      <c r="F51" s="583"/>
      <c r="G51" s="583"/>
      <c r="H51" s="583"/>
      <c r="I51" s="583"/>
      <c r="J51" s="583"/>
      <c r="K51" s="583"/>
      <c r="L51" s="583"/>
      <c r="M51" s="583"/>
      <c r="N51" s="583"/>
      <c r="O51" s="583"/>
    </row>
    <row r="52" spans="1:15" ht="9.6" customHeight="1" x14ac:dyDescent="0.25">
      <c r="A52" s="684"/>
      <c r="B52" s="684"/>
      <c r="C52" s="684"/>
      <c r="D52" s="684"/>
      <c r="E52" s="684"/>
      <c r="F52" s="684"/>
      <c r="G52" s="684"/>
      <c r="H52" s="684"/>
      <c r="I52" s="684"/>
      <c r="J52" s="684"/>
      <c r="K52" s="684"/>
      <c r="L52" s="684"/>
      <c r="M52" s="684"/>
      <c r="N52" s="684"/>
      <c r="O52" s="684"/>
    </row>
    <row r="53" spans="1:15" ht="15" customHeight="1" x14ac:dyDescent="0.25">
      <c r="A53" s="825" t="s">
        <v>166</v>
      </c>
      <c r="B53" s="826"/>
      <c r="C53" s="826"/>
      <c r="D53" s="826"/>
      <c r="E53" s="826"/>
      <c r="F53" s="826"/>
      <c r="G53" s="782" t="s">
        <v>214</v>
      </c>
      <c r="H53" s="716"/>
      <c r="I53" s="716"/>
      <c r="J53" s="716"/>
      <c r="K53" s="716"/>
      <c r="L53" s="461"/>
      <c r="M53" s="461"/>
      <c r="N53" s="461"/>
      <c r="O53" s="462"/>
    </row>
    <row r="54" spans="1:15" ht="7.9" customHeight="1" x14ac:dyDescent="0.25">
      <c r="A54" s="827"/>
      <c r="B54" s="828"/>
      <c r="C54" s="828"/>
      <c r="D54" s="828"/>
      <c r="E54" s="828"/>
      <c r="F54" s="828"/>
      <c r="G54" s="465"/>
      <c r="H54" s="463"/>
      <c r="I54" s="691"/>
      <c r="J54" s="691"/>
      <c r="K54" s="691"/>
      <c r="L54" s="691"/>
      <c r="M54" s="691"/>
      <c r="N54" s="463"/>
      <c r="O54" s="464"/>
    </row>
    <row r="55" spans="1:15" ht="10.9" customHeight="1" x14ac:dyDescent="0.25">
      <c r="A55" s="827"/>
      <c r="B55" s="828"/>
      <c r="C55" s="828"/>
      <c r="D55" s="828"/>
      <c r="E55" s="828"/>
      <c r="F55" s="828"/>
      <c r="G55" s="784" t="s">
        <v>260</v>
      </c>
      <c r="H55" s="691"/>
      <c r="I55" s="691"/>
      <c r="J55" s="691"/>
      <c r="K55" s="691"/>
      <c r="L55" s="691"/>
      <c r="M55" s="691"/>
      <c r="N55" s="463"/>
      <c r="O55" s="464"/>
    </row>
    <row r="56" spans="1:15" ht="2.4500000000000002" customHeight="1" x14ac:dyDescent="0.25">
      <c r="A56" s="827"/>
      <c r="B56" s="828"/>
      <c r="C56" s="828"/>
      <c r="D56" s="828"/>
      <c r="E56" s="828"/>
      <c r="F56" s="828"/>
      <c r="G56" s="784"/>
      <c r="H56" s="691"/>
      <c r="I56" s="691"/>
      <c r="J56" s="691"/>
      <c r="K56" s="691"/>
      <c r="L56" s="691"/>
      <c r="M56" s="691"/>
      <c r="N56" s="691"/>
      <c r="O56" s="785"/>
    </row>
    <row r="57" spans="1:15" ht="24.6" customHeight="1" x14ac:dyDescent="0.25">
      <c r="A57" s="829"/>
      <c r="B57" s="830"/>
      <c r="C57" s="830"/>
      <c r="D57" s="830"/>
      <c r="E57" s="830"/>
      <c r="F57" s="830"/>
      <c r="G57" s="819" t="s">
        <v>261</v>
      </c>
      <c r="H57" s="824"/>
      <c r="I57" s="824"/>
      <c r="J57" s="824"/>
      <c r="K57" s="824"/>
      <c r="L57" s="824"/>
      <c r="M57" s="824"/>
      <c r="N57" s="824"/>
      <c r="O57" s="820"/>
    </row>
  </sheetData>
  <mergeCells count="211">
    <mergeCell ref="I57:O57"/>
    <mergeCell ref="I54:M55"/>
    <mergeCell ref="A52:O52"/>
    <mergeCell ref="A53:F57"/>
    <mergeCell ref="G53:K53"/>
    <mergeCell ref="G55:H55"/>
    <mergeCell ref="G56:H56"/>
    <mergeCell ref="I56:O56"/>
    <mergeCell ref="G57:H57"/>
    <mergeCell ref="J47:K47"/>
    <mergeCell ref="L47:M47"/>
    <mergeCell ref="A50:B50"/>
    <mergeCell ref="F50:G50"/>
    <mergeCell ref="H50:I50"/>
    <mergeCell ref="J50:K50"/>
    <mergeCell ref="L50:M50"/>
    <mergeCell ref="A51:D51"/>
    <mergeCell ref="E51:O51"/>
    <mergeCell ref="C48:D48"/>
    <mergeCell ref="F48:G48"/>
    <mergeCell ref="H48:I48"/>
    <mergeCell ref="J48:K48"/>
    <mergeCell ref="L48:M48"/>
    <mergeCell ref="A49:D49"/>
    <mergeCell ref="F49:G49"/>
    <mergeCell ref="H49:I49"/>
    <mergeCell ref="J49:K49"/>
    <mergeCell ref="L49:M49"/>
    <mergeCell ref="L43:M43"/>
    <mergeCell ref="F44:G44"/>
    <mergeCell ref="H44:I44"/>
    <mergeCell ref="J44:K44"/>
    <mergeCell ref="L44:M44"/>
    <mergeCell ref="A45:B48"/>
    <mergeCell ref="F45:G45"/>
    <mergeCell ref="H45:I45"/>
    <mergeCell ref="J45:K45"/>
    <mergeCell ref="L45:M45"/>
    <mergeCell ref="A43:B44"/>
    <mergeCell ref="C43:C44"/>
    <mergeCell ref="D43:D44"/>
    <mergeCell ref="F43:G43"/>
    <mergeCell ref="H43:I43"/>
    <mergeCell ref="J43:K43"/>
    <mergeCell ref="C46:D46"/>
    <mergeCell ref="F46:G46"/>
    <mergeCell ref="H46:I46"/>
    <mergeCell ref="J46:K46"/>
    <mergeCell ref="L46:M46"/>
    <mergeCell ref="C47:D47"/>
    <mergeCell ref="F47:G47"/>
    <mergeCell ref="H47:I47"/>
    <mergeCell ref="A41:D42"/>
    <mergeCell ref="F41:G41"/>
    <mergeCell ref="H41:I41"/>
    <mergeCell ref="J41:K41"/>
    <mergeCell ref="L41:M41"/>
    <mergeCell ref="F42:G42"/>
    <mergeCell ref="H42:I42"/>
    <mergeCell ref="J42:K42"/>
    <mergeCell ref="L42:M42"/>
    <mergeCell ref="A37:B37"/>
    <mergeCell ref="F37:G37"/>
    <mergeCell ref="H37:I37"/>
    <mergeCell ref="J37:K37"/>
    <mergeCell ref="L37:M37"/>
    <mergeCell ref="J39:K39"/>
    <mergeCell ref="L39:M39"/>
    <mergeCell ref="F40:G40"/>
    <mergeCell ref="H40:I40"/>
    <mergeCell ref="J40:K40"/>
    <mergeCell ref="L40:M40"/>
    <mergeCell ref="A38:D38"/>
    <mergeCell ref="F38:G38"/>
    <mergeCell ref="H38:I38"/>
    <mergeCell ref="J38:K38"/>
    <mergeCell ref="L38:M38"/>
    <mergeCell ref="A39:B40"/>
    <mergeCell ref="C39:C40"/>
    <mergeCell ref="D39:D40"/>
    <mergeCell ref="F39:G39"/>
    <mergeCell ref="H39:I39"/>
    <mergeCell ref="A35:D36"/>
    <mergeCell ref="F35:G35"/>
    <mergeCell ref="H35:I35"/>
    <mergeCell ref="J35:K35"/>
    <mergeCell ref="L35:M35"/>
    <mergeCell ref="F36:G36"/>
    <mergeCell ref="H36:I36"/>
    <mergeCell ref="J36:K36"/>
    <mergeCell ref="L36:M36"/>
    <mergeCell ref="A33:D33"/>
    <mergeCell ref="F33:G33"/>
    <mergeCell ref="H33:I33"/>
    <mergeCell ref="J33:K33"/>
    <mergeCell ref="L33:M33"/>
    <mergeCell ref="A34:B34"/>
    <mergeCell ref="F34:G34"/>
    <mergeCell ref="H34:I34"/>
    <mergeCell ref="J34:K34"/>
    <mergeCell ref="L34:M34"/>
    <mergeCell ref="A29:A32"/>
    <mergeCell ref="B29:D29"/>
    <mergeCell ref="F29:G29"/>
    <mergeCell ref="H29:I29"/>
    <mergeCell ref="J29:K29"/>
    <mergeCell ref="L29:M29"/>
    <mergeCell ref="F30:G30"/>
    <mergeCell ref="H30:I30"/>
    <mergeCell ref="J30:K30"/>
    <mergeCell ref="L30:M30"/>
    <mergeCell ref="B31:D31"/>
    <mergeCell ref="F31:G31"/>
    <mergeCell ref="H31:I31"/>
    <mergeCell ref="J31:K31"/>
    <mergeCell ref="L31:M31"/>
    <mergeCell ref="F32:G32"/>
    <mergeCell ref="H32:I32"/>
    <mergeCell ref="J32:K32"/>
    <mergeCell ref="L32:M32"/>
    <mergeCell ref="A25:A28"/>
    <mergeCell ref="B25:D25"/>
    <mergeCell ref="F25:G25"/>
    <mergeCell ref="H25:I25"/>
    <mergeCell ref="J25:K25"/>
    <mergeCell ref="L25:M25"/>
    <mergeCell ref="F26:G26"/>
    <mergeCell ref="H26:I26"/>
    <mergeCell ref="J26:K26"/>
    <mergeCell ref="L26:M26"/>
    <mergeCell ref="B27:D27"/>
    <mergeCell ref="F27:G27"/>
    <mergeCell ref="H27:I27"/>
    <mergeCell ref="J27:K27"/>
    <mergeCell ref="L27:M27"/>
    <mergeCell ref="F28:G28"/>
    <mergeCell ref="H28:I28"/>
    <mergeCell ref="J28:K28"/>
    <mergeCell ref="L28:M28"/>
    <mergeCell ref="A23:D23"/>
    <mergeCell ref="F23:G23"/>
    <mergeCell ref="H23:I23"/>
    <mergeCell ref="J23:K23"/>
    <mergeCell ref="L23:M23"/>
    <mergeCell ref="B24:C24"/>
    <mergeCell ref="F24:G24"/>
    <mergeCell ref="H24:I24"/>
    <mergeCell ref="J24:K24"/>
    <mergeCell ref="L24:M24"/>
    <mergeCell ref="A21:D21"/>
    <mergeCell ref="F21:G21"/>
    <mergeCell ref="H21:I21"/>
    <mergeCell ref="J21:K21"/>
    <mergeCell ref="L21:M21"/>
    <mergeCell ref="B22:C22"/>
    <mergeCell ref="F22:G22"/>
    <mergeCell ref="H22:I22"/>
    <mergeCell ref="J22:K22"/>
    <mergeCell ref="L22:M22"/>
    <mergeCell ref="A19:B20"/>
    <mergeCell ref="C19:C20"/>
    <mergeCell ref="D19:D20"/>
    <mergeCell ref="F19:G19"/>
    <mergeCell ref="H19:I19"/>
    <mergeCell ref="J19:K19"/>
    <mergeCell ref="L19:M19"/>
    <mergeCell ref="B17:B18"/>
    <mergeCell ref="C17:C18"/>
    <mergeCell ref="D17:D18"/>
    <mergeCell ref="E17:E18"/>
    <mergeCell ref="F17:G18"/>
    <mergeCell ref="H17:I18"/>
    <mergeCell ref="F20:G20"/>
    <mergeCell ref="H20:I20"/>
    <mergeCell ref="J20:K20"/>
    <mergeCell ref="L20:M20"/>
    <mergeCell ref="N12:O12"/>
    <mergeCell ref="N13:O13"/>
    <mergeCell ref="A14:O14"/>
    <mergeCell ref="A15:A16"/>
    <mergeCell ref="B15:D16"/>
    <mergeCell ref="E15:G16"/>
    <mergeCell ref="H15:K16"/>
    <mergeCell ref="L15:M18"/>
    <mergeCell ref="N15:O16"/>
    <mergeCell ref="A17:A18"/>
    <mergeCell ref="J17:K18"/>
    <mergeCell ref="N17:N18"/>
    <mergeCell ref="O17:O18"/>
    <mergeCell ref="A7:O8"/>
    <mergeCell ref="A9:H9"/>
    <mergeCell ref="I9:K9"/>
    <mergeCell ref="L9:O9"/>
    <mergeCell ref="A10:O10"/>
    <mergeCell ref="A11:N11"/>
    <mergeCell ref="L4:M4"/>
    <mergeCell ref="N4:O4"/>
    <mergeCell ref="A5:O5"/>
    <mergeCell ref="B6:E6"/>
    <mergeCell ref="F6:J6"/>
    <mergeCell ref="K6:O6"/>
    <mergeCell ref="B1:K1"/>
    <mergeCell ref="L1:M1"/>
    <mergeCell ref="N1:O1"/>
    <mergeCell ref="A2:A4"/>
    <mergeCell ref="B2:K3"/>
    <mergeCell ref="L2:M2"/>
    <mergeCell ref="N2:O2"/>
    <mergeCell ref="L3:M3"/>
    <mergeCell ref="N3:O3"/>
    <mergeCell ref="B4:K4"/>
  </mergeCells>
  <printOptions horizontalCentered="1"/>
  <pageMargins left="7.874015748031496E-2" right="0" top="0.74803149606299213" bottom="0.55118110236220474" header="0.31496062992125984" footer="0.31496062992125984"/>
  <pageSetup paperSize="9" scale="95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W35"/>
  <sheetViews>
    <sheetView topLeftCell="A15" workbookViewId="0">
      <selection activeCell="A7" sqref="A7:O8"/>
    </sheetView>
  </sheetViews>
  <sheetFormatPr baseColWidth="10" defaultRowHeight="15" x14ac:dyDescent="0.25"/>
  <cols>
    <col min="1" max="1" width="14.140625" customWidth="1"/>
    <col min="2" max="2" width="8.85546875" customWidth="1"/>
    <col min="3" max="4" width="7.7109375" customWidth="1"/>
    <col min="5" max="5" width="8.7109375" customWidth="1"/>
    <col min="6" max="6" width="8.140625" customWidth="1"/>
    <col min="7" max="7" width="7.7109375" customWidth="1"/>
    <col min="8" max="8" width="8.140625" customWidth="1"/>
    <col min="9" max="9" width="7.28515625" customWidth="1"/>
    <col min="10" max="10" width="8.28515625" customWidth="1"/>
    <col min="11" max="11" width="8" customWidth="1"/>
    <col min="12" max="12" width="7.28515625" customWidth="1"/>
    <col min="13" max="13" width="8.28515625" customWidth="1"/>
    <col min="14" max="14" width="5.7109375" customWidth="1"/>
    <col min="15" max="15" width="9.140625" customWidth="1"/>
    <col min="16" max="16" width="5.7109375" customWidth="1"/>
    <col min="17" max="17" width="8.85546875" customWidth="1"/>
  </cols>
  <sheetData>
    <row r="1" spans="1:15" x14ac:dyDescent="0.25">
      <c r="A1" s="318"/>
      <c r="B1" s="831" t="s">
        <v>262</v>
      </c>
      <c r="C1" s="832"/>
      <c r="D1" s="832"/>
      <c r="E1" s="832"/>
      <c r="F1" s="832"/>
      <c r="G1" s="832"/>
      <c r="H1" s="832"/>
      <c r="I1" s="832"/>
      <c r="J1" s="832"/>
      <c r="K1" s="832"/>
      <c r="L1" s="667" t="s">
        <v>216</v>
      </c>
      <c r="M1" s="668"/>
      <c r="N1" s="669" t="s">
        <v>217</v>
      </c>
      <c r="O1" s="670"/>
    </row>
    <row r="2" spans="1:15" x14ac:dyDescent="0.25">
      <c r="A2" s="671" t="s">
        <v>189</v>
      </c>
      <c r="B2" s="673" t="s">
        <v>304</v>
      </c>
      <c r="C2" s="674"/>
      <c r="D2" s="674"/>
      <c r="E2" s="674"/>
      <c r="F2" s="674"/>
      <c r="G2" s="674"/>
      <c r="H2" s="674"/>
      <c r="I2" s="674"/>
      <c r="J2" s="674"/>
      <c r="K2" s="674"/>
      <c r="L2" s="632" t="s">
        <v>218</v>
      </c>
      <c r="M2" s="735"/>
      <c r="N2" s="736" t="s">
        <v>219</v>
      </c>
      <c r="O2" s="736"/>
    </row>
    <row r="3" spans="1:15" x14ac:dyDescent="0.25">
      <c r="A3" s="671"/>
      <c r="B3" s="673"/>
      <c r="C3" s="674"/>
      <c r="D3" s="674"/>
      <c r="E3" s="674"/>
      <c r="F3" s="674"/>
      <c r="G3" s="674"/>
      <c r="H3" s="674"/>
      <c r="I3" s="674"/>
      <c r="J3" s="674"/>
      <c r="K3" s="674"/>
      <c r="L3" s="632" t="s">
        <v>220</v>
      </c>
      <c r="M3" s="735"/>
      <c r="N3" s="736" t="s">
        <v>221</v>
      </c>
      <c r="O3" s="736"/>
    </row>
    <row r="4" spans="1:15" ht="15.75" thickBot="1" x14ac:dyDescent="0.3">
      <c r="A4" s="672"/>
      <c r="B4" s="833" t="s">
        <v>263</v>
      </c>
      <c r="C4" s="834"/>
      <c r="D4" s="834"/>
      <c r="E4" s="834"/>
      <c r="F4" s="834"/>
      <c r="G4" s="834"/>
      <c r="H4" s="834"/>
      <c r="I4" s="834"/>
      <c r="J4" s="834"/>
      <c r="K4" s="834"/>
      <c r="L4" s="738" t="s">
        <v>223</v>
      </c>
      <c r="M4" s="739"/>
      <c r="N4" s="740" t="s">
        <v>224</v>
      </c>
      <c r="O4" s="741"/>
    </row>
    <row r="5" spans="1:15" x14ac:dyDescent="0.25">
      <c r="A5" s="742"/>
      <c r="B5" s="742"/>
      <c r="C5" s="742"/>
      <c r="D5" s="742"/>
      <c r="E5" s="742"/>
      <c r="F5" s="742"/>
      <c r="G5" s="742"/>
      <c r="H5" s="742"/>
      <c r="I5" s="742"/>
      <c r="J5" s="742"/>
      <c r="K5" s="742"/>
      <c r="L5" s="742"/>
      <c r="M5" s="742"/>
      <c r="N5" s="742"/>
      <c r="O5" s="742"/>
    </row>
    <row r="6" spans="1:15" x14ac:dyDescent="0.25">
      <c r="A6" s="336" t="s">
        <v>193</v>
      </c>
      <c r="B6" s="680">
        <f>'Granulo P1'!B6:E6</f>
        <v>43811</v>
      </c>
      <c r="C6" s="681"/>
      <c r="D6" s="681"/>
      <c r="E6" s="681"/>
      <c r="F6" s="681"/>
      <c r="G6" s="835" t="s">
        <v>194</v>
      </c>
      <c r="H6" s="835"/>
      <c r="I6" s="835"/>
      <c r="J6" s="835"/>
      <c r="K6" s="835"/>
      <c r="L6" s="681" t="str">
        <f>'Granulo P1'!K6</f>
        <v>Sable  Jaune - Puit 2-4ème coucher</v>
      </c>
      <c r="M6" s="681"/>
      <c r="N6" s="681"/>
      <c r="O6" s="589"/>
    </row>
    <row r="7" spans="1:15" ht="13.9" customHeight="1" x14ac:dyDescent="0.25">
      <c r="A7" s="684"/>
      <c r="B7" s="684"/>
      <c r="C7" s="684"/>
      <c r="D7" s="684"/>
      <c r="E7" s="684"/>
      <c r="F7" s="684"/>
      <c r="G7" s="684"/>
      <c r="H7" s="684"/>
      <c r="I7" s="684"/>
      <c r="J7" s="684"/>
      <c r="K7" s="684"/>
      <c r="L7" s="684"/>
      <c r="M7" s="684"/>
      <c r="N7" s="684"/>
      <c r="O7" s="684"/>
    </row>
    <row r="8" spans="1:15" ht="4.1500000000000004" hidden="1" customHeight="1" x14ac:dyDescent="0.25">
      <c r="A8" s="685"/>
      <c r="B8" s="685"/>
      <c r="C8" s="685"/>
      <c r="D8" s="685"/>
      <c r="E8" s="685"/>
      <c r="F8" s="685"/>
      <c r="G8" s="685"/>
      <c r="H8" s="685"/>
      <c r="I8" s="685"/>
      <c r="J8" s="685"/>
      <c r="K8" s="685"/>
      <c r="L8" s="685"/>
      <c r="M8" s="685"/>
      <c r="N8" s="685"/>
      <c r="O8" s="685"/>
    </row>
    <row r="9" spans="1:15" x14ac:dyDescent="0.25">
      <c r="A9" s="686" t="s">
        <v>195</v>
      </c>
      <c r="B9" s="687"/>
      <c r="C9" s="687"/>
      <c r="D9" s="687"/>
      <c r="E9" s="687"/>
      <c r="F9" s="687"/>
      <c r="G9" s="687"/>
      <c r="H9" s="687"/>
      <c r="I9" s="685"/>
      <c r="J9" s="685"/>
      <c r="K9" s="685"/>
      <c r="L9" s="685"/>
      <c r="M9" s="685"/>
      <c r="N9" s="685"/>
      <c r="O9" s="685"/>
    </row>
    <row r="10" spans="1:15" ht="7.15" customHeight="1" x14ac:dyDescent="0.25">
      <c r="A10" s="700"/>
      <c r="B10" s="700"/>
      <c r="C10" s="700"/>
      <c r="D10" s="700"/>
      <c r="E10" s="700"/>
      <c r="F10" s="700"/>
      <c r="G10" s="700"/>
      <c r="H10" s="700"/>
      <c r="I10" s="700"/>
      <c r="J10" s="700"/>
      <c r="K10" s="700"/>
      <c r="L10" s="700"/>
      <c r="M10" s="700"/>
      <c r="N10" s="700"/>
      <c r="O10" s="700"/>
    </row>
    <row r="11" spans="1:15" ht="3.6" hidden="1" customHeight="1" x14ac:dyDescent="0.25">
      <c r="A11" s="700"/>
      <c r="B11" s="700"/>
      <c r="C11" s="700"/>
      <c r="D11" s="700"/>
      <c r="E11" s="700"/>
      <c r="F11" s="700"/>
      <c r="G11" s="700"/>
      <c r="H11" s="700"/>
      <c r="I11" s="700"/>
      <c r="J11" s="700"/>
      <c r="K11" s="700"/>
      <c r="L11" s="700"/>
      <c r="M11" s="700"/>
      <c r="N11" s="700"/>
      <c r="O11" s="340"/>
    </row>
    <row r="12" spans="1:15" ht="17.25" x14ac:dyDescent="0.3">
      <c r="A12" s="438" t="s">
        <v>287</v>
      </c>
      <c r="B12" s="439">
        <v>5</v>
      </c>
      <c r="C12" s="439" t="s">
        <v>197</v>
      </c>
      <c r="D12" s="439">
        <v>8</v>
      </c>
      <c r="E12" s="439">
        <v>10</v>
      </c>
      <c r="F12" s="439" t="s">
        <v>198</v>
      </c>
      <c r="G12" s="439">
        <v>16</v>
      </c>
      <c r="H12" s="439">
        <v>20</v>
      </c>
      <c r="I12" s="439">
        <v>25</v>
      </c>
      <c r="J12" s="439" t="s">
        <v>199</v>
      </c>
      <c r="K12" s="439">
        <v>40</v>
      </c>
      <c r="L12" s="439">
        <v>63</v>
      </c>
      <c r="M12" s="439">
        <v>80</v>
      </c>
      <c r="N12" s="745" t="s">
        <v>288</v>
      </c>
      <c r="O12" s="745"/>
    </row>
    <row r="13" spans="1:15" ht="17.25" x14ac:dyDescent="0.25">
      <c r="A13" s="440" t="s">
        <v>196</v>
      </c>
      <c r="B13" s="439" t="s">
        <v>200</v>
      </c>
      <c r="C13" s="439" t="s">
        <v>201</v>
      </c>
      <c r="D13" s="439" t="s">
        <v>202</v>
      </c>
      <c r="E13" s="439" t="s">
        <v>203</v>
      </c>
      <c r="F13" s="439" t="s">
        <v>204</v>
      </c>
      <c r="G13" s="439">
        <v>2</v>
      </c>
      <c r="H13" s="439">
        <v>3</v>
      </c>
      <c r="I13" s="439">
        <v>5</v>
      </c>
      <c r="J13" s="439">
        <v>8</v>
      </c>
      <c r="K13" s="439">
        <v>12</v>
      </c>
      <c r="L13" s="439">
        <v>30</v>
      </c>
      <c r="M13" s="439">
        <v>50</v>
      </c>
      <c r="N13" s="746" t="s">
        <v>289</v>
      </c>
      <c r="O13" s="746"/>
    </row>
    <row r="14" spans="1:15" x14ac:dyDescent="0.25">
      <c r="A14" s="340"/>
      <c r="B14" s="340"/>
      <c r="C14" s="340"/>
      <c r="D14" s="340"/>
      <c r="E14" s="340"/>
      <c r="F14" s="340"/>
      <c r="G14" s="340"/>
      <c r="H14" s="340"/>
      <c r="I14" s="340"/>
      <c r="J14" s="340"/>
      <c r="K14" s="340"/>
      <c r="L14" s="340"/>
      <c r="M14" s="340"/>
      <c r="N14" s="340"/>
      <c r="O14" s="340"/>
    </row>
    <row r="15" spans="1:15" x14ac:dyDescent="0.25">
      <c r="A15" s="340"/>
      <c r="B15" s="340"/>
      <c r="C15" s="340"/>
      <c r="D15" s="340"/>
      <c r="E15" s="340"/>
      <c r="F15" s="340"/>
      <c r="G15" s="340"/>
      <c r="H15" s="340"/>
      <c r="I15" s="340"/>
      <c r="J15" s="340"/>
      <c r="K15" s="340"/>
      <c r="L15" s="340"/>
      <c r="M15" s="340"/>
      <c r="N15" s="340"/>
      <c r="O15" s="340"/>
    </row>
    <row r="16" spans="1:15" x14ac:dyDescent="0.25">
      <c r="A16" s="340"/>
      <c r="B16" s="340"/>
      <c r="C16" s="340"/>
      <c r="D16" s="340"/>
      <c r="E16" s="340"/>
      <c r="F16" s="340"/>
      <c r="G16" s="340"/>
      <c r="H16" s="340"/>
      <c r="I16" s="340"/>
      <c r="J16" s="340"/>
      <c r="K16" s="340"/>
      <c r="L16" s="340"/>
      <c r="M16" s="340"/>
      <c r="N16" s="340"/>
      <c r="O16" s="340"/>
    </row>
    <row r="17" spans="1:23" x14ac:dyDescent="0.25">
      <c r="A17" s="340"/>
      <c r="B17" s="340"/>
      <c r="C17" s="340"/>
      <c r="D17" s="340"/>
      <c r="E17" s="340"/>
      <c r="F17" s="340"/>
      <c r="G17" s="340"/>
      <c r="H17" s="340"/>
      <c r="I17" s="340"/>
      <c r="J17" s="340"/>
      <c r="K17" s="340"/>
      <c r="L17" s="340"/>
      <c r="M17" s="340"/>
      <c r="N17" s="340"/>
      <c r="O17" s="340"/>
    </row>
    <row r="18" spans="1:23" ht="15.75" thickBot="1" x14ac:dyDescent="0.3">
      <c r="A18" s="340"/>
      <c r="B18" s="340"/>
      <c r="C18" s="340"/>
      <c r="D18" s="340"/>
      <c r="E18" s="340"/>
      <c r="F18" s="340"/>
      <c r="G18" s="340"/>
      <c r="H18" s="340"/>
      <c r="I18" s="340"/>
      <c r="J18" s="340"/>
      <c r="K18" s="340"/>
      <c r="L18" s="340"/>
      <c r="M18" s="340"/>
      <c r="N18" s="340"/>
      <c r="O18" s="340"/>
    </row>
    <row r="19" spans="1:23" x14ac:dyDescent="0.25">
      <c r="A19" s="340"/>
      <c r="B19" s="340"/>
      <c r="C19" s="340"/>
      <c r="D19" s="340"/>
      <c r="E19" s="340"/>
      <c r="F19" s="340"/>
      <c r="G19" s="340"/>
      <c r="H19" s="340"/>
      <c r="I19" s="340"/>
      <c r="J19" s="340"/>
      <c r="K19" s="340"/>
      <c r="L19" s="340"/>
      <c r="M19" s="340"/>
      <c r="N19" s="340"/>
      <c r="O19" s="340"/>
      <c r="T19" s="323">
        <v>40</v>
      </c>
      <c r="U19" s="468">
        <f>'Granulo P1'!O23</f>
        <v>100</v>
      </c>
    </row>
    <row r="20" spans="1:23" x14ac:dyDescent="0.25">
      <c r="A20" s="340"/>
      <c r="B20" s="340"/>
      <c r="C20" s="340"/>
      <c r="D20" s="340"/>
      <c r="E20" s="340"/>
      <c r="F20" s="340"/>
      <c r="G20" s="340"/>
      <c r="H20" s="340"/>
      <c r="I20" s="340"/>
      <c r="J20" s="340"/>
      <c r="K20" s="340"/>
      <c r="L20" s="340"/>
      <c r="M20" s="340"/>
      <c r="N20" s="340"/>
      <c r="O20" s="340"/>
      <c r="T20" s="324">
        <v>31.5</v>
      </c>
      <c r="U20" s="446">
        <f>'Granulo P1'!O24</f>
        <v>100</v>
      </c>
    </row>
    <row r="21" spans="1:23" x14ac:dyDescent="0.25">
      <c r="A21" s="340"/>
      <c r="B21" s="340"/>
      <c r="C21" s="340"/>
      <c r="D21" s="340"/>
      <c r="E21" s="340"/>
      <c r="F21" s="340"/>
      <c r="G21" s="340"/>
      <c r="H21" s="340"/>
      <c r="I21" s="340"/>
      <c r="J21" s="340"/>
      <c r="K21" s="340"/>
      <c r="L21" s="340"/>
      <c r="M21" s="340"/>
      <c r="N21" s="340"/>
      <c r="O21" s="340"/>
      <c r="T21" s="324">
        <v>20</v>
      </c>
      <c r="U21" s="446">
        <f>'Granulo P1'!O26</f>
        <v>100</v>
      </c>
    </row>
    <row r="22" spans="1:23" x14ac:dyDescent="0.25">
      <c r="A22" s="340"/>
      <c r="B22" s="340"/>
      <c r="C22" s="340"/>
      <c r="D22" s="340"/>
      <c r="E22" s="340"/>
      <c r="F22" s="340"/>
      <c r="G22" s="340"/>
      <c r="H22" s="340"/>
      <c r="I22" s="340"/>
      <c r="J22" s="340"/>
      <c r="K22" s="340"/>
      <c r="L22" s="340"/>
      <c r="M22" s="340"/>
      <c r="N22" s="340"/>
      <c r="O22" s="340"/>
      <c r="T22" s="324">
        <v>10</v>
      </c>
      <c r="U22" s="446">
        <f>'Granulo P1'!O29</f>
        <v>100</v>
      </c>
    </row>
    <row r="23" spans="1:23" x14ac:dyDescent="0.25">
      <c r="A23" s="340"/>
      <c r="B23" s="340"/>
      <c r="C23" s="340"/>
      <c r="D23" s="340"/>
      <c r="E23" s="340"/>
      <c r="F23" s="340"/>
      <c r="G23" s="340"/>
      <c r="H23" s="340"/>
      <c r="I23" s="340"/>
      <c r="J23" s="340"/>
      <c r="K23" s="340"/>
      <c r="L23" s="340"/>
      <c r="M23" s="340"/>
      <c r="N23" s="340"/>
      <c r="O23" s="340"/>
      <c r="T23" s="324">
        <v>5</v>
      </c>
      <c r="U23" s="446">
        <f>'Granulo P1'!O32</f>
        <v>99.533333333333331</v>
      </c>
    </row>
    <row r="24" spans="1:23" x14ac:dyDescent="0.25">
      <c r="A24" s="340"/>
      <c r="B24" s="340"/>
      <c r="C24" s="340"/>
      <c r="D24" s="340"/>
      <c r="E24" s="340"/>
      <c r="F24" s="340"/>
      <c r="G24" s="340"/>
      <c r="H24" s="340"/>
      <c r="I24" s="340"/>
      <c r="J24" s="340"/>
      <c r="K24" s="340"/>
      <c r="L24" s="340"/>
      <c r="M24" s="340"/>
      <c r="N24" s="340"/>
      <c r="O24" s="340"/>
      <c r="T24" s="324">
        <v>2</v>
      </c>
      <c r="U24" s="446">
        <f>'Granulo P1'!O36</f>
        <v>99.033333333333331</v>
      </c>
    </row>
    <row r="25" spans="1:23" x14ac:dyDescent="0.25">
      <c r="A25" s="340"/>
      <c r="B25" s="340"/>
      <c r="C25" s="340"/>
      <c r="D25" s="340"/>
      <c r="E25" s="340"/>
      <c r="F25" s="340"/>
      <c r="G25" s="340"/>
      <c r="H25" s="340"/>
      <c r="I25" s="340"/>
      <c r="J25" s="340"/>
      <c r="K25" s="340"/>
      <c r="L25" s="340"/>
      <c r="M25" s="340"/>
      <c r="N25" s="340"/>
      <c r="O25" s="340"/>
      <c r="T25" s="324">
        <v>1</v>
      </c>
      <c r="U25" s="446">
        <f>'Granulo P1'!O39</f>
        <v>98.033333333333331</v>
      </c>
      <c r="W25" s="446">
        <v>99.9</v>
      </c>
    </row>
    <row r="26" spans="1:23" x14ac:dyDescent="0.25">
      <c r="A26" s="340"/>
      <c r="B26" s="340"/>
      <c r="C26" s="340"/>
      <c r="D26" s="340"/>
      <c r="E26" s="340"/>
      <c r="F26" s="340"/>
      <c r="G26" s="340"/>
      <c r="H26" s="340"/>
      <c r="I26" s="340"/>
      <c r="J26" s="340"/>
      <c r="K26" s="340"/>
      <c r="L26" s="340"/>
      <c r="M26" s="340"/>
      <c r="N26" s="340"/>
      <c r="O26" s="340"/>
      <c r="T26" s="324">
        <v>0.4</v>
      </c>
      <c r="U26" s="446">
        <f>'Granulo P1'!O43</f>
        <v>88.666666666666671</v>
      </c>
      <c r="W26" s="446">
        <v>83.633333333333326</v>
      </c>
    </row>
    <row r="27" spans="1:23" x14ac:dyDescent="0.25">
      <c r="A27" s="340"/>
      <c r="B27" s="340"/>
      <c r="C27" s="340"/>
      <c r="D27" s="340"/>
      <c r="E27" s="340"/>
      <c r="F27" s="340"/>
      <c r="G27" s="340"/>
      <c r="H27" s="340"/>
      <c r="I27" s="340"/>
      <c r="J27" s="340"/>
      <c r="K27" s="340"/>
      <c r="L27" s="340"/>
      <c r="M27" s="340"/>
      <c r="N27" s="340"/>
      <c r="O27" s="340"/>
      <c r="T27" s="324">
        <v>0.2</v>
      </c>
      <c r="U27" s="446">
        <f>'Granulo P1'!O46</f>
        <v>70.233333333333334</v>
      </c>
      <c r="W27" s="446">
        <v>41.6</v>
      </c>
    </row>
    <row r="28" spans="1:23" x14ac:dyDescent="0.25">
      <c r="A28" s="340"/>
      <c r="B28" s="340"/>
      <c r="C28" s="340"/>
      <c r="D28" s="340"/>
      <c r="E28" s="340"/>
      <c r="F28" s="340"/>
      <c r="G28" s="340"/>
      <c r="H28" s="340"/>
      <c r="I28" s="340"/>
      <c r="J28" s="340"/>
      <c r="K28" s="340"/>
      <c r="L28" s="340"/>
      <c r="M28" s="340"/>
      <c r="N28" s="340"/>
      <c r="O28" s="340"/>
      <c r="T28" s="324">
        <v>0.1</v>
      </c>
      <c r="U28" s="446">
        <f>'Granulo P1'!O49</f>
        <v>28.833333333333329</v>
      </c>
      <c r="W28" s="446">
        <v>11.966666666666654</v>
      </c>
    </row>
    <row r="29" spans="1:23" ht="15.75" thickBot="1" x14ac:dyDescent="0.3">
      <c r="A29" s="340"/>
      <c r="B29" s="340"/>
      <c r="C29" s="340"/>
      <c r="D29" s="340"/>
      <c r="E29" s="340"/>
      <c r="F29" s="340"/>
      <c r="G29" s="340"/>
      <c r="H29" s="340"/>
      <c r="I29" s="340"/>
      <c r="J29" s="340"/>
      <c r="K29" s="340"/>
      <c r="L29" s="340"/>
      <c r="M29" s="340"/>
      <c r="N29" s="340"/>
      <c r="O29" s="340"/>
      <c r="T29" s="325">
        <v>0.08</v>
      </c>
      <c r="U29" s="446">
        <f>'Granulo P1'!O50</f>
        <v>25.233333333333334</v>
      </c>
      <c r="W29" s="446">
        <v>8.0333333333333314</v>
      </c>
    </row>
    <row r="30" spans="1:23" x14ac:dyDescent="0.25">
      <c r="A30" s="340"/>
      <c r="B30" s="340"/>
      <c r="C30" s="340"/>
      <c r="D30" s="340"/>
      <c r="E30" s="340"/>
      <c r="F30" s="340"/>
      <c r="G30" s="340"/>
      <c r="H30" s="340"/>
      <c r="I30" s="340"/>
      <c r="J30" s="340"/>
      <c r="K30" s="340"/>
      <c r="L30" s="340"/>
      <c r="M30" s="340"/>
      <c r="N30" s="340"/>
      <c r="O30" s="340"/>
      <c r="T30" s="181"/>
      <c r="U30" s="181"/>
    </row>
    <row r="31" spans="1:23" x14ac:dyDescent="0.25">
      <c r="A31" s="340"/>
      <c r="B31" s="340"/>
      <c r="C31" s="340"/>
      <c r="D31" s="340"/>
      <c r="E31" s="340"/>
      <c r="F31" s="340"/>
      <c r="G31" s="340"/>
      <c r="H31" s="340"/>
      <c r="I31" s="340"/>
      <c r="J31" s="340"/>
      <c r="K31" s="340"/>
      <c r="L31" s="340"/>
      <c r="M31" s="340"/>
      <c r="N31" s="340"/>
      <c r="O31" s="340"/>
      <c r="T31" s="181"/>
      <c r="U31" s="181"/>
    </row>
    <row r="32" spans="1:23" x14ac:dyDescent="0.25">
      <c r="A32" s="340"/>
      <c r="B32" s="340"/>
      <c r="C32" s="340"/>
      <c r="D32" s="340"/>
      <c r="E32" s="340"/>
      <c r="F32" s="340"/>
      <c r="G32" s="340"/>
      <c r="H32" s="340"/>
      <c r="I32" s="340"/>
      <c r="J32" s="340"/>
      <c r="K32" s="340"/>
      <c r="L32" s="340"/>
      <c r="M32" s="340"/>
      <c r="N32" s="340"/>
      <c r="O32" s="340"/>
      <c r="T32" s="181"/>
      <c r="U32" s="181"/>
    </row>
    <row r="33" spans="1:21" x14ac:dyDescent="0.25">
      <c r="A33" s="340"/>
      <c r="B33" s="340"/>
      <c r="C33" s="340"/>
      <c r="D33" s="340"/>
      <c r="E33" s="340"/>
      <c r="F33" s="340"/>
      <c r="G33" s="340"/>
      <c r="H33" s="340"/>
      <c r="I33" s="340"/>
      <c r="J33" s="340"/>
      <c r="K33" s="340"/>
      <c r="L33" s="340"/>
      <c r="M33" s="340"/>
      <c r="N33" s="340"/>
      <c r="O33" s="340"/>
      <c r="T33" s="181"/>
      <c r="U33" s="181"/>
    </row>
    <row r="34" spans="1:21" x14ac:dyDescent="0.25">
      <c r="A34" s="340"/>
      <c r="B34" s="340"/>
      <c r="C34" s="340"/>
      <c r="D34" s="340"/>
      <c r="E34" s="340"/>
      <c r="F34" s="340"/>
      <c r="G34" s="340"/>
      <c r="H34" s="340"/>
      <c r="I34" s="340"/>
      <c r="J34" s="340"/>
      <c r="K34" s="340"/>
      <c r="L34" s="340"/>
      <c r="M34" s="340"/>
      <c r="N34" s="340"/>
      <c r="O34" s="340"/>
    </row>
    <row r="35" spans="1:21" x14ac:dyDescent="0.25">
      <c r="A35" s="340"/>
      <c r="B35" s="340"/>
      <c r="C35" s="340"/>
      <c r="D35" s="340"/>
      <c r="E35" s="340"/>
      <c r="F35" s="340"/>
      <c r="G35" s="340"/>
      <c r="H35" s="340"/>
      <c r="I35" s="340"/>
      <c r="J35" s="340"/>
      <c r="K35" s="340"/>
      <c r="L35" s="340"/>
      <c r="M35" s="340"/>
      <c r="N35" s="340"/>
      <c r="O35" s="340"/>
    </row>
  </sheetData>
  <mergeCells count="23">
    <mergeCell ref="A5:O5"/>
    <mergeCell ref="B6:F6"/>
    <mergeCell ref="G6:K6"/>
    <mergeCell ref="L6:O6"/>
    <mergeCell ref="N13:O13"/>
    <mergeCell ref="A7:O8"/>
    <mergeCell ref="A9:H9"/>
    <mergeCell ref="I9:O9"/>
    <mergeCell ref="A10:O10"/>
    <mergeCell ref="A11:N11"/>
    <mergeCell ref="N12:O12"/>
    <mergeCell ref="B1:K1"/>
    <mergeCell ref="L1:M1"/>
    <mergeCell ref="N1:O1"/>
    <mergeCell ref="A2:A4"/>
    <mergeCell ref="B2:K3"/>
    <mergeCell ref="L2:M2"/>
    <mergeCell ref="N2:O2"/>
    <mergeCell ref="L3:M3"/>
    <mergeCell ref="N3:O3"/>
    <mergeCell ref="B4:K4"/>
    <mergeCell ref="L4:M4"/>
    <mergeCell ref="N4:O4"/>
  </mergeCells>
  <printOptions horizontalCentered="1"/>
  <pageMargins left="0.70866141732283472" right="0.70866141732283472" top="0.74803149606299213" bottom="0.74803149606299213" header="0.31496062992125984" footer="0.31496062992125984"/>
  <pageSetup paperSize="9" orientation="landscape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7"/>
  <sheetViews>
    <sheetView topLeftCell="A27" zoomScale="99" zoomScaleNormal="99" workbookViewId="0">
      <selection activeCell="K45" sqref="K45"/>
    </sheetView>
  </sheetViews>
  <sheetFormatPr baseColWidth="10" defaultRowHeight="15" x14ac:dyDescent="0.25"/>
  <cols>
    <col min="6" max="7" width="10.28515625" customWidth="1"/>
    <col min="8" max="9" width="9.42578125" customWidth="1"/>
  </cols>
  <sheetData>
    <row r="1" spans="1:9" x14ac:dyDescent="0.25">
      <c r="A1" s="667"/>
      <c r="B1" s="668"/>
      <c r="C1" s="668"/>
      <c r="D1" s="668"/>
      <c r="E1" s="668"/>
      <c r="F1" s="668"/>
      <c r="G1" s="668"/>
      <c r="H1" s="668"/>
      <c r="I1" s="901"/>
    </row>
    <row r="2" spans="1:9" x14ac:dyDescent="0.25">
      <c r="A2" s="632"/>
      <c r="B2" s="735"/>
      <c r="C2" s="735"/>
      <c r="D2" s="735"/>
      <c r="E2" s="735"/>
      <c r="F2" s="735"/>
      <c r="G2" s="735"/>
      <c r="H2" s="735"/>
      <c r="I2" s="902"/>
    </row>
    <row r="3" spans="1:9" x14ac:dyDescent="0.25">
      <c r="A3" s="632"/>
      <c r="B3" s="735"/>
      <c r="C3" s="735"/>
      <c r="D3" s="735"/>
      <c r="E3" s="735"/>
      <c r="F3" s="735"/>
      <c r="G3" s="735"/>
      <c r="H3" s="735"/>
      <c r="I3" s="902"/>
    </row>
    <row r="4" spans="1:9" x14ac:dyDescent="0.25">
      <c r="A4" s="632"/>
      <c r="B4" s="735"/>
      <c r="C4" s="735"/>
      <c r="D4" s="735"/>
      <c r="E4" s="735"/>
      <c r="F4" s="735"/>
      <c r="G4" s="735"/>
      <c r="H4" s="735"/>
      <c r="I4" s="902"/>
    </row>
    <row r="5" spans="1:9" x14ac:dyDescent="0.25">
      <c r="A5" s="632"/>
      <c r="B5" s="735"/>
      <c r="C5" s="735"/>
      <c r="D5" s="735"/>
      <c r="E5" s="735"/>
      <c r="F5" s="735"/>
      <c r="G5" s="735"/>
      <c r="H5" s="735"/>
      <c r="I5" s="902"/>
    </row>
    <row r="6" spans="1:9" x14ac:dyDescent="0.25">
      <c r="A6" s="632"/>
      <c r="B6" s="735"/>
      <c r="C6" s="735"/>
      <c r="D6" s="735"/>
      <c r="E6" s="735"/>
      <c r="F6" s="735"/>
      <c r="G6" s="735"/>
      <c r="H6" s="735"/>
      <c r="I6" s="902"/>
    </row>
    <row r="7" spans="1:9" x14ac:dyDescent="0.25">
      <c r="A7" s="632"/>
      <c r="B7" s="735"/>
      <c r="C7" s="735"/>
      <c r="D7" s="735"/>
      <c r="E7" s="735"/>
      <c r="F7" s="735"/>
      <c r="G7" s="735"/>
      <c r="H7" s="735"/>
      <c r="I7" s="902"/>
    </row>
    <row r="8" spans="1:9" x14ac:dyDescent="0.25">
      <c r="A8" s="632"/>
      <c r="B8" s="735"/>
      <c r="C8" s="735"/>
      <c r="D8" s="735"/>
      <c r="E8" s="735"/>
      <c r="F8" s="735"/>
      <c r="G8" s="735"/>
      <c r="H8" s="735"/>
      <c r="I8" s="902"/>
    </row>
    <row r="9" spans="1:9" x14ac:dyDescent="0.25">
      <c r="A9" s="632"/>
      <c r="B9" s="735"/>
      <c r="C9" s="735"/>
      <c r="D9" s="735"/>
      <c r="E9" s="735"/>
      <c r="F9" s="735"/>
      <c r="G9" s="735"/>
      <c r="H9" s="735"/>
      <c r="I9" s="902"/>
    </row>
    <row r="10" spans="1:9" x14ac:dyDescent="0.25">
      <c r="A10" s="632"/>
      <c r="B10" s="735"/>
      <c r="C10" s="735"/>
      <c r="D10" s="735"/>
      <c r="E10" s="735"/>
      <c r="F10" s="735"/>
      <c r="G10" s="735"/>
      <c r="H10" s="735"/>
      <c r="I10" s="902"/>
    </row>
    <row r="11" spans="1:9" ht="27" x14ac:dyDescent="0.5">
      <c r="A11" s="903" t="s">
        <v>343</v>
      </c>
      <c r="B11" s="904"/>
      <c r="C11" s="904"/>
      <c r="D11" s="904"/>
      <c r="E11" s="904"/>
      <c r="F11" s="904"/>
      <c r="G11" s="904"/>
      <c r="H11" s="904"/>
      <c r="I11" s="905"/>
    </row>
    <row r="12" spans="1:9" x14ac:dyDescent="0.25">
      <c r="A12" s="906"/>
      <c r="B12" s="907"/>
      <c r="C12" s="907"/>
      <c r="D12" s="907"/>
      <c r="E12" s="907"/>
      <c r="F12" s="907"/>
      <c r="G12" s="907"/>
      <c r="H12" s="907"/>
      <c r="I12" s="908"/>
    </row>
    <row r="13" spans="1:9" x14ac:dyDescent="0.25">
      <c r="A13" s="890"/>
      <c r="B13" s="891"/>
      <c r="C13" s="891"/>
      <c r="D13" s="891"/>
      <c r="E13" s="891"/>
      <c r="F13" s="891"/>
      <c r="G13" s="892" t="s">
        <v>361</v>
      </c>
      <c r="H13" s="892"/>
      <c r="I13" s="893"/>
    </row>
    <row r="14" spans="1:9" x14ac:dyDescent="0.25">
      <c r="A14" s="890"/>
      <c r="B14" s="891"/>
      <c r="C14" s="891"/>
      <c r="D14" s="891"/>
      <c r="E14" s="891"/>
      <c r="F14" s="891"/>
      <c r="G14" s="891"/>
      <c r="H14" s="891"/>
      <c r="I14" s="900"/>
    </row>
    <row r="15" spans="1:9" x14ac:dyDescent="0.25">
      <c r="A15" s="890"/>
      <c r="B15" s="891"/>
      <c r="C15" s="891"/>
      <c r="D15" s="891"/>
      <c r="E15" s="892" t="s">
        <v>360</v>
      </c>
      <c r="F15" s="892"/>
      <c r="G15" s="892"/>
      <c r="H15" s="892"/>
      <c r="I15" s="893"/>
    </row>
    <row r="16" spans="1:9" x14ac:dyDescent="0.25">
      <c r="A16" s="894" t="s">
        <v>359</v>
      </c>
      <c r="B16" s="895"/>
      <c r="C16" s="895"/>
      <c r="D16" s="895"/>
      <c r="E16" s="895"/>
      <c r="F16" s="895"/>
      <c r="G16" s="895"/>
      <c r="H16" s="895"/>
      <c r="I16" s="896"/>
    </row>
    <row r="17" spans="1:9" ht="31.9" customHeight="1" x14ac:dyDescent="0.25">
      <c r="A17" s="897" t="s">
        <v>344</v>
      </c>
      <c r="B17" s="898"/>
      <c r="C17" s="898"/>
      <c r="D17" s="898"/>
      <c r="E17" s="898"/>
      <c r="F17" s="899"/>
      <c r="G17" s="489">
        <v>6</v>
      </c>
      <c r="H17" s="490">
        <v>7</v>
      </c>
      <c r="I17" s="491"/>
    </row>
    <row r="18" spans="1:9" x14ac:dyDescent="0.25">
      <c r="A18" s="848" t="s">
        <v>345</v>
      </c>
      <c r="B18" s="849"/>
      <c r="C18" s="849"/>
      <c r="D18" s="849"/>
      <c r="E18" s="849"/>
      <c r="F18" s="850"/>
      <c r="G18" s="882">
        <v>268.3</v>
      </c>
      <c r="H18" s="882">
        <v>260.10000000000002</v>
      </c>
      <c r="I18" s="884"/>
    </row>
    <row r="19" spans="1:9" x14ac:dyDescent="0.25">
      <c r="A19" s="848"/>
      <c r="B19" s="849"/>
      <c r="C19" s="849"/>
      <c r="D19" s="849"/>
      <c r="E19" s="849"/>
      <c r="F19" s="850"/>
      <c r="G19" s="883"/>
      <c r="H19" s="883"/>
      <c r="I19" s="885"/>
    </row>
    <row r="20" spans="1:9" x14ac:dyDescent="0.25">
      <c r="A20" s="848" t="s">
        <v>346</v>
      </c>
      <c r="B20" s="849"/>
      <c r="C20" s="849"/>
      <c r="D20" s="849"/>
      <c r="E20" s="849"/>
      <c r="F20" s="850"/>
      <c r="G20" s="882">
        <v>530.20000000000005</v>
      </c>
      <c r="H20" s="882">
        <v>557.1</v>
      </c>
      <c r="I20" s="884"/>
    </row>
    <row r="21" spans="1:9" x14ac:dyDescent="0.25">
      <c r="A21" s="848"/>
      <c r="B21" s="849"/>
      <c r="C21" s="849"/>
      <c r="D21" s="849"/>
      <c r="E21" s="849"/>
      <c r="F21" s="850"/>
      <c r="G21" s="883"/>
      <c r="H21" s="883"/>
      <c r="I21" s="885"/>
    </row>
    <row r="22" spans="1:9" x14ac:dyDescent="0.25">
      <c r="A22" s="848" t="s">
        <v>347</v>
      </c>
      <c r="B22" s="849"/>
      <c r="C22" s="849"/>
      <c r="D22" s="849"/>
      <c r="E22" s="849"/>
      <c r="F22" s="850"/>
      <c r="G22" s="882">
        <v>960.1</v>
      </c>
      <c r="H22" s="882">
        <v>975.6</v>
      </c>
      <c r="I22" s="884"/>
    </row>
    <row r="23" spans="1:9" x14ac:dyDescent="0.25">
      <c r="A23" s="848"/>
      <c r="B23" s="849"/>
      <c r="C23" s="849"/>
      <c r="D23" s="849"/>
      <c r="E23" s="849"/>
      <c r="F23" s="850"/>
      <c r="G23" s="883"/>
      <c r="H23" s="883"/>
      <c r="I23" s="885"/>
    </row>
    <row r="24" spans="1:9" x14ac:dyDescent="0.25">
      <c r="A24" s="848" t="s">
        <v>348</v>
      </c>
      <c r="B24" s="849"/>
      <c r="C24" s="849"/>
      <c r="D24" s="849"/>
      <c r="E24" s="849"/>
      <c r="F24" s="850"/>
      <c r="G24" s="882">
        <v>799.8</v>
      </c>
      <c r="H24" s="882">
        <v>792.7</v>
      </c>
      <c r="I24" s="884"/>
    </row>
    <row r="25" spans="1:9" x14ac:dyDescent="0.25">
      <c r="A25" s="848"/>
      <c r="B25" s="849"/>
      <c r="C25" s="849"/>
      <c r="D25" s="849"/>
      <c r="E25" s="849"/>
      <c r="F25" s="850"/>
      <c r="G25" s="883"/>
      <c r="H25" s="883"/>
      <c r="I25" s="885"/>
    </row>
    <row r="26" spans="1:9" ht="31.9" customHeight="1" x14ac:dyDescent="0.25">
      <c r="A26" s="848"/>
      <c r="B26" s="849"/>
      <c r="C26" s="849"/>
      <c r="D26" s="849"/>
      <c r="E26" s="849"/>
      <c r="F26" s="850"/>
      <c r="G26" s="851"/>
      <c r="H26" s="852"/>
      <c r="I26" s="853"/>
    </row>
    <row r="27" spans="1:9" x14ac:dyDescent="0.25">
      <c r="A27" s="848"/>
      <c r="B27" s="849"/>
      <c r="C27" s="849"/>
      <c r="D27" s="849"/>
      <c r="E27" s="849"/>
      <c r="F27" s="850"/>
      <c r="G27" s="854"/>
      <c r="H27" s="855"/>
      <c r="I27" s="856"/>
    </row>
    <row r="28" spans="1:9" x14ac:dyDescent="0.25">
      <c r="A28" s="848" t="s">
        <v>349</v>
      </c>
      <c r="B28" s="849"/>
      <c r="C28" s="849"/>
      <c r="D28" s="849"/>
      <c r="E28" s="849"/>
      <c r="F28" s="850"/>
      <c r="G28" s="882">
        <f>G24-G18</f>
        <v>531.5</v>
      </c>
      <c r="H28" s="882">
        <f>H24-H18</f>
        <v>532.6</v>
      </c>
      <c r="I28" s="886"/>
    </row>
    <row r="29" spans="1:9" x14ac:dyDescent="0.25">
      <c r="A29" s="848"/>
      <c r="B29" s="849"/>
      <c r="C29" s="849"/>
      <c r="D29" s="849"/>
      <c r="E29" s="849"/>
      <c r="F29" s="850"/>
      <c r="G29" s="883"/>
      <c r="H29" s="883"/>
      <c r="I29" s="887"/>
    </row>
    <row r="30" spans="1:9" x14ac:dyDescent="0.25">
      <c r="A30" s="848" t="s">
        <v>350</v>
      </c>
      <c r="B30" s="849"/>
      <c r="C30" s="849"/>
      <c r="D30" s="849"/>
      <c r="E30" s="849"/>
      <c r="F30" s="850"/>
      <c r="G30" s="882">
        <f>G20-G18</f>
        <v>261.90000000000003</v>
      </c>
      <c r="H30" s="888">
        <f>H20-H18</f>
        <v>297</v>
      </c>
      <c r="I30" s="884"/>
    </row>
    <row r="31" spans="1:9" x14ac:dyDescent="0.25">
      <c r="A31" s="848"/>
      <c r="B31" s="849"/>
      <c r="C31" s="849"/>
      <c r="D31" s="849"/>
      <c r="E31" s="849"/>
      <c r="F31" s="850"/>
      <c r="G31" s="883"/>
      <c r="H31" s="889"/>
      <c r="I31" s="885"/>
    </row>
    <row r="32" spans="1:9" x14ac:dyDescent="0.25">
      <c r="A32" s="848" t="s">
        <v>351</v>
      </c>
      <c r="B32" s="849"/>
      <c r="C32" s="849"/>
      <c r="D32" s="849"/>
      <c r="E32" s="849"/>
      <c r="F32" s="850"/>
      <c r="G32" s="882">
        <f>G22-G20</f>
        <v>429.9</v>
      </c>
      <c r="H32" s="882">
        <f>H22-H20</f>
        <v>418.5</v>
      </c>
      <c r="I32" s="884"/>
    </row>
    <row r="33" spans="1:9" x14ac:dyDescent="0.25">
      <c r="A33" s="848"/>
      <c r="B33" s="849"/>
      <c r="C33" s="849"/>
      <c r="D33" s="849"/>
      <c r="E33" s="849"/>
      <c r="F33" s="850"/>
      <c r="G33" s="883"/>
      <c r="H33" s="883"/>
      <c r="I33" s="885"/>
    </row>
    <row r="34" spans="1:9" x14ac:dyDescent="0.25">
      <c r="A34" s="848" t="s">
        <v>352</v>
      </c>
      <c r="B34" s="849"/>
      <c r="C34" s="849"/>
      <c r="D34" s="849"/>
      <c r="E34" s="849"/>
      <c r="F34" s="850"/>
      <c r="G34" s="882">
        <f>G28-G32</f>
        <v>101.60000000000002</v>
      </c>
      <c r="H34" s="882">
        <f>H28-H32</f>
        <v>114.10000000000002</v>
      </c>
      <c r="I34" s="884"/>
    </row>
    <row r="35" spans="1:9" x14ac:dyDescent="0.25">
      <c r="A35" s="848"/>
      <c r="B35" s="849"/>
      <c r="C35" s="849"/>
      <c r="D35" s="849"/>
      <c r="E35" s="849"/>
      <c r="F35" s="850"/>
      <c r="G35" s="883"/>
      <c r="H35" s="883"/>
      <c r="I35" s="885"/>
    </row>
    <row r="36" spans="1:9" ht="38.450000000000003" customHeight="1" x14ac:dyDescent="0.25">
      <c r="A36" s="848" t="s">
        <v>353</v>
      </c>
      <c r="B36" s="849"/>
      <c r="C36" s="849"/>
      <c r="D36" s="849"/>
      <c r="E36" s="849"/>
      <c r="F36" s="850"/>
      <c r="G36" s="851"/>
      <c r="H36" s="852"/>
      <c r="I36" s="853"/>
    </row>
    <row r="37" spans="1:9" x14ac:dyDescent="0.25">
      <c r="A37" s="848"/>
      <c r="B37" s="849"/>
      <c r="C37" s="849"/>
      <c r="D37" s="849"/>
      <c r="E37" s="849"/>
      <c r="F37" s="850"/>
      <c r="G37" s="854"/>
      <c r="H37" s="855"/>
      <c r="I37" s="856"/>
    </row>
    <row r="38" spans="1:9" x14ac:dyDescent="0.25">
      <c r="A38" s="857" t="s">
        <v>354</v>
      </c>
      <c r="B38" s="858"/>
      <c r="C38" s="858"/>
      <c r="D38" s="858"/>
      <c r="E38" s="858"/>
      <c r="F38" s="859"/>
      <c r="G38" s="860">
        <f>G30/G34</f>
        <v>2.5777559055118107</v>
      </c>
      <c r="H38" s="860">
        <f>H30/H34</f>
        <v>2.6029798422436454</v>
      </c>
      <c r="I38" s="862"/>
    </row>
    <row r="39" spans="1:9" x14ac:dyDescent="0.25">
      <c r="A39" s="857"/>
      <c r="B39" s="858"/>
      <c r="C39" s="858"/>
      <c r="D39" s="858"/>
      <c r="E39" s="858"/>
      <c r="F39" s="859"/>
      <c r="G39" s="861"/>
      <c r="H39" s="861"/>
      <c r="I39" s="863"/>
    </row>
    <row r="40" spans="1:9" ht="40.9" customHeight="1" x14ac:dyDescent="0.25">
      <c r="A40" s="848"/>
      <c r="B40" s="849"/>
      <c r="C40" s="849"/>
      <c r="D40" s="849"/>
      <c r="E40" s="849"/>
      <c r="F40" s="850"/>
      <c r="G40" s="851"/>
      <c r="H40" s="852"/>
      <c r="I40" s="853"/>
    </row>
    <row r="41" spans="1:9" x14ac:dyDescent="0.25">
      <c r="A41" s="848"/>
      <c r="B41" s="849"/>
      <c r="C41" s="849"/>
      <c r="D41" s="849"/>
      <c r="E41" s="849"/>
      <c r="F41" s="850"/>
      <c r="G41" s="854"/>
      <c r="H41" s="855"/>
      <c r="I41" s="856"/>
    </row>
    <row r="42" spans="1:9" x14ac:dyDescent="0.25">
      <c r="A42" s="864" t="s">
        <v>355</v>
      </c>
      <c r="B42" s="865"/>
      <c r="C42" s="865"/>
      <c r="D42" s="865"/>
      <c r="E42" s="865"/>
      <c r="F42" s="866"/>
      <c r="G42" s="870">
        <f>AVERAGE(G38,H38,I38)</f>
        <v>2.590367873877728</v>
      </c>
      <c r="H42" s="871"/>
      <c r="I42" s="872"/>
    </row>
    <row r="43" spans="1:9" x14ac:dyDescent="0.25">
      <c r="A43" s="867"/>
      <c r="B43" s="868"/>
      <c r="C43" s="868"/>
      <c r="D43" s="868"/>
      <c r="E43" s="868"/>
      <c r="F43" s="869"/>
      <c r="G43" s="873"/>
      <c r="H43" s="874"/>
      <c r="I43" s="875"/>
    </row>
    <row r="44" spans="1:9" x14ac:dyDescent="0.25">
      <c r="A44" s="876" t="s">
        <v>356</v>
      </c>
      <c r="B44" s="877"/>
      <c r="C44" s="877"/>
      <c r="D44" s="877"/>
      <c r="E44" s="877"/>
      <c r="F44" s="877"/>
      <c r="G44" s="877"/>
      <c r="H44" s="877"/>
      <c r="I44" s="878"/>
    </row>
    <row r="45" spans="1:9" ht="19.149999999999999" customHeight="1" thickBot="1" x14ac:dyDescent="0.3">
      <c r="A45" s="879"/>
      <c r="B45" s="880"/>
      <c r="C45" s="880"/>
      <c r="D45" s="880"/>
      <c r="E45" s="880"/>
      <c r="F45" s="880"/>
      <c r="G45" s="880"/>
      <c r="H45" s="880"/>
      <c r="I45" s="881"/>
    </row>
    <row r="46" spans="1:9" ht="14.45" customHeight="1" x14ac:dyDescent="0.25">
      <c r="A46" s="836" t="s">
        <v>357</v>
      </c>
      <c r="B46" s="837"/>
      <c r="C46" s="837"/>
      <c r="D46" s="838"/>
      <c r="E46" s="842" t="s">
        <v>358</v>
      </c>
      <c r="F46" s="843"/>
      <c r="G46" s="843"/>
      <c r="H46" s="843"/>
      <c r="I46" s="844"/>
    </row>
    <row r="47" spans="1:9" ht="36" customHeight="1" thickBot="1" x14ac:dyDescent="0.3">
      <c r="A47" s="839"/>
      <c r="B47" s="840"/>
      <c r="C47" s="840"/>
      <c r="D47" s="841"/>
      <c r="E47" s="845"/>
      <c r="F47" s="846"/>
      <c r="G47" s="846"/>
      <c r="H47" s="846"/>
      <c r="I47" s="847"/>
    </row>
  </sheetData>
  <mergeCells count="57">
    <mergeCell ref="A14:I14"/>
    <mergeCell ref="A1:I10"/>
    <mergeCell ref="A11:I11"/>
    <mergeCell ref="A12:I12"/>
    <mergeCell ref="A13:F13"/>
    <mergeCell ref="G13:I13"/>
    <mergeCell ref="A15:D15"/>
    <mergeCell ref="E15:I15"/>
    <mergeCell ref="A16:I16"/>
    <mergeCell ref="A17:F17"/>
    <mergeCell ref="A18:F19"/>
    <mergeCell ref="G18:G19"/>
    <mergeCell ref="H18:H19"/>
    <mergeCell ref="I18:I19"/>
    <mergeCell ref="A20:F21"/>
    <mergeCell ref="G20:G21"/>
    <mergeCell ref="H20:H21"/>
    <mergeCell ref="I20:I21"/>
    <mergeCell ref="A22:F23"/>
    <mergeCell ref="G22:G23"/>
    <mergeCell ref="H22:H23"/>
    <mergeCell ref="I22:I23"/>
    <mergeCell ref="A24:F25"/>
    <mergeCell ref="G24:G25"/>
    <mergeCell ref="H24:H25"/>
    <mergeCell ref="I24:I25"/>
    <mergeCell ref="A26:F27"/>
    <mergeCell ref="G26:I27"/>
    <mergeCell ref="A28:F29"/>
    <mergeCell ref="G28:G29"/>
    <mergeCell ref="H28:H29"/>
    <mergeCell ref="I28:I29"/>
    <mergeCell ref="A30:F31"/>
    <mergeCell ref="G30:G31"/>
    <mergeCell ref="H30:H31"/>
    <mergeCell ref="I30:I31"/>
    <mergeCell ref="A32:F33"/>
    <mergeCell ref="G32:G33"/>
    <mergeCell ref="H32:H33"/>
    <mergeCell ref="I32:I33"/>
    <mergeCell ref="A34:F35"/>
    <mergeCell ref="G34:G35"/>
    <mergeCell ref="H34:H35"/>
    <mergeCell ref="I34:I35"/>
    <mergeCell ref="A46:D47"/>
    <mergeCell ref="E46:I47"/>
    <mergeCell ref="A36:F37"/>
    <mergeCell ref="G36:I37"/>
    <mergeCell ref="A38:F39"/>
    <mergeCell ref="G38:G39"/>
    <mergeCell ref="H38:H39"/>
    <mergeCell ref="I38:I39"/>
    <mergeCell ref="A40:F41"/>
    <mergeCell ref="G40:I41"/>
    <mergeCell ref="A42:F43"/>
    <mergeCell ref="G42:I43"/>
    <mergeCell ref="A44:I45"/>
  </mergeCells>
  <pageMargins left="0.39370078740157483" right="0.19685039370078741" top="0.19685039370078741" bottom="0.19685039370078741" header="0.31496062992125984" footer="0.31496062992125984"/>
  <pageSetup paperSize="9"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59"/>
  <sheetViews>
    <sheetView topLeftCell="A29" zoomScale="166" zoomScaleNormal="166" workbookViewId="0">
      <selection activeCell="E43" sqref="E43"/>
    </sheetView>
  </sheetViews>
  <sheetFormatPr baseColWidth="10" defaultRowHeight="15" x14ac:dyDescent="0.25"/>
  <cols>
    <col min="1" max="1" width="20" customWidth="1"/>
    <col min="2" max="2" width="8.140625" customWidth="1"/>
    <col min="3" max="3" width="7.140625" customWidth="1"/>
    <col min="4" max="4" width="7.7109375" customWidth="1"/>
    <col min="5" max="5" width="6.7109375" customWidth="1"/>
    <col min="6" max="7" width="7.28515625" customWidth="1"/>
    <col min="8" max="8" width="8.7109375" customWidth="1"/>
    <col min="9" max="9" width="7.7109375" customWidth="1"/>
    <col min="10" max="10" width="7.85546875" customWidth="1"/>
    <col min="11" max="11" width="8.7109375" customWidth="1"/>
    <col min="19" max="19" width="11.140625" customWidth="1"/>
  </cols>
  <sheetData>
    <row r="1" spans="1:11" ht="15" customHeight="1" thickTop="1" x14ac:dyDescent="0.25">
      <c r="A1" s="912"/>
      <c r="B1" s="915" t="s">
        <v>0</v>
      </c>
      <c r="C1" s="916"/>
      <c r="D1" s="916"/>
      <c r="E1" s="916"/>
      <c r="F1" s="916"/>
      <c r="G1" s="916"/>
      <c r="H1" s="916"/>
      <c r="I1" s="916"/>
      <c r="J1" s="917" t="s">
        <v>49</v>
      </c>
      <c r="K1" s="918"/>
    </row>
    <row r="2" spans="1:11" x14ac:dyDescent="0.25">
      <c r="A2" s="913"/>
      <c r="B2" s="919" t="s">
        <v>1</v>
      </c>
      <c r="C2" s="920"/>
      <c r="D2" s="920"/>
      <c r="E2" s="920"/>
      <c r="F2" s="920"/>
      <c r="G2" s="920"/>
      <c r="H2" s="920"/>
      <c r="I2" s="921"/>
      <c r="J2" s="925" t="s">
        <v>50</v>
      </c>
      <c r="K2" s="926"/>
    </row>
    <row r="3" spans="1:11" ht="11.45" customHeight="1" thickBot="1" x14ac:dyDescent="0.3">
      <c r="A3" s="914"/>
      <c r="B3" s="922"/>
      <c r="C3" s="923"/>
      <c r="D3" s="923"/>
      <c r="E3" s="923"/>
      <c r="F3" s="923"/>
      <c r="G3" s="923"/>
      <c r="H3" s="923"/>
      <c r="I3" s="924"/>
      <c r="J3" s="927" t="s">
        <v>2</v>
      </c>
      <c r="K3" s="928"/>
    </row>
    <row r="4" spans="1:11" ht="4.9000000000000004" customHeight="1" thickTop="1" thickBot="1" x14ac:dyDescent="0.3">
      <c r="A4" s="22"/>
      <c r="B4" s="23"/>
      <c r="C4" s="23"/>
      <c r="D4" s="23"/>
      <c r="E4" s="23"/>
      <c r="F4" s="23"/>
      <c r="G4" s="23"/>
      <c r="H4" s="23"/>
      <c r="I4" s="23"/>
      <c r="J4" s="22"/>
      <c r="K4" s="22"/>
    </row>
    <row r="5" spans="1:11" ht="15.75" thickTop="1" x14ac:dyDescent="0.25">
      <c r="A5" s="929" t="s">
        <v>3</v>
      </c>
      <c r="B5" s="931" t="s">
        <v>4</v>
      </c>
      <c r="C5" s="932"/>
      <c r="D5" s="932"/>
      <c r="E5" s="932"/>
      <c r="F5" s="932"/>
      <c r="G5" s="932"/>
      <c r="H5" s="932"/>
      <c r="I5" s="932"/>
      <c r="J5" s="932"/>
      <c r="K5" s="933"/>
    </row>
    <row r="6" spans="1:11" ht="11.45" customHeight="1" x14ac:dyDescent="0.25">
      <c r="A6" s="930"/>
      <c r="B6" s="934" t="s">
        <v>5</v>
      </c>
      <c r="C6" s="849"/>
      <c r="D6" s="849"/>
      <c r="E6" s="849"/>
      <c r="F6" s="849"/>
      <c r="G6" s="849"/>
      <c r="H6" s="849"/>
      <c r="I6" s="849"/>
      <c r="J6" s="849"/>
      <c r="K6" s="935"/>
    </row>
    <row r="7" spans="1:11" ht="16.899999999999999" customHeight="1" thickBot="1" x14ac:dyDescent="0.3">
      <c r="A7" s="24"/>
      <c r="B7" s="936" t="s">
        <v>6</v>
      </c>
      <c r="C7" s="937"/>
      <c r="D7" s="937"/>
      <c r="E7" s="937"/>
      <c r="F7" s="937"/>
      <c r="G7" s="937"/>
      <c r="H7" s="937"/>
      <c r="I7" s="937"/>
      <c r="J7" s="937"/>
      <c r="K7" s="938"/>
    </row>
    <row r="8" spans="1:11" ht="2.4500000000000002" customHeight="1" thickTop="1" x14ac:dyDescent="0.25">
      <c r="A8" s="25"/>
      <c r="B8" s="56"/>
      <c r="C8" s="56"/>
      <c r="D8" s="56"/>
      <c r="E8" s="56"/>
      <c r="F8" s="56"/>
      <c r="G8" s="56"/>
      <c r="H8" s="56"/>
      <c r="I8" s="56"/>
      <c r="J8" s="22"/>
      <c r="K8" s="22"/>
    </row>
    <row r="9" spans="1:11" ht="2.4500000000000002" customHeight="1" thickBot="1" x14ac:dyDescent="0.3">
      <c r="A9" s="22"/>
      <c r="B9" s="23"/>
      <c r="C9" s="23"/>
      <c r="D9" s="23"/>
      <c r="E9" s="23"/>
      <c r="F9" s="23"/>
      <c r="G9" s="23"/>
      <c r="H9" s="23"/>
      <c r="I9" s="23"/>
      <c r="J9" s="22"/>
      <c r="K9" s="22"/>
    </row>
    <row r="10" spans="1:11" ht="13.15" customHeight="1" thickTop="1" x14ac:dyDescent="0.25">
      <c r="A10" s="939" t="s">
        <v>7</v>
      </c>
      <c r="B10" s="940"/>
      <c r="C10" s="940"/>
      <c r="D10" s="940"/>
      <c r="E10" s="940"/>
      <c r="F10" s="940"/>
      <c r="G10" s="940"/>
      <c r="H10" s="940"/>
      <c r="I10" s="940"/>
      <c r="J10" s="940"/>
      <c r="K10" s="941"/>
    </row>
    <row r="11" spans="1:11" x14ac:dyDescent="0.25">
      <c r="A11" s="909" t="s">
        <v>321</v>
      </c>
      <c r="B11" s="910"/>
      <c r="C11" s="910"/>
      <c r="D11" s="910"/>
      <c r="E11" s="910"/>
      <c r="F11" s="910"/>
      <c r="G11" s="910"/>
      <c r="H11" s="910"/>
      <c r="I11" s="910"/>
      <c r="J11" s="910"/>
      <c r="K11" s="911"/>
    </row>
    <row r="12" spans="1:11" ht="13.15" customHeight="1" x14ac:dyDescent="0.25">
      <c r="A12" s="909" t="s">
        <v>56</v>
      </c>
      <c r="B12" s="942"/>
      <c r="C12" s="942"/>
      <c r="D12" s="943"/>
      <c r="E12" s="944" t="s">
        <v>323</v>
      </c>
      <c r="F12" s="945"/>
      <c r="G12" s="945"/>
      <c r="H12" s="945"/>
      <c r="I12" s="945"/>
      <c r="J12" s="945"/>
      <c r="K12" s="946"/>
    </row>
    <row r="13" spans="1:11" ht="13.15" customHeight="1" x14ac:dyDescent="0.25">
      <c r="A13" s="909" t="s">
        <v>318</v>
      </c>
      <c r="B13" s="942"/>
      <c r="C13" s="942"/>
      <c r="D13" s="943"/>
      <c r="E13" s="944" t="s">
        <v>8</v>
      </c>
      <c r="F13" s="945"/>
      <c r="G13" s="945"/>
      <c r="H13" s="945"/>
      <c r="I13" s="945"/>
      <c r="J13" s="945"/>
      <c r="K13" s="946"/>
    </row>
    <row r="14" spans="1:11" ht="13.9" customHeight="1" x14ac:dyDescent="0.25">
      <c r="A14" s="909" t="s">
        <v>59</v>
      </c>
      <c r="B14" s="942"/>
      <c r="C14" s="942"/>
      <c r="D14" s="942"/>
      <c r="E14" s="947" t="s">
        <v>9</v>
      </c>
      <c r="F14" s="942"/>
      <c r="G14" s="942"/>
      <c r="H14" s="942"/>
      <c r="I14" s="942"/>
      <c r="J14" s="942"/>
      <c r="K14" s="948"/>
    </row>
    <row r="15" spans="1:11" ht="15.6" customHeight="1" thickBot="1" x14ac:dyDescent="0.3">
      <c r="A15" s="949" t="s">
        <v>324</v>
      </c>
      <c r="B15" s="950"/>
      <c r="C15" s="950"/>
      <c r="D15" s="950"/>
      <c r="E15" s="951" t="s">
        <v>306</v>
      </c>
      <c r="F15" s="950"/>
      <c r="G15" s="950"/>
      <c r="H15" s="950"/>
      <c r="I15" s="950"/>
      <c r="J15" s="950"/>
      <c r="K15" s="952"/>
    </row>
    <row r="16" spans="1:11" ht="4.9000000000000004" customHeight="1" thickTop="1" thickBot="1" x14ac:dyDescent="0.3">
      <c r="A16" s="22"/>
      <c r="B16" s="23"/>
      <c r="C16" s="23"/>
      <c r="D16" s="23"/>
      <c r="E16" s="23"/>
      <c r="F16" s="23"/>
      <c r="G16" s="23"/>
      <c r="H16" s="23"/>
      <c r="I16" s="23"/>
      <c r="J16" s="22"/>
      <c r="K16" s="22"/>
    </row>
    <row r="17" spans="1:11" ht="12.6" customHeight="1" thickTop="1" x14ac:dyDescent="0.25">
      <c r="A17" s="953" t="s">
        <v>10</v>
      </c>
      <c r="B17" s="26"/>
      <c r="C17" s="955" t="s">
        <v>11</v>
      </c>
      <c r="D17" s="940"/>
      <c r="E17" s="956"/>
      <c r="F17" s="27"/>
      <c r="G17" s="26"/>
      <c r="H17" s="957" t="s">
        <v>12</v>
      </c>
      <c r="I17" s="958"/>
      <c r="J17" s="959"/>
      <c r="K17" s="28" t="s">
        <v>13</v>
      </c>
    </row>
    <row r="18" spans="1:11" ht="13.9" customHeight="1" x14ac:dyDescent="0.25">
      <c r="A18" s="954"/>
      <c r="B18" s="29"/>
      <c r="C18" s="960" t="s">
        <v>14</v>
      </c>
      <c r="D18" s="961"/>
      <c r="E18" s="960" t="s">
        <v>15</v>
      </c>
      <c r="F18" s="961"/>
      <c r="G18" s="29"/>
      <c r="H18" s="962" t="s">
        <v>14</v>
      </c>
      <c r="I18" s="963"/>
      <c r="J18" s="962" t="s">
        <v>15</v>
      </c>
      <c r="K18" s="964"/>
    </row>
    <row r="19" spans="1:11" ht="12" customHeight="1" x14ac:dyDescent="0.25">
      <c r="A19" s="30" t="s">
        <v>16</v>
      </c>
      <c r="B19" s="1"/>
      <c r="C19" s="965" t="s">
        <v>51</v>
      </c>
      <c r="D19" s="966"/>
      <c r="E19" s="966"/>
      <c r="F19" s="967"/>
      <c r="G19" s="1"/>
      <c r="H19" s="968" t="s">
        <v>52</v>
      </c>
      <c r="I19" s="969"/>
      <c r="J19" s="969"/>
      <c r="K19" s="970"/>
    </row>
    <row r="20" spans="1:11" ht="13.15" customHeight="1" x14ac:dyDescent="0.25">
      <c r="A20" s="30" t="s">
        <v>17</v>
      </c>
      <c r="B20" s="1"/>
      <c r="C20" s="965" t="s">
        <v>18</v>
      </c>
      <c r="D20" s="966"/>
      <c r="E20" s="966"/>
      <c r="F20" s="967"/>
      <c r="G20" s="1"/>
      <c r="H20" s="968" t="s">
        <v>18</v>
      </c>
      <c r="I20" s="969"/>
      <c r="J20" s="969"/>
      <c r="K20" s="970"/>
    </row>
    <row r="21" spans="1:11" x14ac:dyDescent="0.25">
      <c r="A21" s="30" t="s">
        <v>19</v>
      </c>
      <c r="B21" s="2"/>
      <c r="C21" s="965" t="s">
        <v>20</v>
      </c>
      <c r="D21" s="966"/>
      <c r="E21" s="966"/>
      <c r="F21" s="967"/>
      <c r="G21" s="2"/>
      <c r="H21" s="968" t="s">
        <v>21</v>
      </c>
      <c r="I21" s="969"/>
      <c r="J21" s="969"/>
      <c r="K21" s="970"/>
    </row>
    <row r="22" spans="1:11" ht="13.15" customHeight="1" x14ac:dyDescent="0.25">
      <c r="A22" s="30" t="s">
        <v>22</v>
      </c>
      <c r="B22" s="3"/>
      <c r="C22" s="971">
        <v>3</v>
      </c>
      <c r="D22" s="972"/>
      <c r="E22" s="972"/>
      <c r="F22" s="973"/>
      <c r="G22" s="4"/>
      <c r="H22" s="974">
        <v>5</v>
      </c>
      <c r="I22" s="975"/>
      <c r="J22" s="975"/>
      <c r="K22" s="976"/>
    </row>
    <row r="23" spans="1:11" ht="15.75" thickBot="1" x14ac:dyDescent="0.3">
      <c r="A23" s="31" t="s">
        <v>23</v>
      </c>
      <c r="B23" s="32"/>
      <c r="C23" s="977">
        <v>25</v>
      </c>
      <c r="D23" s="978"/>
      <c r="E23" s="979">
        <v>56</v>
      </c>
      <c r="F23" s="980"/>
      <c r="G23" s="5"/>
      <c r="H23" s="981">
        <v>25</v>
      </c>
      <c r="I23" s="982"/>
      <c r="J23" s="981">
        <v>56</v>
      </c>
      <c r="K23" s="983"/>
    </row>
    <row r="24" spans="1:11" ht="16.5" thickTop="1" thickBot="1" x14ac:dyDescent="0.3">
      <c r="A24" s="33" t="s">
        <v>24</v>
      </c>
      <c r="B24" s="984">
        <v>1</v>
      </c>
      <c r="C24" s="985"/>
      <c r="D24" s="478"/>
      <c r="E24" s="986" t="s">
        <v>53</v>
      </c>
      <c r="F24" s="987"/>
      <c r="G24" s="987"/>
      <c r="H24" s="988"/>
      <c r="I24" s="989">
        <v>0</v>
      </c>
      <c r="J24" s="990"/>
      <c r="K24" s="6"/>
    </row>
    <row r="25" spans="1:11" ht="12.6" customHeight="1" thickBot="1" x14ac:dyDescent="0.3">
      <c r="A25" s="991" t="s">
        <v>25</v>
      </c>
      <c r="B25" s="992"/>
      <c r="C25" s="992"/>
      <c r="D25" s="992"/>
      <c r="E25" s="992"/>
      <c r="F25" s="992"/>
      <c r="G25" s="992"/>
      <c r="H25" s="992"/>
      <c r="I25" s="992"/>
      <c r="J25" s="992"/>
      <c r="K25" s="993"/>
    </row>
    <row r="26" spans="1:11" ht="13.9" customHeight="1" thickTop="1" x14ac:dyDescent="0.25">
      <c r="A26" s="34" t="s">
        <v>26</v>
      </c>
      <c r="B26" s="994" t="s">
        <v>305</v>
      </c>
      <c r="C26" s="995"/>
      <c r="D26" s="994" t="s">
        <v>305</v>
      </c>
      <c r="E26" s="995"/>
      <c r="F26" s="994" t="s">
        <v>305</v>
      </c>
      <c r="G26" s="995"/>
      <c r="H26" s="994" t="s">
        <v>305</v>
      </c>
      <c r="I26" s="995"/>
      <c r="J26" s="996" t="s">
        <v>305</v>
      </c>
      <c r="K26" s="997"/>
    </row>
    <row r="27" spans="1:11" ht="13.9" customHeight="1" x14ac:dyDescent="0.25">
      <c r="A27" s="35" t="s">
        <v>54</v>
      </c>
      <c r="B27" s="998">
        <v>6</v>
      </c>
      <c r="C27" s="999"/>
      <c r="D27" s="998">
        <v>8</v>
      </c>
      <c r="E27" s="999"/>
      <c r="F27" s="998">
        <v>10</v>
      </c>
      <c r="G27" s="999"/>
      <c r="H27" s="998">
        <v>12</v>
      </c>
      <c r="I27" s="999"/>
      <c r="J27" s="987">
        <v>14</v>
      </c>
      <c r="K27" s="1000"/>
    </row>
    <row r="28" spans="1:11" ht="10.9" customHeight="1" x14ac:dyDescent="0.25">
      <c r="A28" s="35" t="s">
        <v>27</v>
      </c>
      <c r="B28" s="998">
        <v>4032</v>
      </c>
      <c r="C28" s="999"/>
      <c r="D28" s="998">
        <v>4032</v>
      </c>
      <c r="E28" s="999"/>
      <c r="F28" s="998">
        <v>4032</v>
      </c>
      <c r="G28" s="999"/>
      <c r="H28" s="998">
        <v>4032</v>
      </c>
      <c r="I28" s="999"/>
      <c r="J28" s="998">
        <v>4032</v>
      </c>
      <c r="K28" s="999"/>
    </row>
    <row r="29" spans="1:11" ht="13.9" customHeight="1" x14ac:dyDescent="0.25">
      <c r="A29" s="35" t="s">
        <v>28</v>
      </c>
      <c r="B29" s="998">
        <v>5866</v>
      </c>
      <c r="C29" s="999"/>
      <c r="D29" s="998">
        <v>6016</v>
      </c>
      <c r="E29" s="999"/>
      <c r="F29" s="998">
        <v>6078</v>
      </c>
      <c r="G29" s="999"/>
      <c r="H29" s="998">
        <v>6031</v>
      </c>
      <c r="I29" s="999"/>
      <c r="J29" s="987">
        <v>5880</v>
      </c>
      <c r="K29" s="1000"/>
    </row>
    <row r="30" spans="1:11" ht="12" customHeight="1" x14ac:dyDescent="0.25">
      <c r="A30" s="36" t="s">
        <v>29</v>
      </c>
      <c r="B30" s="998">
        <f>B29-B28</f>
        <v>1834</v>
      </c>
      <c r="C30" s="999"/>
      <c r="D30" s="998">
        <f>D29-D28</f>
        <v>1984</v>
      </c>
      <c r="E30" s="999"/>
      <c r="F30" s="998">
        <f>F29-F28</f>
        <v>2046</v>
      </c>
      <c r="G30" s="999"/>
      <c r="H30" s="998">
        <f>H29-H28</f>
        <v>1999</v>
      </c>
      <c r="I30" s="999"/>
      <c r="J30" s="1001">
        <f>J29-J28</f>
        <v>1848</v>
      </c>
      <c r="K30" s="1002"/>
    </row>
    <row r="31" spans="1:11" ht="12.6" customHeight="1" x14ac:dyDescent="0.25">
      <c r="A31" s="37" t="s">
        <v>30</v>
      </c>
      <c r="B31" s="1006">
        <v>947</v>
      </c>
      <c r="C31" s="1007"/>
      <c r="D31" s="1006">
        <v>947</v>
      </c>
      <c r="E31" s="1007"/>
      <c r="F31" s="1006">
        <v>947</v>
      </c>
      <c r="G31" s="1007"/>
      <c r="H31" s="1006">
        <v>947</v>
      </c>
      <c r="I31" s="1007"/>
      <c r="J31" s="1006">
        <v>947</v>
      </c>
      <c r="K31" s="1007"/>
    </row>
    <row r="32" spans="1:11" ht="13.9" customHeight="1" x14ac:dyDescent="0.25">
      <c r="A32" s="38" t="s">
        <v>31</v>
      </c>
      <c r="B32" s="1008">
        <f>B30*1/B31</f>
        <v>1.9366420274551215</v>
      </c>
      <c r="C32" s="1009"/>
      <c r="D32" s="1008">
        <f>D30*1/D31</f>
        <v>2.0950369588173179</v>
      </c>
      <c r="E32" s="1009"/>
      <c r="F32" s="1008">
        <f>F30*1/F31</f>
        <v>2.1605068637803591</v>
      </c>
      <c r="G32" s="1009"/>
      <c r="H32" s="1008">
        <f>H30*1/H31</f>
        <v>2.1108764519535375</v>
      </c>
      <c r="I32" s="1009"/>
      <c r="J32" s="1010">
        <f>J30*1/J31</f>
        <v>1.9514255543822598</v>
      </c>
      <c r="K32" s="1011"/>
    </row>
    <row r="33" spans="1:11" ht="12" customHeight="1" thickBot="1" x14ac:dyDescent="0.3">
      <c r="A33" s="39" t="s">
        <v>32</v>
      </c>
      <c r="B33" s="580">
        <f>(B32)*100/(100+B41)</f>
        <v>1.82576027636362</v>
      </c>
      <c r="C33" s="596"/>
      <c r="D33" s="580">
        <f>(D32)*100/(100+D41)</f>
        <v>1.9369213792846265</v>
      </c>
      <c r="E33" s="596"/>
      <c r="F33" s="580">
        <f>(F32)*100/(100+F41)</f>
        <v>1.9639005299893708</v>
      </c>
      <c r="G33" s="596"/>
      <c r="H33" s="580">
        <f>(H32)*100/(100+H41)</f>
        <v>1.8806144892585459</v>
      </c>
      <c r="I33" s="596"/>
      <c r="J33" s="580">
        <f>(J32)*100/(100+J41)</f>
        <v>1.710868598882805</v>
      </c>
      <c r="K33" s="581"/>
    </row>
    <row r="34" spans="1:11" ht="11.45" customHeight="1" thickTop="1" thickBot="1" x14ac:dyDescent="0.3">
      <c r="A34" s="1003" t="s">
        <v>33</v>
      </c>
      <c r="B34" s="1004"/>
      <c r="C34" s="1004"/>
      <c r="D34" s="1004"/>
      <c r="E34" s="1004"/>
      <c r="F34" s="1004"/>
      <c r="G34" s="1004"/>
      <c r="H34" s="1004"/>
      <c r="I34" s="1004"/>
      <c r="J34" s="1004"/>
      <c r="K34" s="1005"/>
    </row>
    <row r="35" spans="1:11" ht="15.75" thickTop="1" x14ac:dyDescent="0.25">
      <c r="A35" s="40" t="s">
        <v>34</v>
      </c>
      <c r="B35" s="41" t="s">
        <v>322</v>
      </c>
      <c r="C35" s="42" t="s">
        <v>320</v>
      </c>
      <c r="D35" s="41" t="s">
        <v>319</v>
      </c>
      <c r="E35" s="42" t="s">
        <v>325</v>
      </c>
      <c r="F35" s="41" t="s">
        <v>326</v>
      </c>
      <c r="G35" s="42" t="s">
        <v>327</v>
      </c>
      <c r="H35" s="41" t="s">
        <v>328</v>
      </c>
      <c r="I35" s="42">
        <v>18</v>
      </c>
      <c r="J35" s="41" t="s">
        <v>317</v>
      </c>
      <c r="K35" s="43" t="s">
        <v>268</v>
      </c>
    </row>
    <row r="36" spans="1:11" ht="16.149999999999999" customHeight="1" x14ac:dyDescent="0.25">
      <c r="A36" s="44" t="s">
        <v>35</v>
      </c>
      <c r="B36" s="45">
        <v>15.7</v>
      </c>
      <c r="C36" s="46">
        <v>34.700000000000003</v>
      </c>
      <c r="D36" s="45">
        <v>34.799999999999997</v>
      </c>
      <c r="E36" s="46">
        <v>36.9</v>
      </c>
      <c r="F36" s="45">
        <v>27.9</v>
      </c>
      <c r="G36" s="46">
        <v>34.799999999999997</v>
      </c>
      <c r="H36" s="45">
        <v>24.3</v>
      </c>
      <c r="I36" s="46">
        <v>35.700000000000003</v>
      </c>
      <c r="J36" s="45">
        <v>33.4</v>
      </c>
      <c r="K36" s="47">
        <v>24.2</v>
      </c>
    </row>
    <row r="37" spans="1:11" ht="16.899999999999999" customHeight="1" x14ac:dyDescent="0.25">
      <c r="A37" s="44" t="s">
        <v>36</v>
      </c>
      <c r="B37" s="45">
        <v>174.4</v>
      </c>
      <c r="C37" s="46">
        <v>258.60000000000002</v>
      </c>
      <c r="D37" s="45">
        <v>229.8</v>
      </c>
      <c r="E37" s="46">
        <v>223.4</v>
      </c>
      <c r="F37" s="45">
        <v>273.39999999999998</v>
      </c>
      <c r="G37" s="46">
        <v>275</v>
      </c>
      <c r="H37" s="45">
        <v>295.5</v>
      </c>
      <c r="I37" s="46">
        <v>293.39999999999998</v>
      </c>
      <c r="J37" s="45">
        <v>268.89999999999998</v>
      </c>
      <c r="K37" s="47">
        <v>274.60000000000002</v>
      </c>
    </row>
    <row r="38" spans="1:11" ht="16.149999999999999" customHeight="1" x14ac:dyDescent="0.25">
      <c r="A38" s="44" t="s">
        <v>37</v>
      </c>
      <c r="B38" s="45">
        <v>165.3</v>
      </c>
      <c r="C38" s="46">
        <v>245.8</v>
      </c>
      <c r="D38" s="45">
        <v>214.9</v>
      </c>
      <c r="E38" s="46">
        <v>209.5</v>
      </c>
      <c r="F38" s="45">
        <v>251</v>
      </c>
      <c r="G38" s="46">
        <v>253.2</v>
      </c>
      <c r="H38" s="45">
        <v>265.8</v>
      </c>
      <c r="I38" s="46">
        <v>265.39999999999998</v>
      </c>
      <c r="J38" s="45">
        <v>239.9</v>
      </c>
      <c r="K38" s="47">
        <v>243.7</v>
      </c>
    </row>
    <row r="39" spans="1:11" x14ac:dyDescent="0.25">
      <c r="A39" s="48" t="s">
        <v>38</v>
      </c>
      <c r="B39" s="45">
        <f>B38-B36</f>
        <v>149.60000000000002</v>
      </c>
      <c r="C39" s="46">
        <f>C38-C36</f>
        <v>211.10000000000002</v>
      </c>
      <c r="D39" s="45">
        <f t="shared" ref="D39:K39" si="0">D38-D36</f>
        <v>180.10000000000002</v>
      </c>
      <c r="E39" s="46">
        <f t="shared" si="0"/>
        <v>172.6</v>
      </c>
      <c r="F39" s="45">
        <f t="shared" si="0"/>
        <v>223.1</v>
      </c>
      <c r="G39" s="46">
        <f t="shared" si="0"/>
        <v>218.39999999999998</v>
      </c>
      <c r="H39" s="45">
        <f t="shared" si="0"/>
        <v>241.5</v>
      </c>
      <c r="I39" s="46">
        <f t="shared" si="0"/>
        <v>229.7</v>
      </c>
      <c r="J39" s="45">
        <f t="shared" si="0"/>
        <v>206.5</v>
      </c>
      <c r="K39" s="47">
        <f t="shared" si="0"/>
        <v>219.5</v>
      </c>
    </row>
    <row r="40" spans="1:11" x14ac:dyDescent="0.25">
      <c r="A40" s="48" t="s">
        <v>39</v>
      </c>
      <c r="B40" s="49">
        <f>((B37)-(B38))*100/B39</f>
        <v>6.082887700534755</v>
      </c>
      <c r="C40" s="50">
        <f>((C37)-(C38))*100/C39</f>
        <v>6.0634770251065895</v>
      </c>
      <c r="D40" s="49">
        <f t="shared" ref="D40:K40" si="1">((D37)-(D38))*100/D39</f>
        <v>8.2731815657967811</v>
      </c>
      <c r="E40" s="50">
        <f t="shared" si="1"/>
        <v>8.0533024333719609</v>
      </c>
      <c r="F40" s="49">
        <f t="shared" si="1"/>
        <v>10.040340654415051</v>
      </c>
      <c r="G40" s="50">
        <f t="shared" si="1"/>
        <v>9.9816849816849871</v>
      </c>
      <c r="H40" s="49">
        <f t="shared" si="1"/>
        <v>12.29813664596273</v>
      </c>
      <c r="I40" s="50">
        <f t="shared" si="1"/>
        <v>12.189812799303439</v>
      </c>
      <c r="J40" s="49">
        <f t="shared" si="1"/>
        <v>14.043583535108946</v>
      </c>
      <c r="K40" s="51">
        <f t="shared" si="1"/>
        <v>14.077448747152635</v>
      </c>
    </row>
    <row r="41" spans="1:11" ht="13.9" customHeight="1" thickBot="1" x14ac:dyDescent="0.3">
      <c r="A41" s="52" t="s">
        <v>40</v>
      </c>
      <c r="B41" s="582">
        <f>AVERAGE(B40:C40)</f>
        <v>6.0731823628206723</v>
      </c>
      <c r="C41" s="582"/>
      <c r="D41" s="582">
        <f>AVERAGE(D40:E40)</f>
        <v>8.1632419995843719</v>
      </c>
      <c r="E41" s="582"/>
      <c r="F41" s="582">
        <f>AVERAGE(F40:G40)</f>
        <v>10.01101281805002</v>
      </c>
      <c r="G41" s="582"/>
      <c r="H41" s="582">
        <f>AVERAGE(H40:I40)</f>
        <v>12.243974722633084</v>
      </c>
      <c r="I41" s="582"/>
      <c r="J41" s="582">
        <f>AVERAGE(J40:K40)</f>
        <v>14.06051614113079</v>
      </c>
      <c r="K41" s="593"/>
    </row>
    <row r="42" spans="1:11" ht="4.1500000000000004" customHeight="1" x14ac:dyDescent="0.25">
      <c r="A42" s="53"/>
      <c r="B42" s="54"/>
      <c r="C42" s="54"/>
      <c r="D42" s="54"/>
      <c r="E42" s="54"/>
      <c r="F42" s="54"/>
      <c r="G42" s="54"/>
      <c r="H42" s="54"/>
      <c r="I42" s="54"/>
      <c r="J42" s="54"/>
      <c r="K42" s="54"/>
    </row>
    <row r="43" spans="1:11" ht="11.45" customHeight="1" x14ac:dyDescent="0.25">
      <c r="A43" s="55" t="s">
        <v>55</v>
      </c>
      <c r="B43" s="1012">
        <f>O52</f>
        <v>1.9650000000000001</v>
      </c>
      <c r="C43" s="1013"/>
      <c r="D43" s="54"/>
      <c r="E43" s="54"/>
      <c r="F43" s="1014" t="s">
        <v>41</v>
      </c>
      <c r="G43" s="1015"/>
      <c r="H43" s="1016"/>
      <c r="I43" s="1020">
        <f>B43</f>
        <v>1.9650000000000001</v>
      </c>
      <c r="J43" s="1021"/>
      <c r="K43" s="54" t="s">
        <v>42</v>
      </c>
    </row>
    <row r="44" spans="1:11" ht="13.9" customHeight="1" x14ac:dyDescent="0.25">
      <c r="A44" s="55" t="s">
        <v>43</v>
      </c>
      <c r="B44" s="1012">
        <f>N52</f>
        <v>9.6999999999999993</v>
      </c>
      <c r="C44" s="1013"/>
      <c r="D44" s="54"/>
      <c r="E44" s="54"/>
      <c r="F44" s="1017"/>
      <c r="G44" s="1018"/>
      <c r="H44" s="1019"/>
      <c r="I44" s="1022">
        <f>B44</f>
        <v>9.6999999999999993</v>
      </c>
      <c r="J44" s="1023"/>
      <c r="K44" s="54" t="s">
        <v>44</v>
      </c>
    </row>
    <row r="45" spans="1:11" ht="24" customHeight="1" x14ac:dyDescent="0.25">
      <c r="A45" s="54"/>
      <c r="B45" s="54"/>
      <c r="C45" s="54"/>
      <c r="D45" s="54"/>
      <c r="E45" s="54"/>
      <c r="F45" s="54"/>
      <c r="G45" s="54"/>
      <c r="H45" s="54"/>
      <c r="I45" s="54"/>
      <c r="J45" s="54"/>
      <c r="K45" s="54"/>
    </row>
    <row r="46" spans="1:11" ht="7.9" customHeight="1" x14ac:dyDescent="0.25">
      <c r="A46" s="54"/>
      <c r="B46" s="54"/>
      <c r="C46" s="54"/>
      <c r="D46" s="54"/>
      <c r="E46" s="54"/>
      <c r="F46" s="54"/>
      <c r="G46" s="54"/>
      <c r="H46" s="54"/>
      <c r="I46" s="54"/>
      <c r="J46" s="54"/>
      <c r="K46" s="54"/>
    </row>
    <row r="47" spans="1:11" x14ac:dyDescent="0.25">
      <c r="A47" s="54"/>
      <c r="B47" s="54"/>
      <c r="C47" s="54"/>
      <c r="D47" s="54"/>
      <c r="E47" s="54"/>
      <c r="F47" s="54"/>
      <c r="G47" s="54"/>
      <c r="H47" s="54"/>
      <c r="I47" s="54"/>
      <c r="J47" s="54"/>
      <c r="K47" s="54"/>
    </row>
    <row r="48" spans="1:11" ht="11.45" customHeight="1" x14ac:dyDescent="0.25">
      <c r="A48" s="54"/>
      <c r="B48" s="54"/>
      <c r="C48" s="54"/>
      <c r="D48" s="54"/>
      <c r="E48" s="54"/>
      <c r="F48" s="54"/>
      <c r="G48" s="54"/>
      <c r="H48" s="54"/>
      <c r="I48" s="54"/>
      <c r="J48" s="54"/>
      <c r="K48" s="54"/>
    </row>
    <row r="49" spans="1:15" x14ac:dyDescent="0.25">
      <c r="A49" s="54"/>
      <c r="B49" s="54"/>
      <c r="C49" s="54"/>
      <c r="D49" s="54"/>
      <c r="E49" s="54"/>
      <c r="F49" s="54"/>
      <c r="G49" s="54"/>
      <c r="H49" s="54"/>
      <c r="I49" s="54"/>
      <c r="J49" s="54"/>
      <c r="K49" s="54"/>
    </row>
    <row r="50" spans="1:15" ht="6" customHeight="1" x14ac:dyDescent="0.25">
      <c r="A50" s="54"/>
      <c r="B50" s="54"/>
      <c r="C50" s="54"/>
      <c r="D50" s="54"/>
      <c r="E50" s="54"/>
      <c r="F50" s="54"/>
      <c r="G50" s="54"/>
      <c r="H50" s="54"/>
      <c r="I50" s="54"/>
      <c r="J50" s="54"/>
      <c r="K50" s="54"/>
    </row>
    <row r="51" spans="1:15" x14ac:dyDescent="0.25">
      <c r="A51" s="54"/>
      <c r="B51" s="54"/>
      <c r="C51" s="54"/>
      <c r="D51" s="54"/>
      <c r="E51" s="54"/>
      <c r="F51" s="54"/>
      <c r="G51" s="54"/>
      <c r="H51" s="54"/>
      <c r="I51" s="54"/>
      <c r="J51" s="54"/>
      <c r="K51" s="54"/>
      <c r="N51" s="8" t="s">
        <v>45</v>
      </c>
      <c r="O51" s="8" t="s">
        <v>46</v>
      </c>
    </row>
    <row r="52" spans="1:15" ht="9.6" customHeight="1" x14ac:dyDescent="0.25">
      <c r="A52" s="7"/>
      <c r="B52" s="7"/>
      <c r="C52" s="7"/>
      <c r="D52" s="7"/>
      <c r="E52" s="7"/>
      <c r="F52" s="7"/>
      <c r="G52" s="7"/>
      <c r="H52" s="7"/>
      <c r="I52" s="7"/>
      <c r="J52" s="7"/>
      <c r="K52" s="7"/>
      <c r="N52" s="9">
        <v>9.6999999999999993</v>
      </c>
      <c r="O52" s="9">
        <v>1.9650000000000001</v>
      </c>
    </row>
    <row r="53" spans="1:15" x14ac:dyDescent="0.25">
      <c r="A53" s="7"/>
      <c r="B53" s="7"/>
      <c r="C53" s="7"/>
      <c r="D53" s="7"/>
      <c r="E53" s="7"/>
      <c r="F53" s="7"/>
      <c r="G53" s="7"/>
      <c r="H53" s="7"/>
      <c r="I53" s="7"/>
      <c r="J53" s="7"/>
      <c r="K53" s="7"/>
      <c r="N53" s="9">
        <v>9.6999999999999993</v>
      </c>
      <c r="O53" s="9">
        <v>1.78</v>
      </c>
    </row>
    <row r="54" spans="1:15" x14ac:dyDescent="0.25">
      <c r="A54" s="7"/>
      <c r="B54" s="7"/>
      <c r="C54" s="7"/>
      <c r="D54" s="7"/>
      <c r="E54" s="7"/>
      <c r="F54" s="7"/>
      <c r="G54" s="7"/>
      <c r="H54" s="7"/>
      <c r="I54" s="7"/>
      <c r="J54" s="7"/>
      <c r="K54" s="7"/>
      <c r="N54" s="9"/>
      <c r="O54" s="9"/>
    </row>
    <row r="55" spans="1:15" ht="33" customHeight="1" x14ac:dyDescent="0.25">
      <c r="A55" s="7"/>
      <c r="B55" s="7"/>
      <c r="C55" s="7"/>
      <c r="D55" s="7"/>
      <c r="E55" s="7"/>
      <c r="F55" s="7"/>
      <c r="G55" s="7"/>
      <c r="H55" s="7"/>
      <c r="I55" s="7"/>
      <c r="J55" s="7"/>
      <c r="K55" s="7"/>
      <c r="N55" s="9">
        <v>1.9650000000000001</v>
      </c>
      <c r="O55" s="9">
        <v>12</v>
      </c>
    </row>
    <row r="56" spans="1:15" ht="29.45" customHeight="1" thickBot="1" x14ac:dyDescent="0.3">
      <c r="A56" s="7"/>
      <c r="B56" s="7"/>
      <c r="C56" s="7"/>
      <c r="D56" s="7"/>
      <c r="E56" s="7"/>
      <c r="F56" s="7"/>
      <c r="G56" s="7"/>
      <c r="H56" s="7"/>
      <c r="I56" s="7"/>
      <c r="J56" s="7"/>
      <c r="K56" s="7"/>
      <c r="N56" s="9">
        <v>1.9650000000000001</v>
      </c>
      <c r="O56" s="9">
        <v>2</v>
      </c>
    </row>
    <row r="57" spans="1:15" ht="21" customHeight="1" thickTop="1" x14ac:dyDescent="0.25">
      <c r="A57" s="10" t="s">
        <v>47</v>
      </c>
      <c r="B57" s="11"/>
      <c r="C57" s="11"/>
      <c r="D57" s="12"/>
      <c r="E57" s="13" t="s">
        <v>48</v>
      </c>
      <c r="F57" s="14"/>
      <c r="G57" s="14"/>
      <c r="H57" s="14"/>
      <c r="I57" s="14"/>
      <c r="J57" s="14"/>
      <c r="K57" s="15"/>
    </row>
    <row r="58" spans="1:15" ht="21" customHeight="1" thickBot="1" x14ac:dyDescent="0.3">
      <c r="A58" s="16" t="s">
        <v>57</v>
      </c>
      <c r="B58" s="17"/>
      <c r="C58" s="17"/>
      <c r="D58" s="18"/>
      <c r="E58" s="19"/>
      <c r="F58" s="20"/>
      <c r="G58" s="20"/>
      <c r="H58" s="20"/>
      <c r="I58" s="20"/>
      <c r="J58" s="20"/>
      <c r="K58" s="21"/>
    </row>
    <row r="59" spans="1:15" ht="15.75" thickTop="1" x14ac:dyDescent="0.25"/>
  </sheetData>
  <mergeCells count="94">
    <mergeCell ref="B41:C41"/>
    <mergeCell ref="D41:E41"/>
    <mergeCell ref="F41:G41"/>
    <mergeCell ref="H41:I41"/>
    <mergeCell ref="J41:K41"/>
    <mergeCell ref="B43:C43"/>
    <mergeCell ref="F43:H44"/>
    <mergeCell ref="I43:J43"/>
    <mergeCell ref="B44:C44"/>
    <mergeCell ref="I44:J44"/>
    <mergeCell ref="A34:K34"/>
    <mergeCell ref="B31:C31"/>
    <mergeCell ref="D31:E31"/>
    <mergeCell ref="F31:G31"/>
    <mergeCell ref="H31:I31"/>
    <mergeCell ref="J31:K31"/>
    <mergeCell ref="B32:C32"/>
    <mergeCell ref="D32:E32"/>
    <mergeCell ref="F32:G32"/>
    <mergeCell ref="H32:I32"/>
    <mergeCell ref="J32:K32"/>
    <mergeCell ref="B33:C33"/>
    <mergeCell ref="D33:E33"/>
    <mergeCell ref="F33:G33"/>
    <mergeCell ref="H33:I33"/>
    <mergeCell ref="J33:K33"/>
    <mergeCell ref="B29:C29"/>
    <mergeCell ref="D29:E29"/>
    <mergeCell ref="F29:G29"/>
    <mergeCell ref="H29:I29"/>
    <mergeCell ref="J29:K29"/>
    <mergeCell ref="B30:C30"/>
    <mergeCell ref="D30:E30"/>
    <mergeCell ref="F30:G30"/>
    <mergeCell ref="H30:I30"/>
    <mergeCell ref="J30:K30"/>
    <mergeCell ref="B27:C27"/>
    <mergeCell ref="D27:E27"/>
    <mergeCell ref="F27:G27"/>
    <mergeCell ref="H27:I27"/>
    <mergeCell ref="J27:K27"/>
    <mergeCell ref="B28:C28"/>
    <mergeCell ref="D28:E28"/>
    <mergeCell ref="F28:G28"/>
    <mergeCell ref="H28:I28"/>
    <mergeCell ref="J28:K28"/>
    <mergeCell ref="B24:C24"/>
    <mergeCell ref="E24:H24"/>
    <mergeCell ref="I24:J24"/>
    <mergeCell ref="A25:K25"/>
    <mergeCell ref="B26:C26"/>
    <mergeCell ref="D26:E26"/>
    <mergeCell ref="F26:G26"/>
    <mergeCell ref="H26:I26"/>
    <mergeCell ref="J26:K26"/>
    <mergeCell ref="C22:F22"/>
    <mergeCell ref="H22:K22"/>
    <mergeCell ref="C23:D23"/>
    <mergeCell ref="E23:F23"/>
    <mergeCell ref="H23:I23"/>
    <mergeCell ref="J23:K23"/>
    <mergeCell ref="C19:F19"/>
    <mergeCell ref="H19:K19"/>
    <mergeCell ref="C20:F20"/>
    <mergeCell ref="H20:K20"/>
    <mergeCell ref="C21:F21"/>
    <mergeCell ref="H21:K21"/>
    <mergeCell ref="A15:D15"/>
    <mergeCell ref="E15:K15"/>
    <mergeCell ref="A17:A18"/>
    <mergeCell ref="C17:E17"/>
    <mergeCell ref="H17:J17"/>
    <mergeCell ref="C18:D18"/>
    <mergeCell ref="E18:F18"/>
    <mergeCell ref="H18:I18"/>
    <mergeCell ref="J18:K18"/>
    <mergeCell ref="A12:D12"/>
    <mergeCell ref="E12:K12"/>
    <mergeCell ref="A13:D13"/>
    <mergeCell ref="E13:K13"/>
    <mergeCell ref="A14:D14"/>
    <mergeCell ref="E14:K14"/>
    <mergeCell ref="A11:K11"/>
    <mergeCell ref="A1:A3"/>
    <mergeCell ref="B1:I1"/>
    <mergeCell ref="J1:K1"/>
    <mergeCell ref="B2:I3"/>
    <mergeCell ref="J2:K2"/>
    <mergeCell ref="J3:K3"/>
    <mergeCell ref="A5:A6"/>
    <mergeCell ref="B5:K5"/>
    <mergeCell ref="B6:K6"/>
    <mergeCell ref="B7:K7"/>
    <mergeCell ref="A10:K10"/>
  </mergeCells>
  <printOptions horizontalCentered="1"/>
  <pageMargins left="0.15748031496062992" right="0.19685039370078741" top="0.59055118110236227" bottom="0" header="0.31496062992125984" footer="0.31496062992125984"/>
  <pageSetup paperSize="9" scale="95"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Y53"/>
  <sheetViews>
    <sheetView topLeftCell="A41" zoomScale="160" zoomScaleNormal="160" workbookViewId="0">
      <selection activeCell="S29" sqref="S29"/>
    </sheetView>
  </sheetViews>
  <sheetFormatPr baseColWidth="10" defaultRowHeight="15" x14ac:dyDescent="0.25"/>
  <cols>
    <col min="1" max="1" width="5.85546875" customWidth="1"/>
    <col min="2" max="2" width="2.7109375" customWidth="1"/>
    <col min="3" max="3" width="5.28515625" customWidth="1"/>
    <col min="4" max="5" width="5" customWidth="1"/>
    <col min="6" max="6" width="4.7109375" customWidth="1"/>
    <col min="7" max="7" width="5.28515625" customWidth="1"/>
    <col min="8" max="8" width="6.7109375" customWidth="1"/>
    <col min="9" max="9" width="3.28515625" customWidth="1"/>
    <col min="10" max="10" width="6.7109375" customWidth="1"/>
    <col min="11" max="11" width="4.85546875" customWidth="1"/>
    <col min="12" max="12" width="4.7109375" customWidth="1"/>
    <col min="13" max="13" width="6.28515625" customWidth="1"/>
    <col min="14" max="14" width="5" customWidth="1"/>
    <col min="15" max="15" width="5.7109375" customWidth="1"/>
    <col min="16" max="17" width="5" customWidth="1"/>
    <col min="18" max="18" width="4.28515625" customWidth="1"/>
  </cols>
  <sheetData>
    <row r="1" spans="1:18" ht="9.6" customHeight="1" thickBot="1" x14ac:dyDescent="0.3">
      <c r="A1" s="57"/>
      <c r="B1" s="58"/>
      <c r="C1" s="58"/>
      <c r="D1" s="58"/>
      <c r="E1" s="59"/>
      <c r="F1" s="60"/>
      <c r="G1" s="1133" t="s">
        <v>60</v>
      </c>
      <c r="H1" s="1134"/>
      <c r="I1" s="1134"/>
      <c r="J1" s="1134"/>
      <c r="K1" s="1134"/>
      <c r="L1" s="1135"/>
      <c r="M1" s="61"/>
      <c r="N1" s="1139" t="s">
        <v>61</v>
      </c>
      <c r="O1" s="1140"/>
      <c r="P1" s="1140"/>
      <c r="Q1" s="1141"/>
      <c r="R1" s="60"/>
    </row>
    <row r="2" spans="1:18" ht="20.45" customHeight="1" thickBot="1" x14ac:dyDescent="0.3">
      <c r="A2" s="62"/>
      <c r="B2" s="63"/>
      <c r="C2" s="63"/>
      <c r="D2" s="63"/>
      <c r="E2" s="64"/>
      <c r="F2" s="65"/>
      <c r="G2" s="1136"/>
      <c r="H2" s="1137"/>
      <c r="I2" s="1137"/>
      <c r="J2" s="1137"/>
      <c r="K2" s="1137"/>
      <c r="L2" s="1138"/>
      <c r="M2" s="66"/>
      <c r="N2" s="1142" t="s">
        <v>311</v>
      </c>
      <c r="O2" s="1143"/>
      <c r="P2" s="1143"/>
      <c r="Q2" s="1144"/>
      <c r="R2" s="65"/>
    </row>
    <row r="3" spans="1:18" ht="12" customHeight="1" thickBot="1" x14ac:dyDescent="0.3">
      <c r="A3" s="62"/>
      <c r="B3" s="63"/>
      <c r="C3" s="63"/>
      <c r="D3" s="67"/>
      <c r="E3" s="68"/>
      <c r="F3" s="69"/>
      <c r="G3" s="1145" t="s">
        <v>62</v>
      </c>
      <c r="H3" s="1146"/>
      <c r="I3" s="1146"/>
      <c r="J3" s="1146"/>
      <c r="K3" s="1146"/>
      <c r="L3" s="1147"/>
      <c r="M3" s="63"/>
      <c r="N3" s="70"/>
      <c r="O3" s="70"/>
      <c r="P3" s="70"/>
      <c r="Q3" s="71"/>
      <c r="R3" s="65"/>
    </row>
    <row r="4" spans="1:18" ht="15.75" thickBot="1" x14ac:dyDescent="0.3">
      <c r="A4" s="1125" t="s">
        <v>63</v>
      </c>
      <c r="B4" s="1120"/>
      <c r="C4" s="1121"/>
      <c r="D4" s="1148" t="s">
        <v>329</v>
      </c>
      <c r="E4" s="1149"/>
      <c r="F4" s="1149"/>
      <c r="G4" s="1149"/>
      <c r="H4" s="1149"/>
      <c r="I4" s="1150"/>
      <c r="J4" s="1120" t="s">
        <v>64</v>
      </c>
      <c r="K4" s="1120"/>
      <c r="L4" s="1120"/>
      <c r="M4" s="1121"/>
      <c r="N4" s="1151"/>
      <c r="O4" s="1149"/>
      <c r="P4" s="1149"/>
      <c r="Q4" s="1150"/>
      <c r="R4" s="72"/>
    </row>
    <row r="5" spans="1:18" ht="15.75" thickBot="1" x14ac:dyDescent="0.3">
      <c r="A5" s="1125" t="s">
        <v>65</v>
      </c>
      <c r="B5" s="1120"/>
      <c r="C5" s="1121"/>
      <c r="D5" s="1126"/>
      <c r="E5" s="1127"/>
      <c r="F5" s="1127"/>
      <c r="G5" s="1127"/>
      <c r="H5" s="1127"/>
      <c r="I5" s="1128"/>
      <c r="J5" s="1120" t="s">
        <v>66</v>
      </c>
      <c r="K5" s="1120"/>
      <c r="L5" s="1120"/>
      <c r="M5" s="1121"/>
      <c r="N5" s="1129" t="s">
        <v>331</v>
      </c>
      <c r="O5" s="1130"/>
      <c r="P5" s="1130"/>
      <c r="Q5" s="1131"/>
      <c r="R5" s="72"/>
    </row>
    <row r="6" spans="1:18" ht="12.6" customHeight="1" thickBot="1" x14ac:dyDescent="0.3">
      <c r="A6" s="1125" t="s">
        <v>67</v>
      </c>
      <c r="B6" s="1120"/>
      <c r="C6" s="1121"/>
      <c r="D6" s="1132"/>
      <c r="E6" s="1127"/>
      <c r="F6" s="1127"/>
      <c r="G6" s="1127"/>
      <c r="H6" s="1127"/>
      <c r="I6" s="1128"/>
      <c r="J6" s="1120" t="s">
        <v>68</v>
      </c>
      <c r="K6" s="1120"/>
      <c r="L6" s="1120"/>
      <c r="M6" s="1121"/>
      <c r="N6" s="1132"/>
      <c r="O6" s="1127"/>
      <c r="P6" s="1127"/>
      <c r="Q6" s="1128"/>
      <c r="R6" s="72"/>
    </row>
    <row r="7" spans="1:18" ht="12.6" customHeight="1" thickBot="1" x14ac:dyDescent="0.3">
      <c r="A7" s="1125" t="s">
        <v>69</v>
      </c>
      <c r="B7" s="1120"/>
      <c r="C7" s="1120"/>
      <c r="D7" s="1151" t="s">
        <v>330</v>
      </c>
      <c r="E7" s="1152"/>
      <c r="F7" s="1152"/>
      <c r="G7" s="1152"/>
      <c r="H7" s="1152"/>
      <c r="I7" s="1153"/>
      <c r="J7" s="1120" t="s">
        <v>70</v>
      </c>
      <c r="K7" s="1120"/>
      <c r="L7" s="1120"/>
      <c r="M7" s="1121"/>
      <c r="N7" s="1154"/>
      <c r="O7" s="1127"/>
      <c r="P7" s="1127"/>
      <c r="Q7" s="1128"/>
      <c r="R7" s="72"/>
    </row>
    <row r="8" spans="1:18" ht="13.15" customHeight="1" thickBot="1" x14ac:dyDescent="0.3">
      <c r="A8" s="73"/>
      <c r="B8" s="74"/>
      <c r="C8" s="74"/>
      <c r="D8" s="74"/>
      <c r="E8" s="74"/>
      <c r="F8" s="75"/>
      <c r="G8" s="75"/>
      <c r="H8" s="75"/>
      <c r="I8" s="75"/>
      <c r="J8" s="1120" t="s">
        <v>71</v>
      </c>
      <c r="K8" s="1120"/>
      <c r="L8" s="1120"/>
      <c r="M8" s="1121"/>
      <c r="N8" s="1122" t="s">
        <v>332</v>
      </c>
      <c r="O8" s="1123"/>
      <c r="P8" s="1123"/>
      <c r="Q8" s="1124"/>
      <c r="R8" s="72"/>
    </row>
    <row r="9" spans="1:18" ht="15.75" thickBot="1" x14ac:dyDescent="0.3">
      <c r="A9" s="1100" t="s">
        <v>72</v>
      </c>
      <c r="B9" s="1103" t="s">
        <v>73</v>
      </c>
      <c r="C9" s="1104"/>
      <c r="D9" s="1105"/>
      <c r="E9" s="76"/>
      <c r="F9" s="77"/>
      <c r="G9" s="78"/>
      <c r="H9" s="1106" t="s">
        <v>74</v>
      </c>
      <c r="I9" s="1095" t="s">
        <v>75</v>
      </c>
      <c r="J9" s="1096"/>
      <c r="K9" s="76" t="s">
        <v>76</v>
      </c>
      <c r="L9" s="78"/>
      <c r="M9" s="1108" t="s">
        <v>77</v>
      </c>
      <c r="N9" s="1109"/>
      <c r="O9" s="1095" t="s">
        <v>78</v>
      </c>
      <c r="P9" s="1096"/>
      <c r="Q9" s="79" t="s">
        <v>76</v>
      </c>
      <c r="R9" s="72"/>
    </row>
    <row r="10" spans="1:18" ht="19.149999999999999" customHeight="1" thickBot="1" x14ac:dyDescent="0.3">
      <c r="A10" s="1101"/>
      <c r="B10" s="1095" t="s">
        <v>79</v>
      </c>
      <c r="C10" s="1114"/>
      <c r="D10" s="1096"/>
      <c r="E10" s="80" t="s">
        <v>76</v>
      </c>
      <c r="F10" s="77"/>
      <c r="G10" s="78"/>
      <c r="H10" s="1107"/>
      <c r="I10" s="1115" t="s">
        <v>80</v>
      </c>
      <c r="J10" s="1116"/>
      <c r="K10" s="80">
        <v>2</v>
      </c>
      <c r="L10" s="78"/>
      <c r="M10" s="1110"/>
      <c r="N10" s="1111"/>
      <c r="O10" s="1095" t="s">
        <v>81</v>
      </c>
      <c r="P10" s="1096"/>
      <c r="Q10" s="81"/>
      <c r="R10" s="72"/>
    </row>
    <row r="11" spans="1:18" ht="12" customHeight="1" thickBot="1" x14ac:dyDescent="0.3">
      <c r="A11" s="1101"/>
      <c r="B11" s="1117" t="s">
        <v>82</v>
      </c>
      <c r="C11" s="1118"/>
      <c r="D11" s="1119"/>
      <c r="E11" s="82"/>
      <c r="F11" s="77"/>
      <c r="G11" s="77"/>
      <c r="H11" s="83"/>
      <c r="I11" s="1089"/>
      <c r="J11" s="1089"/>
      <c r="K11" s="83"/>
      <c r="L11" s="78"/>
      <c r="M11" s="1112"/>
      <c r="N11" s="1113"/>
      <c r="O11" s="84" t="s">
        <v>83</v>
      </c>
      <c r="P11" s="1090" t="s">
        <v>84</v>
      </c>
      <c r="Q11" s="1091"/>
      <c r="R11" s="72"/>
    </row>
    <row r="12" spans="1:18" ht="15.75" thickBot="1" x14ac:dyDescent="0.3">
      <c r="A12" s="1102"/>
      <c r="B12" s="1092" t="s">
        <v>85</v>
      </c>
      <c r="C12" s="1093"/>
      <c r="D12" s="1094"/>
      <c r="E12" s="85" t="s">
        <v>86</v>
      </c>
      <c r="F12" s="77"/>
      <c r="G12" s="78"/>
      <c r="H12" s="1095" t="s">
        <v>87</v>
      </c>
      <c r="I12" s="1096"/>
      <c r="J12" s="310">
        <f>'Proctor C01'!B43</f>
        <v>1.9650000000000001</v>
      </c>
      <c r="K12" s="86" t="s">
        <v>88</v>
      </c>
      <c r="L12" s="78"/>
      <c r="M12" s="1097" t="s">
        <v>89</v>
      </c>
      <c r="N12" s="1098"/>
      <c r="O12" s="1099"/>
      <c r="P12" s="312">
        <f>J12</f>
        <v>1.9650000000000001</v>
      </c>
      <c r="Q12" s="87" t="s">
        <v>90</v>
      </c>
      <c r="R12" s="72"/>
    </row>
    <row r="13" spans="1:18" ht="13.9" customHeight="1" thickBot="1" x14ac:dyDescent="0.3">
      <c r="A13" s="88"/>
      <c r="B13" s="77"/>
      <c r="C13" s="77"/>
      <c r="D13" s="77"/>
      <c r="E13" s="77"/>
      <c r="F13" s="77"/>
      <c r="G13" s="78"/>
      <c r="H13" s="1092" t="s">
        <v>91</v>
      </c>
      <c r="I13" s="1094"/>
      <c r="J13" s="311">
        <f>'Proctor C01'!B44</f>
        <v>9.6999999999999993</v>
      </c>
      <c r="K13" s="86" t="s">
        <v>44</v>
      </c>
      <c r="L13" s="77"/>
      <c r="M13" s="1095" t="s">
        <v>92</v>
      </c>
      <c r="N13" s="1096"/>
      <c r="O13" s="89"/>
      <c r="P13" s="90" t="s">
        <v>93</v>
      </c>
      <c r="Q13" s="85" t="s">
        <v>76</v>
      </c>
      <c r="R13" s="72"/>
    </row>
    <row r="14" spans="1:18" ht="12" customHeight="1" thickBot="1" x14ac:dyDescent="0.3">
      <c r="A14" s="1075" t="s">
        <v>94</v>
      </c>
      <c r="B14" s="1076"/>
      <c r="C14" s="1076"/>
      <c r="D14" s="1076"/>
      <c r="E14" s="1076"/>
      <c r="F14" s="1076"/>
      <c r="G14" s="1076"/>
      <c r="H14" s="1076"/>
      <c r="I14" s="1076"/>
      <c r="J14" s="1076"/>
      <c r="K14" s="1076"/>
      <c r="L14" s="1076"/>
      <c r="M14" s="1076"/>
      <c r="N14" s="1076"/>
      <c r="O14" s="1076"/>
      <c r="P14" s="1076"/>
      <c r="Q14" s="1076"/>
      <c r="R14" s="1077"/>
    </row>
    <row r="15" spans="1:18" ht="15.75" thickBot="1" x14ac:dyDescent="0.3">
      <c r="A15" s="1078" t="s">
        <v>95</v>
      </c>
      <c r="B15" s="1079"/>
      <c r="C15" s="1079"/>
      <c r="D15" s="1079"/>
      <c r="E15" s="1079"/>
      <c r="F15" s="1079"/>
      <c r="G15" s="1079"/>
      <c r="H15" s="1079"/>
      <c r="I15" s="1079"/>
      <c r="J15" s="1079"/>
      <c r="K15" s="1078" t="s">
        <v>96</v>
      </c>
      <c r="L15" s="1079"/>
      <c r="M15" s="1079"/>
      <c r="N15" s="1079"/>
      <c r="O15" s="1079"/>
      <c r="P15" s="1079"/>
      <c r="Q15" s="1079"/>
      <c r="R15" s="1080"/>
    </row>
    <row r="16" spans="1:18" x14ac:dyDescent="0.25">
      <c r="A16" s="1081" t="s">
        <v>97</v>
      </c>
      <c r="B16" s="1082"/>
      <c r="C16" s="1083">
        <v>56</v>
      </c>
      <c r="D16" s="1084"/>
      <c r="E16" s="1085">
        <v>25</v>
      </c>
      <c r="F16" s="1086"/>
      <c r="G16" s="1083">
        <v>10</v>
      </c>
      <c r="H16" s="1084"/>
      <c r="I16" s="91"/>
      <c r="J16" s="1082" t="s">
        <v>98</v>
      </c>
      <c r="K16" s="1082"/>
      <c r="L16" s="1082"/>
      <c r="M16" s="1087" t="s">
        <v>99</v>
      </c>
      <c r="N16" s="1087"/>
      <c r="O16" s="1087"/>
      <c r="P16" s="1082" t="s">
        <v>100</v>
      </c>
      <c r="Q16" s="1082"/>
      <c r="R16" s="1088"/>
    </row>
    <row r="17" spans="1:18" ht="18.75" thickBot="1" x14ac:dyDescent="0.3">
      <c r="A17" s="1073" t="s">
        <v>101</v>
      </c>
      <c r="B17" s="1074"/>
      <c r="C17" s="92">
        <v>1</v>
      </c>
      <c r="D17" s="92">
        <v>2</v>
      </c>
      <c r="E17" s="93">
        <v>1</v>
      </c>
      <c r="F17" s="93">
        <v>2</v>
      </c>
      <c r="G17" s="92">
        <v>1</v>
      </c>
      <c r="H17" s="92">
        <v>2</v>
      </c>
      <c r="I17" s="94"/>
      <c r="J17" s="95" t="s">
        <v>102</v>
      </c>
      <c r="K17" s="96" t="s">
        <v>103</v>
      </c>
      <c r="L17" s="96" t="s">
        <v>104</v>
      </c>
      <c r="M17" s="96" t="s">
        <v>102</v>
      </c>
      <c r="N17" s="96" t="s">
        <v>103</v>
      </c>
      <c r="O17" s="96" t="s">
        <v>104</v>
      </c>
      <c r="P17" s="96" t="s">
        <v>102</v>
      </c>
      <c r="Q17" s="96" t="s">
        <v>103</v>
      </c>
      <c r="R17" s="97" t="s">
        <v>104</v>
      </c>
    </row>
    <row r="18" spans="1:18" x14ac:dyDescent="0.25">
      <c r="A18" s="1057" t="s">
        <v>105</v>
      </c>
      <c r="B18" s="1058"/>
      <c r="C18" s="98" t="s">
        <v>326</v>
      </c>
      <c r="D18" s="99" t="s">
        <v>333</v>
      </c>
      <c r="E18" s="98">
        <v>21</v>
      </c>
      <c r="F18" s="99">
        <v>15</v>
      </c>
      <c r="G18" s="99" t="s">
        <v>334</v>
      </c>
      <c r="H18" s="99">
        <v>6</v>
      </c>
      <c r="I18" s="100"/>
      <c r="J18" s="101">
        <v>0</v>
      </c>
      <c r="K18" s="471">
        <v>0</v>
      </c>
      <c r="L18" s="470">
        <v>0</v>
      </c>
      <c r="M18" s="92">
        <v>0</v>
      </c>
      <c r="N18" s="471">
        <v>0</v>
      </c>
      <c r="O18" s="470">
        <v>0</v>
      </c>
      <c r="P18" s="92">
        <v>0</v>
      </c>
      <c r="Q18" s="473">
        <v>0</v>
      </c>
      <c r="R18" s="470">
        <v>0</v>
      </c>
    </row>
    <row r="19" spans="1:18" x14ac:dyDescent="0.25">
      <c r="A19" s="1057" t="s">
        <v>106</v>
      </c>
      <c r="B19" s="1058"/>
      <c r="C19" s="102">
        <v>34.799999999999997</v>
      </c>
      <c r="D19" s="103">
        <v>35.6</v>
      </c>
      <c r="E19" s="102">
        <v>35.700000000000003</v>
      </c>
      <c r="F19" s="103">
        <v>35</v>
      </c>
      <c r="G19" s="103">
        <v>33.4</v>
      </c>
      <c r="H19" s="103">
        <v>35</v>
      </c>
      <c r="I19" s="104"/>
      <c r="J19" s="105">
        <v>0.5</v>
      </c>
      <c r="K19" s="128">
        <v>0.17</v>
      </c>
      <c r="L19" s="470">
        <f t="shared" ref="L19:L26" si="0">((K19*9.8977)-0.3056)*10</f>
        <v>13.770090000000001</v>
      </c>
      <c r="M19" s="106">
        <v>0.5</v>
      </c>
      <c r="N19" s="128">
        <v>0.09</v>
      </c>
      <c r="O19" s="470">
        <f t="shared" ref="O19:O26" si="1">((N19*9.8977)-0.3056)*10</f>
        <v>5.8519300000000012</v>
      </c>
      <c r="P19" s="106">
        <v>0.5</v>
      </c>
      <c r="Q19" s="474">
        <v>7.0000000000000007E-2</v>
      </c>
      <c r="R19" s="470">
        <f t="shared" ref="R19:R26" si="2">((Q19*9.8977)-0.3056)*10</f>
        <v>3.8723900000000011</v>
      </c>
    </row>
    <row r="20" spans="1:18" x14ac:dyDescent="0.25">
      <c r="A20" s="1057" t="s">
        <v>107</v>
      </c>
      <c r="B20" s="1058"/>
      <c r="C20" s="98">
        <v>227.4</v>
      </c>
      <c r="D20" s="107">
        <v>235.6</v>
      </c>
      <c r="E20" s="479">
        <v>244.1</v>
      </c>
      <c r="F20" s="103">
        <v>214.4</v>
      </c>
      <c r="G20" s="107">
        <v>228.9</v>
      </c>
      <c r="H20" s="107">
        <v>241.7</v>
      </c>
      <c r="I20" s="100"/>
      <c r="J20" s="108">
        <v>1</v>
      </c>
      <c r="K20" s="128">
        <v>0.35</v>
      </c>
      <c r="L20" s="470">
        <f t="shared" si="0"/>
        <v>31.58595</v>
      </c>
      <c r="M20" s="93">
        <v>1</v>
      </c>
      <c r="N20" s="128">
        <v>0.2</v>
      </c>
      <c r="O20" s="470">
        <f t="shared" si="1"/>
        <v>16.7394</v>
      </c>
      <c r="P20" s="93">
        <v>1</v>
      </c>
      <c r="Q20" s="474">
        <v>0.13</v>
      </c>
      <c r="R20" s="470">
        <f t="shared" si="2"/>
        <v>9.8110100000000013</v>
      </c>
    </row>
    <row r="21" spans="1:18" x14ac:dyDescent="0.25">
      <c r="A21" s="1057" t="s">
        <v>108</v>
      </c>
      <c r="B21" s="1058"/>
      <c r="C21" s="98">
        <v>210.4</v>
      </c>
      <c r="D21" s="99">
        <v>218</v>
      </c>
      <c r="E21" s="98">
        <v>225.6</v>
      </c>
      <c r="F21" s="99">
        <v>198.6</v>
      </c>
      <c r="G21" s="99">
        <v>211.6</v>
      </c>
      <c r="H21" s="99">
        <v>223.5</v>
      </c>
      <c r="I21" s="100"/>
      <c r="J21" s="109">
        <v>1.5</v>
      </c>
      <c r="K21" s="128">
        <v>0.65</v>
      </c>
      <c r="L21" s="470">
        <f t="shared" si="0"/>
        <v>61.279049999999998</v>
      </c>
      <c r="M21" s="110">
        <v>1.5</v>
      </c>
      <c r="N21" s="128">
        <v>0.38</v>
      </c>
      <c r="O21" s="470">
        <f t="shared" si="1"/>
        <v>34.555259999999997</v>
      </c>
      <c r="P21" s="110">
        <v>1.5</v>
      </c>
      <c r="Q21" s="128">
        <v>0.26</v>
      </c>
      <c r="R21" s="470">
        <f t="shared" si="2"/>
        <v>22.67802</v>
      </c>
    </row>
    <row r="22" spans="1:18" x14ac:dyDescent="0.25">
      <c r="A22" s="1057" t="s">
        <v>109</v>
      </c>
      <c r="B22" s="1058"/>
      <c r="C22" s="111">
        <f>IF(C21&lt;&gt;0, (C20-C21)/(C21-C19)*100, "")</f>
        <v>9.6810933940774468</v>
      </c>
      <c r="D22" s="112">
        <f>(D20-D21)/(D21-D19)*100</f>
        <v>9.649122807017541</v>
      </c>
      <c r="E22" s="111">
        <f>IF(E21&lt;&gt;0, (E20-E21)/(E21-E19)*100, "")</f>
        <v>9.7419694576092688</v>
      </c>
      <c r="F22" s="112">
        <f>(F20-F21)/(F21-F19)*100</f>
        <v>9.6577017114914501</v>
      </c>
      <c r="G22" s="112">
        <f>(G20-G21)/(G21-G19)*100</f>
        <v>9.708193041526382</v>
      </c>
      <c r="H22" s="112">
        <f>(H20-H21)/(H21-H19)*100</f>
        <v>9.6551724137930979</v>
      </c>
      <c r="I22" s="113"/>
      <c r="J22" s="109">
        <v>2</v>
      </c>
      <c r="K22" s="469">
        <v>0.98</v>
      </c>
      <c r="L22" s="470">
        <f t="shared" si="0"/>
        <v>93.941460000000006</v>
      </c>
      <c r="M22" s="110">
        <v>2</v>
      </c>
      <c r="N22" s="469">
        <v>0.51</v>
      </c>
      <c r="O22" s="470">
        <f t="shared" si="1"/>
        <v>47.422269999999997</v>
      </c>
      <c r="P22" s="110">
        <v>2</v>
      </c>
      <c r="Q22" s="128">
        <v>0.32</v>
      </c>
      <c r="R22" s="470">
        <f t="shared" si="2"/>
        <v>28.616640000000004</v>
      </c>
    </row>
    <row r="23" spans="1:18" x14ac:dyDescent="0.25">
      <c r="A23" s="1057" t="s">
        <v>110</v>
      </c>
      <c r="B23" s="1058"/>
      <c r="C23" s="649">
        <f>AVERAGE(C22:D22)</f>
        <v>9.6651081005474939</v>
      </c>
      <c r="D23" s="650"/>
      <c r="E23" s="649">
        <f>AVERAGE(E22:F22)</f>
        <v>9.6998355845503603</v>
      </c>
      <c r="F23" s="650"/>
      <c r="G23" s="649">
        <f>AVERAGE(G22:H22)</f>
        <v>9.6816827276597408</v>
      </c>
      <c r="H23" s="650"/>
      <c r="I23" s="114"/>
      <c r="J23" s="109">
        <v>2.5</v>
      </c>
      <c r="K23" s="128">
        <v>1.48</v>
      </c>
      <c r="L23" s="470">
        <f t="shared" si="0"/>
        <v>143.42996000000002</v>
      </c>
      <c r="M23" s="110">
        <v>2.5</v>
      </c>
      <c r="N23" s="128">
        <v>0.77</v>
      </c>
      <c r="O23" s="470">
        <f t="shared" si="1"/>
        <v>73.156289999999998</v>
      </c>
      <c r="P23" s="110">
        <v>2.5</v>
      </c>
      <c r="Q23" s="128">
        <v>0.46</v>
      </c>
      <c r="R23" s="470">
        <f t="shared" si="2"/>
        <v>42.473420000000004</v>
      </c>
    </row>
    <row r="24" spans="1:18" x14ac:dyDescent="0.25">
      <c r="A24" s="1070" t="s">
        <v>111</v>
      </c>
      <c r="B24" s="1071"/>
      <c r="C24" s="1072">
        <f>C23/J13*100</f>
        <v>99.640289696365926</v>
      </c>
      <c r="D24" s="1072"/>
      <c r="E24" s="1072">
        <f>E23/J13*100</f>
        <v>99.998304995364549</v>
      </c>
      <c r="F24" s="1072"/>
      <c r="G24" s="649">
        <f>G23/J13*100</f>
        <v>99.811162140822077</v>
      </c>
      <c r="H24" s="650"/>
      <c r="I24" s="114"/>
      <c r="J24" s="109">
        <v>5</v>
      </c>
      <c r="K24" s="128">
        <v>3.96</v>
      </c>
      <c r="L24" s="470">
        <f t="shared" si="0"/>
        <v>388.89292000000006</v>
      </c>
      <c r="M24" s="110">
        <v>5</v>
      </c>
      <c r="N24" s="128">
        <v>2.62</v>
      </c>
      <c r="O24" s="470">
        <f t="shared" si="1"/>
        <v>256.26374000000004</v>
      </c>
      <c r="P24" s="110">
        <v>5</v>
      </c>
      <c r="Q24" s="128">
        <v>1.41</v>
      </c>
      <c r="R24" s="470">
        <f t="shared" si="2"/>
        <v>136.50157000000002</v>
      </c>
    </row>
    <row r="25" spans="1:18" x14ac:dyDescent="0.25">
      <c r="A25" s="1062" t="s">
        <v>112</v>
      </c>
      <c r="B25" s="1063"/>
      <c r="C25" s="1063"/>
      <c r="D25" s="1063"/>
      <c r="E25" s="1063"/>
      <c r="F25" s="1063"/>
      <c r="G25" s="1063"/>
      <c r="H25" s="1064"/>
      <c r="I25" s="115"/>
      <c r="J25" s="109">
        <v>6</v>
      </c>
      <c r="K25" s="128">
        <v>4.92</v>
      </c>
      <c r="L25" s="470">
        <f t="shared" si="0"/>
        <v>483.91084000000006</v>
      </c>
      <c r="M25" s="110">
        <v>6</v>
      </c>
      <c r="N25" s="128">
        <v>3</v>
      </c>
      <c r="O25" s="470">
        <f t="shared" si="1"/>
        <v>293.875</v>
      </c>
      <c r="P25" s="110">
        <v>6</v>
      </c>
      <c r="Q25" s="128">
        <v>1.7</v>
      </c>
      <c r="R25" s="470">
        <f t="shared" si="2"/>
        <v>165.20490000000001</v>
      </c>
    </row>
    <row r="26" spans="1:18" ht="15.75" thickBot="1" x14ac:dyDescent="0.3">
      <c r="A26" s="1060" t="s">
        <v>113</v>
      </c>
      <c r="B26" s="1061"/>
      <c r="C26" s="1061"/>
      <c r="D26" s="99" t="s">
        <v>335</v>
      </c>
      <c r="E26" s="116"/>
      <c r="F26" s="99" t="s">
        <v>336</v>
      </c>
      <c r="G26" s="117"/>
      <c r="H26" s="99" t="s">
        <v>337</v>
      </c>
      <c r="I26" s="100"/>
      <c r="J26" s="118">
        <v>10</v>
      </c>
      <c r="K26" s="472">
        <v>7.89</v>
      </c>
      <c r="L26" s="470">
        <f t="shared" si="0"/>
        <v>777.8725300000001</v>
      </c>
      <c r="M26" s="119">
        <v>10</v>
      </c>
      <c r="N26" s="472">
        <v>5.0199999999999996</v>
      </c>
      <c r="O26" s="470">
        <f t="shared" si="1"/>
        <v>493.80853999999999</v>
      </c>
      <c r="P26" s="119">
        <v>10</v>
      </c>
      <c r="Q26" s="472">
        <v>2.75</v>
      </c>
      <c r="R26" s="470">
        <f t="shared" si="2"/>
        <v>269.13075000000003</v>
      </c>
    </row>
    <row r="27" spans="1:18" ht="15.75" thickBot="1" x14ac:dyDescent="0.3">
      <c r="A27" s="1060" t="s">
        <v>114</v>
      </c>
      <c r="B27" s="1061"/>
      <c r="C27" s="1061"/>
      <c r="D27" s="120">
        <v>5158</v>
      </c>
      <c r="E27" s="121"/>
      <c r="F27" s="120">
        <v>3748</v>
      </c>
      <c r="G27" s="122"/>
      <c r="H27" s="120">
        <v>3848</v>
      </c>
      <c r="I27" s="122"/>
      <c r="J27" s="1065"/>
      <c r="K27" s="1065"/>
      <c r="L27" s="1065"/>
      <c r="M27" s="1065"/>
      <c r="N27" s="1065"/>
      <c r="O27" s="1065"/>
      <c r="P27" s="1065"/>
      <c r="Q27" s="1065"/>
      <c r="R27" s="1066"/>
    </row>
    <row r="28" spans="1:18" x14ac:dyDescent="0.25">
      <c r="A28" s="1060" t="s">
        <v>115</v>
      </c>
      <c r="B28" s="1061"/>
      <c r="C28" s="1061"/>
      <c r="D28" s="120">
        <v>10115</v>
      </c>
      <c r="E28" s="121"/>
      <c r="F28" s="120">
        <v>8458</v>
      </c>
      <c r="G28" s="122"/>
      <c r="H28" s="120">
        <v>8310</v>
      </c>
      <c r="I28" s="123"/>
      <c r="J28" s="1067" t="s">
        <v>98</v>
      </c>
      <c r="K28" s="1068"/>
      <c r="L28" s="1068"/>
      <c r="M28" s="1068" t="s">
        <v>99</v>
      </c>
      <c r="N28" s="1068"/>
      <c r="O28" s="1068"/>
      <c r="P28" s="1068" t="s">
        <v>100</v>
      </c>
      <c r="Q28" s="1068"/>
      <c r="R28" s="1069"/>
    </row>
    <row r="29" spans="1:18" x14ac:dyDescent="0.25">
      <c r="A29" s="1060" t="s">
        <v>116</v>
      </c>
      <c r="B29" s="1061"/>
      <c r="C29" s="1061"/>
      <c r="D29" s="120">
        <v>2300</v>
      </c>
      <c r="E29" s="121"/>
      <c r="F29" s="120">
        <v>2300</v>
      </c>
      <c r="G29" s="124"/>
      <c r="H29" s="120">
        <v>2300</v>
      </c>
      <c r="I29" s="125"/>
      <c r="J29" s="1059" t="s">
        <v>105</v>
      </c>
      <c r="K29" s="1058"/>
      <c r="L29" s="99">
        <v>4</v>
      </c>
      <c r="M29" s="1058" t="s">
        <v>105</v>
      </c>
      <c r="N29" s="1058"/>
      <c r="O29" s="126" t="s">
        <v>314</v>
      </c>
      <c r="P29" s="1058" t="s">
        <v>105</v>
      </c>
      <c r="Q29" s="1058"/>
      <c r="R29" s="127" t="s">
        <v>312</v>
      </c>
    </row>
    <row r="30" spans="1:18" x14ac:dyDescent="0.25">
      <c r="A30" s="1057" t="s">
        <v>117</v>
      </c>
      <c r="B30" s="1058"/>
      <c r="C30" s="1058"/>
      <c r="D30" s="128">
        <f>IF(D28&lt;&gt;0, (D28-D27)/D29, "")</f>
        <v>2.155217391304348</v>
      </c>
      <c r="E30" s="121"/>
      <c r="F30" s="128">
        <f>IF(F28&lt;&gt;0, (F28-F27)/F29*1, "")</f>
        <v>2.0478260869565217</v>
      </c>
      <c r="G30" s="122"/>
      <c r="H30" s="128">
        <f>IF(H28&lt;&gt;0, (H28-H27)/H29*1, "")</f>
        <v>1.94</v>
      </c>
      <c r="I30" s="123"/>
      <c r="J30" s="1059" t="s">
        <v>118</v>
      </c>
      <c r="K30" s="1058"/>
      <c r="L30" s="99">
        <v>34.799999999999997</v>
      </c>
      <c r="M30" s="1058" t="s">
        <v>118</v>
      </c>
      <c r="N30" s="1058"/>
      <c r="O30" s="99">
        <v>23.6</v>
      </c>
      <c r="P30" s="1058" t="s">
        <v>118</v>
      </c>
      <c r="Q30" s="1058"/>
      <c r="R30" s="127">
        <v>40.5</v>
      </c>
    </row>
    <row r="31" spans="1:18" x14ac:dyDescent="0.25">
      <c r="A31" s="1057" t="s">
        <v>119</v>
      </c>
      <c r="B31" s="1058"/>
      <c r="C31" s="1058"/>
      <c r="D31" s="128">
        <f>IF(D28&lt;&gt;0, D30/(1+C23*0.01), "")</f>
        <v>1.9652717520036695</v>
      </c>
      <c r="E31" s="129"/>
      <c r="F31" s="128">
        <f>IF(F28&lt;&gt;0, F30/(1+E23*0.01), "")</f>
        <v>1.8667540165802476</v>
      </c>
      <c r="G31" s="130"/>
      <c r="H31" s="128">
        <f>IF(H28&lt;&gt;0, H30/(1+G23*0.01), "")</f>
        <v>1.7687547745023489</v>
      </c>
      <c r="I31" s="123"/>
      <c r="J31" s="1059" t="s">
        <v>107</v>
      </c>
      <c r="K31" s="1058"/>
      <c r="L31" s="99">
        <v>187.2</v>
      </c>
      <c r="M31" s="1058" t="s">
        <v>107</v>
      </c>
      <c r="N31" s="1058"/>
      <c r="O31" s="99">
        <v>146.6</v>
      </c>
      <c r="P31" s="1058" t="s">
        <v>107</v>
      </c>
      <c r="Q31" s="1058"/>
      <c r="R31" s="127">
        <v>186.6</v>
      </c>
    </row>
    <row r="32" spans="1:18" x14ac:dyDescent="0.25">
      <c r="A32" s="131"/>
      <c r="B32" s="132"/>
      <c r="C32" s="132"/>
      <c r="D32" s="121"/>
      <c r="E32" s="121"/>
      <c r="F32" s="121"/>
      <c r="G32" s="121"/>
      <c r="H32" s="121"/>
      <c r="I32" s="133"/>
      <c r="J32" s="1059" t="s">
        <v>120</v>
      </c>
      <c r="K32" s="1058"/>
      <c r="L32" s="99">
        <v>171.5</v>
      </c>
      <c r="M32" s="1058" t="s">
        <v>120</v>
      </c>
      <c r="N32" s="1058"/>
      <c r="O32" s="99">
        <v>133.69999999999999</v>
      </c>
      <c r="P32" s="1058" t="s">
        <v>120</v>
      </c>
      <c r="Q32" s="1058"/>
      <c r="R32" s="127">
        <v>171.2</v>
      </c>
    </row>
    <row r="33" spans="1:25" ht="15.75" thickBot="1" x14ac:dyDescent="0.3">
      <c r="A33" s="134"/>
      <c r="B33" s="135"/>
      <c r="C33" s="135"/>
      <c r="D33" s="121"/>
      <c r="E33" s="121"/>
      <c r="F33" s="121"/>
      <c r="G33" s="121"/>
      <c r="H33" s="121"/>
      <c r="I33" s="133"/>
      <c r="J33" s="1046" t="s">
        <v>109</v>
      </c>
      <c r="K33" s="1047"/>
      <c r="L33" s="136">
        <f>(L31-L32)/(L32-L30)*100</f>
        <v>11.485003657644469</v>
      </c>
      <c r="M33" s="1047" t="s">
        <v>109</v>
      </c>
      <c r="N33" s="1047"/>
      <c r="O33" s="136">
        <f>(O31-O32)/(O32-O30)*100</f>
        <v>11.716621253406</v>
      </c>
      <c r="P33" s="1047" t="s">
        <v>109</v>
      </c>
      <c r="Q33" s="1047"/>
      <c r="R33" s="136">
        <f>(R31-R32)/(R32-R30)*100</f>
        <v>11.782708492731452</v>
      </c>
    </row>
    <row r="34" spans="1:25" ht="15.75" thickBot="1" x14ac:dyDescent="0.3">
      <c r="A34" s="137"/>
      <c r="B34" s="138"/>
      <c r="C34" s="138"/>
      <c r="D34" s="139"/>
      <c r="E34" s="139"/>
      <c r="F34" s="139"/>
      <c r="G34" s="139"/>
      <c r="H34" s="139"/>
      <c r="I34" s="140"/>
      <c r="J34" s="1048" t="s">
        <v>121</v>
      </c>
      <c r="K34" s="1049"/>
      <c r="L34" s="1049"/>
      <c r="M34" s="1049"/>
      <c r="N34" s="1049"/>
      <c r="O34" s="1049"/>
      <c r="P34" s="1049"/>
      <c r="Q34" s="1049"/>
      <c r="R34" s="1050"/>
    </row>
    <row r="35" spans="1:25" x14ac:dyDescent="0.25">
      <c r="A35" s="141"/>
      <c r="B35" s="142"/>
      <c r="C35" s="142"/>
      <c r="D35" s="139"/>
      <c r="E35" s="139"/>
      <c r="F35" s="139"/>
      <c r="G35" s="139"/>
      <c r="H35" s="139"/>
      <c r="I35" s="140"/>
      <c r="J35" s="1051" t="s">
        <v>122</v>
      </c>
      <c r="K35" s="1052"/>
      <c r="L35" s="1053" t="s">
        <v>99</v>
      </c>
      <c r="M35" s="1052"/>
      <c r="N35" s="1053" t="s">
        <v>100</v>
      </c>
      <c r="O35" s="1052"/>
      <c r="P35" s="1054" t="s">
        <v>123</v>
      </c>
      <c r="Q35" s="1055"/>
      <c r="R35" s="1056"/>
    </row>
    <row r="36" spans="1:25" ht="18" x14ac:dyDescent="0.25">
      <c r="A36" s="141"/>
      <c r="B36" s="142"/>
      <c r="C36" s="142"/>
      <c r="D36" s="139"/>
      <c r="E36" s="139"/>
      <c r="F36" s="139"/>
      <c r="G36" s="139"/>
      <c r="H36" s="139"/>
      <c r="I36" s="140"/>
      <c r="J36" s="143" t="s">
        <v>124</v>
      </c>
      <c r="K36" s="144" t="s">
        <v>58</v>
      </c>
      <c r="L36" s="145" t="s">
        <v>124</v>
      </c>
      <c r="M36" s="144" t="s">
        <v>58</v>
      </c>
      <c r="N36" s="145" t="s">
        <v>124</v>
      </c>
      <c r="O36" s="93" t="s">
        <v>58</v>
      </c>
      <c r="P36" s="1039" t="e">
        <f>AVERAGE(K37,K38,M37,M38,O37,O38)</f>
        <v>#DIV/0!</v>
      </c>
      <c r="Q36" s="1026"/>
      <c r="R36" s="1040"/>
    </row>
    <row r="37" spans="1:25" x14ac:dyDescent="0.25">
      <c r="A37" s="141"/>
      <c r="B37" s="142"/>
      <c r="C37" s="142"/>
      <c r="D37" s="139"/>
      <c r="E37" s="139"/>
      <c r="F37" s="139"/>
      <c r="G37" s="139"/>
      <c r="H37" s="139"/>
      <c r="I37" s="140"/>
      <c r="J37" s="146">
        <v>1</v>
      </c>
      <c r="K37" s="147"/>
      <c r="L37" s="146">
        <v>1</v>
      </c>
      <c r="M37" s="147"/>
      <c r="N37" s="146">
        <v>1</v>
      </c>
      <c r="O37" s="147"/>
      <c r="P37" s="1039"/>
      <c r="Q37" s="1026"/>
      <c r="R37" s="1040"/>
    </row>
    <row r="38" spans="1:25" ht="15.75" thickBot="1" x14ac:dyDescent="0.3">
      <c r="A38" s="141"/>
      <c r="B38" s="142"/>
      <c r="C38" s="142"/>
      <c r="D38" s="139"/>
      <c r="E38" s="139"/>
      <c r="F38" s="139"/>
      <c r="G38" s="139"/>
      <c r="H38" s="139"/>
      <c r="I38" s="140"/>
      <c r="J38" s="148">
        <v>2</v>
      </c>
      <c r="K38" s="149"/>
      <c r="L38" s="148">
        <v>2</v>
      </c>
      <c r="M38" s="149"/>
      <c r="N38" s="148">
        <v>2</v>
      </c>
      <c r="O38" s="149"/>
      <c r="P38" s="1041"/>
      <c r="Q38" s="1042"/>
      <c r="R38" s="1043"/>
    </row>
    <row r="39" spans="1:25" ht="15.75" thickBot="1" x14ac:dyDescent="0.3">
      <c r="A39" s="141"/>
      <c r="B39" s="142"/>
      <c r="C39" s="142"/>
      <c r="D39" s="139"/>
      <c r="E39" s="139"/>
      <c r="F39" s="139"/>
      <c r="G39" s="139"/>
      <c r="H39" s="139"/>
      <c r="I39" s="139"/>
      <c r="J39" s="150"/>
      <c r="K39" s="150"/>
      <c r="L39" s="151"/>
      <c r="M39" s="152"/>
      <c r="N39" s="152"/>
      <c r="O39" s="152"/>
      <c r="P39" s="152"/>
      <c r="Q39" s="152"/>
      <c r="R39" s="153"/>
    </row>
    <row r="40" spans="1:25" x14ac:dyDescent="0.25">
      <c r="A40" s="141"/>
      <c r="B40" s="142"/>
      <c r="C40" s="142"/>
      <c r="D40" s="139"/>
      <c r="E40" s="139"/>
      <c r="F40" s="139"/>
      <c r="G40" s="139"/>
      <c r="H40" s="139"/>
      <c r="I40" s="140"/>
      <c r="J40" s="1044" t="s">
        <v>125</v>
      </c>
      <c r="K40" s="1044"/>
      <c r="L40" s="1044"/>
      <c r="M40" s="1044"/>
      <c r="N40" s="1044"/>
      <c r="O40" s="1044"/>
      <c r="P40" s="1044"/>
      <c r="Q40" s="1044"/>
      <c r="R40" s="1045"/>
    </row>
    <row r="41" spans="1:25" ht="15.75" thickBot="1" x14ac:dyDescent="0.3">
      <c r="A41" s="141"/>
      <c r="B41" s="142"/>
      <c r="C41" s="142"/>
      <c r="D41" s="139"/>
      <c r="E41" s="139"/>
      <c r="F41" s="139"/>
      <c r="G41" s="139"/>
      <c r="H41" s="139"/>
      <c r="I41" s="140"/>
      <c r="J41" s="1037" t="s">
        <v>98</v>
      </c>
      <c r="K41" s="1037"/>
      <c r="L41" s="1037"/>
      <c r="M41" s="1037"/>
      <c r="N41" s="1037"/>
      <c r="O41" s="1037"/>
      <c r="P41" s="1037"/>
      <c r="Q41" s="1037"/>
      <c r="R41" s="1038"/>
    </row>
    <row r="42" spans="1:25" ht="15.75" thickBot="1" x14ac:dyDescent="0.3">
      <c r="A42" s="141"/>
      <c r="B42" s="142"/>
      <c r="C42" s="142"/>
      <c r="D42" s="139"/>
      <c r="E42" s="139"/>
      <c r="F42" s="139"/>
      <c r="G42" s="139"/>
      <c r="H42" s="139"/>
      <c r="I42" s="140"/>
      <c r="J42" s="154" t="s">
        <v>126</v>
      </c>
      <c r="K42" s="155">
        <f>L23</f>
        <v>143.42996000000002</v>
      </c>
      <c r="L42" s="156" t="s">
        <v>127</v>
      </c>
      <c r="M42" s="157"/>
      <c r="N42" s="1027" t="s">
        <v>128</v>
      </c>
      <c r="O42" s="1028"/>
      <c r="P42" s="158">
        <f>(((K42)/13.58))</f>
        <v>10.561852724594994</v>
      </c>
      <c r="Q42" s="1029" t="s">
        <v>129</v>
      </c>
      <c r="R42" s="1031">
        <f>MAX(P42:P43)</f>
        <v>18.896643343051512</v>
      </c>
    </row>
    <row r="43" spans="1:25" ht="15.75" thickBot="1" x14ac:dyDescent="0.3">
      <c r="A43" s="141"/>
      <c r="B43" s="142"/>
      <c r="C43" s="142"/>
      <c r="D43" s="139"/>
      <c r="E43" s="139"/>
      <c r="F43" s="139"/>
      <c r="G43" s="139"/>
      <c r="H43" s="139"/>
      <c r="I43" s="140"/>
      <c r="J43" s="159" t="s">
        <v>130</v>
      </c>
      <c r="K43" s="160">
        <f>L24</f>
        <v>388.89292000000006</v>
      </c>
      <c r="L43" s="161" t="s">
        <v>127</v>
      </c>
      <c r="M43" s="157"/>
      <c r="N43" s="1033" t="s">
        <v>131</v>
      </c>
      <c r="O43" s="1034"/>
      <c r="P43" s="162">
        <f>(((K43)/20.58))</f>
        <v>18.896643343051512</v>
      </c>
      <c r="Q43" s="1030"/>
      <c r="R43" s="1032"/>
    </row>
    <row r="44" spans="1:25" ht="9" customHeight="1" x14ac:dyDescent="0.25">
      <c r="A44" s="141"/>
      <c r="B44" s="142"/>
      <c r="C44" s="142"/>
      <c r="D44" s="139"/>
      <c r="E44" s="139"/>
      <c r="F44" s="139"/>
      <c r="G44" s="139"/>
      <c r="H44" s="139"/>
      <c r="I44" s="140"/>
      <c r="J44" s="142"/>
      <c r="K44" s="142"/>
      <c r="L44" s="142"/>
      <c r="M44" s="163"/>
      <c r="N44" s="164"/>
      <c r="O44" s="164"/>
      <c r="P44" s="164"/>
      <c r="Q44" s="164"/>
      <c r="R44" s="157"/>
    </row>
    <row r="45" spans="1:25" ht="15.75" thickBot="1" x14ac:dyDescent="0.3">
      <c r="A45" s="141"/>
      <c r="B45" s="142"/>
      <c r="C45" s="142"/>
      <c r="D45" s="139"/>
      <c r="E45" s="139"/>
      <c r="F45" s="139"/>
      <c r="G45" s="139"/>
      <c r="H45" s="139"/>
      <c r="I45" s="140"/>
      <c r="J45" s="1037" t="s">
        <v>99</v>
      </c>
      <c r="K45" s="1037"/>
      <c r="L45" s="1037"/>
      <c r="M45" s="1037"/>
      <c r="N45" s="1037"/>
      <c r="O45" s="1037"/>
      <c r="P45" s="1037"/>
      <c r="Q45" s="1037"/>
      <c r="R45" s="1038"/>
    </row>
    <row r="46" spans="1:25" ht="15.75" thickBot="1" x14ac:dyDescent="0.3">
      <c r="A46" s="141"/>
      <c r="B46" s="142"/>
      <c r="C46" s="142"/>
      <c r="D46" s="139"/>
      <c r="E46" s="139"/>
      <c r="F46" s="139"/>
      <c r="G46" s="139"/>
      <c r="H46" s="139"/>
      <c r="I46" s="140"/>
      <c r="J46" s="154" t="s">
        <v>126</v>
      </c>
      <c r="K46" s="155">
        <f>O23</f>
        <v>73.156289999999998</v>
      </c>
      <c r="L46" s="156" t="s">
        <v>127</v>
      </c>
      <c r="M46" s="165"/>
      <c r="N46" s="1027" t="s">
        <v>128</v>
      </c>
      <c r="O46" s="1028"/>
      <c r="P46" s="158">
        <f>(((K46)/13.58))</f>
        <v>5.3870611192930777</v>
      </c>
      <c r="Q46" s="1029" t="s">
        <v>129</v>
      </c>
      <c r="R46" s="1031">
        <f>MAX(P46:P47)</f>
        <v>12.452076773566572</v>
      </c>
    </row>
    <row r="47" spans="1:25" ht="15.75" thickBot="1" x14ac:dyDescent="0.3">
      <c r="A47" s="141"/>
      <c r="B47" s="142"/>
      <c r="C47" s="142"/>
      <c r="D47" s="139"/>
      <c r="E47" s="139"/>
      <c r="F47" s="139"/>
      <c r="G47" s="139"/>
      <c r="H47" s="139"/>
      <c r="I47" s="140"/>
      <c r="J47" s="159" t="s">
        <v>130</v>
      </c>
      <c r="K47" s="160">
        <f>O24</f>
        <v>256.26374000000004</v>
      </c>
      <c r="L47" s="161" t="s">
        <v>127</v>
      </c>
      <c r="M47" s="165"/>
      <c r="N47" s="1033" t="s">
        <v>131</v>
      </c>
      <c r="O47" s="1034"/>
      <c r="P47" s="162">
        <f>(((K47)/20.58))</f>
        <v>12.452076773566572</v>
      </c>
      <c r="Q47" s="1030"/>
      <c r="R47" s="1032"/>
      <c r="Y47" t="b">
        <f>'CBR Crb (2)'!U28=' CBR Poinc'!J12=' CBR Poinc'!J12=' CBR Poinc'!J12=' CBR Poinc'!J1</f>
        <v>1</v>
      </c>
    </row>
    <row r="48" spans="1:25" ht="8.4499999999999993" customHeight="1" x14ac:dyDescent="0.25">
      <c r="A48" s="141"/>
      <c r="B48" s="142"/>
      <c r="C48" s="142"/>
      <c r="D48" s="139"/>
      <c r="E48" s="139"/>
      <c r="F48" s="139"/>
      <c r="G48" s="139"/>
      <c r="H48" s="139"/>
      <c r="I48" s="140"/>
      <c r="J48" s="142"/>
      <c r="K48" s="142"/>
      <c r="L48" s="142"/>
      <c r="M48" s="163"/>
      <c r="N48" s="164"/>
      <c r="O48" s="164"/>
      <c r="P48" s="164"/>
      <c r="Q48" s="164"/>
      <c r="R48" s="157"/>
    </row>
    <row r="49" spans="1:18" ht="15.75" thickBot="1" x14ac:dyDescent="0.3">
      <c r="A49" s="141"/>
      <c r="B49" s="142"/>
      <c r="C49" s="142"/>
      <c r="D49" s="139"/>
      <c r="E49" s="139"/>
      <c r="F49" s="139"/>
      <c r="G49" s="139"/>
      <c r="H49" s="139"/>
      <c r="I49" s="140"/>
      <c r="J49" s="1037" t="s">
        <v>100</v>
      </c>
      <c r="K49" s="1037"/>
      <c r="L49" s="1037"/>
      <c r="M49" s="1037"/>
      <c r="N49" s="1037"/>
      <c r="O49" s="1037"/>
      <c r="P49" s="1037"/>
      <c r="Q49" s="1037"/>
      <c r="R49" s="1038"/>
    </row>
    <row r="50" spans="1:18" ht="15.75" thickBot="1" x14ac:dyDescent="0.3">
      <c r="A50" s="141"/>
      <c r="B50" s="1026"/>
      <c r="C50" s="1026"/>
      <c r="D50" s="1026"/>
      <c r="E50" s="1026"/>
      <c r="F50" s="1026"/>
      <c r="G50" s="1026"/>
      <c r="H50" s="1026"/>
      <c r="I50" s="140"/>
      <c r="J50" s="154" t="s">
        <v>126</v>
      </c>
      <c r="K50" s="155">
        <f>R23</f>
        <v>42.473420000000004</v>
      </c>
      <c r="L50" s="156" t="s">
        <v>127</v>
      </c>
      <c r="M50" s="165"/>
      <c r="N50" s="1027" t="s">
        <v>128</v>
      </c>
      <c r="O50" s="1028"/>
      <c r="P50" s="158">
        <f>(((K50)/13.58))</f>
        <v>3.1276450662739324</v>
      </c>
      <c r="Q50" s="1029" t="s">
        <v>129</v>
      </c>
      <c r="R50" s="1031">
        <f>MAX(P50:P51)</f>
        <v>6.6327293488824113</v>
      </c>
    </row>
    <row r="51" spans="1:18" ht="15.75" thickBot="1" x14ac:dyDescent="0.3">
      <c r="A51" s="137"/>
      <c r="B51" s="138"/>
      <c r="C51" s="138"/>
      <c r="D51" s="138"/>
      <c r="E51" s="138"/>
      <c r="F51" s="139"/>
      <c r="G51" s="139"/>
      <c r="H51" s="139"/>
      <c r="I51" s="140"/>
      <c r="J51" s="166" t="s">
        <v>130</v>
      </c>
      <c r="K51" s="160">
        <f>R24</f>
        <v>136.50157000000002</v>
      </c>
      <c r="L51" s="161" t="s">
        <v>127</v>
      </c>
      <c r="M51" s="167"/>
      <c r="N51" s="1033" t="s">
        <v>131</v>
      </c>
      <c r="O51" s="1034"/>
      <c r="P51" s="162">
        <f>(((K51)/20.58))</f>
        <v>6.6327293488824113</v>
      </c>
      <c r="Q51" s="1030"/>
      <c r="R51" s="1032"/>
    </row>
    <row r="52" spans="1:18" x14ac:dyDescent="0.25">
      <c r="A52" s="137"/>
      <c r="B52" s="138"/>
      <c r="C52" s="138"/>
      <c r="D52" s="138"/>
      <c r="E52" s="138"/>
      <c r="F52" s="139"/>
      <c r="G52" s="139"/>
      <c r="H52" s="139"/>
      <c r="I52" s="139"/>
      <c r="J52" s="1035" t="s">
        <v>132</v>
      </c>
      <c r="K52" s="1035"/>
      <c r="L52" s="1035"/>
      <c r="M52" s="1036" t="s">
        <v>269</v>
      </c>
      <c r="N52" s="1036"/>
      <c r="O52" s="1036"/>
      <c r="P52" s="1036"/>
      <c r="Q52" s="1036"/>
      <c r="R52" s="72"/>
    </row>
    <row r="53" spans="1:18" ht="15.75" thickBot="1" x14ac:dyDescent="0.3">
      <c r="A53" s="168" t="s">
        <v>133</v>
      </c>
      <c r="B53" s="169"/>
      <c r="C53" s="169"/>
      <c r="D53" s="169"/>
      <c r="E53" s="169"/>
      <c r="F53" s="169"/>
      <c r="G53" s="169"/>
      <c r="H53" s="1024" t="s">
        <v>134</v>
      </c>
      <c r="I53" s="1024"/>
      <c r="J53" s="1024"/>
      <c r="K53" s="1024"/>
      <c r="L53" s="1024"/>
      <c r="M53" s="1025" t="s">
        <v>270</v>
      </c>
      <c r="N53" s="1025"/>
      <c r="O53" s="1025"/>
      <c r="P53" s="1025"/>
      <c r="Q53" s="1025"/>
      <c r="R53" s="170"/>
    </row>
  </sheetData>
  <mergeCells count="116">
    <mergeCell ref="G1:L2"/>
    <mergeCell ref="N1:Q1"/>
    <mergeCell ref="N2:Q2"/>
    <mergeCell ref="G3:L3"/>
    <mergeCell ref="A4:C4"/>
    <mergeCell ref="D4:I4"/>
    <mergeCell ref="J4:M4"/>
    <mergeCell ref="N4:Q4"/>
    <mergeCell ref="A7:C7"/>
    <mergeCell ref="D7:I7"/>
    <mergeCell ref="J7:M7"/>
    <mergeCell ref="N7:Q7"/>
    <mergeCell ref="J8:M8"/>
    <mergeCell ref="N8:Q8"/>
    <mergeCell ref="A5:C5"/>
    <mergeCell ref="D5:I5"/>
    <mergeCell ref="J5:M5"/>
    <mergeCell ref="N5:Q5"/>
    <mergeCell ref="A6:C6"/>
    <mergeCell ref="D6:I6"/>
    <mergeCell ref="J6:M6"/>
    <mergeCell ref="N6:Q6"/>
    <mergeCell ref="I11:J11"/>
    <mergeCell ref="P11:Q11"/>
    <mergeCell ref="B12:D12"/>
    <mergeCell ref="H12:I12"/>
    <mergeCell ref="M12:O12"/>
    <mergeCell ref="H13:I13"/>
    <mergeCell ref="M13:N13"/>
    <mergeCell ref="A9:A12"/>
    <mergeCell ref="B9:D9"/>
    <mergeCell ref="H9:H10"/>
    <mergeCell ref="I9:J9"/>
    <mergeCell ref="M9:N11"/>
    <mergeCell ref="O9:P9"/>
    <mergeCell ref="B10:D10"/>
    <mergeCell ref="I10:J10"/>
    <mergeCell ref="O10:P10"/>
    <mergeCell ref="B11:D11"/>
    <mergeCell ref="A14:R14"/>
    <mergeCell ref="A15:J15"/>
    <mergeCell ref="K15:R15"/>
    <mergeCell ref="A16:B16"/>
    <mergeCell ref="C16:D16"/>
    <mergeCell ref="E16:F16"/>
    <mergeCell ref="G16:H16"/>
    <mergeCell ref="J16:L16"/>
    <mergeCell ref="M16:O16"/>
    <mergeCell ref="P16:R16"/>
    <mergeCell ref="A23:B23"/>
    <mergeCell ref="C23:D23"/>
    <mergeCell ref="E23:F23"/>
    <mergeCell ref="G23:H23"/>
    <mergeCell ref="A24:B24"/>
    <mergeCell ref="C24:D24"/>
    <mergeCell ref="E24:F24"/>
    <mergeCell ref="G24:H24"/>
    <mergeCell ref="A17:B17"/>
    <mergeCell ref="A18:B18"/>
    <mergeCell ref="A19:B19"/>
    <mergeCell ref="A20:B20"/>
    <mergeCell ref="A21:B21"/>
    <mergeCell ref="A22:B22"/>
    <mergeCell ref="A29:C29"/>
    <mergeCell ref="J29:K29"/>
    <mergeCell ref="M29:N29"/>
    <mergeCell ref="P29:Q29"/>
    <mergeCell ref="A30:C30"/>
    <mergeCell ref="J30:K30"/>
    <mergeCell ref="M30:N30"/>
    <mergeCell ref="P30:Q30"/>
    <mergeCell ref="A25:H25"/>
    <mergeCell ref="A26:C26"/>
    <mergeCell ref="A27:C27"/>
    <mergeCell ref="J27:R27"/>
    <mergeCell ref="A28:C28"/>
    <mergeCell ref="J28:L28"/>
    <mergeCell ref="M28:O28"/>
    <mergeCell ref="P28:R28"/>
    <mergeCell ref="J33:K33"/>
    <mergeCell ref="M33:N33"/>
    <mergeCell ref="P33:Q33"/>
    <mergeCell ref="J34:R34"/>
    <mergeCell ref="J35:K35"/>
    <mergeCell ref="L35:M35"/>
    <mergeCell ref="N35:O35"/>
    <mergeCell ref="P35:R35"/>
    <mergeCell ref="A31:C31"/>
    <mergeCell ref="J31:K31"/>
    <mergeCell ref="M31:N31"/>
    <mergeCell ref="P31:Q31"/>
    <mergeCell ref="J32:K32"/>
    <mergeCell ref="M32:N32"/>
    <mergeCell ref="P32:Q32"/>
    <mergeCell ref="J45:R45"/>
    <mergeCell ref="N46:O46"/>
    <mergeCell ref="Q46:Q47"/>
    <mergeCell ref="R46:R47"/>
    <mergeCell ref="N47:O47"/>
    <mergeCell ref="J49:R49"/>
    <mergeCell ref="P36:R38"/>
    <mergeCell ref="J40:R40"/>
    <mergeCell ref="J41:R41"/>
    <mergeCell ref="N42:O42"/>
    <mergeCell ref="Q42:Q43"/>
    <mergeCell ref="R42:R43"/>
    <mergeCell ref="N43:O43"/>
    <mergeCell ref="H53:L53"/>
    <mergeCell ref="M53:Q53"/>
    <mergeCell ref="B50:H50"/>
    <mergeCell ref="N50:O50"/>
    <mergeCell ref="Q50:Q51"/>
    <mergeCell ref="R50:R51"/>
    <mergeCell ref="N51:O51"/>
    <mergeCell ref="J52:L52"/>
    <mergeCell ref="M52:Q52"/>
  </mergeCells>
  <pageMargins left="0.70866141732283472" right="0.70866141732283472" top="0.74803149606299213" bottom="0.74803149606299213" header="0.31496062992125984" footer="0.31496062992125984"/>
  <pageSetup paperSize="9" scale="95"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U47"/>
  <sheetViews>
    <sheetView topLeftCell="A33" zoomScale="142" zoomScaleNormal="142" workbookViewId="0">
      <selection activeCell="S39" sqref="S39"/>
    </sheetView>
  </sheetViews>
  <sheetFormatPr baseColWidth="10" defaultRowHeight="15" x14ac:dyDescent="0.25"/>
  <cols>
    <col min="1" max="1" width="6.28515625" customWidth="1"/>
    <col min="2" max="2" width="5.7109375" customWidth="1"/>
    <col min="3" max="3" width="4.28515625" customWidth="1"/>
    <col min="4" max="4" width="6.28515625" customWidth="1"/>
    <col min="5" max="5" width="4.28515625" customWidth="1"/>
    <col min="6" max="6" width="1.7109375" customWidth="1"/>
    <col min="7" max="7" width="2.7109375" customWidth="1"/>
    <col min="8" max="8" width="5.85546875" customWidth="1"/>
    <col min="9" max="10" width="4.7109375" customWidth="1"/>
    <col min="11" max="11" width="3.85546875" customWidth="1"/>
    <col min="12" max="12" width="3.7109375" customWidth="1"/>
    <col min="13" max="13" width="4.28515625" customWidth="1"/>
    <col min="14" max="14" width="5.28515625" customWidth="1"/>
    <col min="15" max="15" width="4.7109375" customWidth="1"/>
    <col min="16" max="16" width="5.85546875" customWidth="1"/>
    <col min="17" max="17" width="5.28515625" customWidth="1"/>
    <col min="18" max="18" width="4.7109375" customWidth="1"/>
  </cols>
  <sheetData>
    <row r="1" spans="1:18" ht="16.5" thickBot="1" x14ac:dyDescent="0.3">
      <c r="A1" s="171"/>
      <c r="B1" s="172"/>
      <c r="C1" s="172"/>
      <c r="D1" s="172"/>
      <c r="E1" s="173"/>
      <c r="F1" s="174"/>
      <c r="G1" s="1288" t="s">
        <v>75</v>
      </c>
      <c r="H1" s="1288"/>
      <c r="I1" s="1288"/>
      <c r="J1" s="1288"/>
      <c r="K1" s="1288"/>
      <c r="L1" s="1289"/>
      <c r="M1" s="175"/>
      <c r="N1" s="1292" t="s">
        <v>61</v>
      </c>
      <c r="O1" s="1293"/>
      <c r="P1" s="1293"/>
      <c r="Q1" s="1294"/>
      <c r="R1" s="174"/>
    </row>
    <row r="2" spans="1:18" ht="24" thickBot="1" x14ac:dyDescent="0.3">
      <c r="A2" s="176"/>
      <c r="B2" s="177"/>
      <c r="C2" s="177"/>
      <c r="D2" s="177"/>
      <c r="E2" s="178"/>
      <c r="F2" s="179"/>
      <c r="G2" s="1290"/>
      <c r="H2" s="1290"/>
      <c r="I2" s="1290"/>
      <c r="J2" s="1290"/>
      <c r="K2" s="1290"/>
      <c r="L2" s="1291"/>
      <c r="M2" s="180"/>
      <c r="N2" s="1295" t="s">
        <v>313</v>
      </c>
      <c r="O2" s="1296"/>
      <c r="P2" s="1296"/>
      <c r="Q2" s="1297"/>
      <c r="R2" s="179"/>
    </row>
    <row r="3" spans="1:18" ht="19.5" thickBot="1" x14ac:dyDescent="0.3">
      <c r="A3" s="176"/>
      <c r="B3" s="177"/>
      <c r="C3" s="177"/>
      <c r="D3" s="177"/>
      <c r="E3" s="181"/>
      <c r="F3" s="179"/>
      <c r="G3" s="1298" t="s">
        <v>135</v>
      </c>
      <c r="H3" s="1298"/>
      <c r="I3" s="1298"/>
      <c r="J3" s="1298"/>
      <c r="K3" s="1298"/>
      <c r="L3" s="1299"/>
      <c r="M3" s="182"/>
      <c r="N3" s="182"/>
      <c r="O3" s="182"/>
      <c r="P3" s="182"/>
      <c r="Q3" s="180"/>
      <c r="R3" s="179"/>
    </row>
    <row r="4" spans="1:18" ht="15.75" thickBot="1" x14ac:dyDescent="0.3">
      <c r="A4" s="183"/>
      <c r="B4" s="184"/>
      <c r="C4" s="184"/>
      <c r="D4" s="184"/>
      <c r="E4" s="184"/>
      <c r="F4" s="185"/>
      <c r="G4" s="185"/>
      <c r="H4" s="185"/>
      <c r="I4" s="177"/>
      <c r="J4" s="177"/>
      <c r="K4" s="177"/>
      <c r="L4" s="177"/>
      <c r="M4" s="177"/>
      <c r="N4" s="186"/>
      <c r="O4" s="186"/>
      <c r="P4" s="186"/>
      <c r="Q4" s="187"/>
      <c r="R4" s="179"/>
    </row>
    <row r="5" spans="1:18" ht="12.6" customHeight="1" thickBot="1" x14ac:dyDescent="0.3">
      <c r="A5" s="1125" t="s">
        <v>63</v>
      </c>
      <c r="B5" s="1120"/>
      <c r="C5" s="1120"/>
      <c r="D5" s="1300" t="str">
        <f>' CBR Poinc'!D4:I4</f>
        <v>Corniche Pont du Djoué</v>
      </c>
      <c r="E5" s="1130"/>
      <c r="F5" s="1130"/>
      <c r="G5" s="1130"/>
      <c r="H5" s="1130"/>
      <c r="I5" s="1131"/>
      <c r="J5" s="1120" t="s">
        <v>64</v>
      </c>
      <c r="K5" s="1120"/>
      <c r="L5" s="1120"/>
      <c r="M5" s="1121"/>
      <c r="N5" s="1126" t="s">
        <v>136</v>
      </c>
      <c r="O5" s="1127"/>
      <c r="P5" s="1127"/>
      <c r="Q5" s="1128"/>
      <c r="R5" s="179"/>
    </row>
    <row r="6" spans="1:18" ht="12" customHeight="1" thickBot="1" x14ac:dyDescent="0.3">
      <c r="A6" s="1125" t="s">
        <v>65</v>
      </c>
      <c r="B6" s="1120"/>
      <c r="C6" s="1120"/>
      <c r="D6" s="1126"/>
      <c r="E6" s="1127"/>
      <c r="F6" s="1127"/>
      <c r="G6" s="1127"/>
      <c r="H6" s="1127"/>
      <c r="I6" s="1128"/>
      <c r="J6" s="1120" t="s">
        <v>66</v>
      </c>
      <c r="K6" s="1120"/>
      <c r="L6" s="1120"/>
      <c r="M6" s="1121"/>
      <c r="N6" s="1280" t="str">
        <f>' CBR Poinc'!N5:Q5</f>
        <v>Puit 2 - 4ème couche</v>
      </c>
      <c r="O6" s="1025"/>
      <c r="P6" s="1025"/>
      <c r="Q6" s="1281"/>
      <c r="R6" s="179"/>
    </row>
    <row r="7" spans="1:18" ht="10.9" customHeight="1" thickBot="1" x14ac:dyDescent="0.3">
      <c r="A7" s="1125" t="s">
        <v>67</v>
      </c>
      <c r="B7" s="1120"/>
      <c r="C7" s="1120"/>
      <c r="D7" s="1282"/>
      <c r="E7" s="1283"/>
      <c r="F7" s="1283"/>
      <c r="G7" s="1283"/>
      <c r="H7" s="1283"/>
      <c r="I7" s="1284"/>
      <c r="J7" s="1120" t="s">
        <v>137</v>
      </c>
      <c r="K7" s="1120"/>
      <c r="L7" s="1120"/>
      <c r="M7" s="1121"/>
      <c r="N7" s="1285"/>
      <c r="O7" s="1286"/>
      <c r="P7" s="1286"/>
      <c r="Q7" s="1287"/>
      <c r="R7" s="179"/>
    </row>
    <row r="8" spans="1:18" ht="11.45" customHeight="1" thickBot="1" x14ac:dyDescent="0.3">
      <c r="A8" s="1125" t="s">
        <v>69</v>
      </c>
      <c r="B8" s="1120"/>
      <c r="C8" s="1120"/>
      <c r="D8" s="1151" t="str">
        <f>' CBR Poinc'!D7:I7</f>
        <v>Du 10/12/2019 au 27/12/2019</v>
      </c>
      <c r="E8" s="1152"/>
      <c r="F8" s="1152"/>
      <c r="G8" s="1152"/>
      <c r="H8" s="1152"/>
      <c r="I8" s="1153"/>
      <c r="J8" s="1120" t="s">
        <v>70</v>
      </c>
      <c r="K8" s="1120"/>
      <c r="L8" s="1120"/>
      <c r="M8" s="1121"/>
      <c r="N8" s="1132" t="s">
        <v>136</v>
      </c>
      <c r="O8" s="1127"/>
      <c r="P8" s="1127"/>
      <c r="Q8" s="1128"/>
      <c r="R8" s="179"/>
    </row>
    <row r="9" spans="1:18" ht="22.15" customHeight="1" thickBot="1" x14ac:dyDescent="0.3">
      <c r="A9" s="188"/>
      <c r="B9" s="189"/>
      <c r="C9" s="189"/>
      <c r="D9" s="189"/>
      <c r="E9" s="189"/>
      <c r="F9" s="189"/>
      <c r="G9" s="189"/>
      <c r="H9" s="189"/>
      <c r="I9" s="189"/>
      <c r="J9" s="1120" t="s">
        <v>71</v>
      </c>
      <c r="K9" s="1120"/>
      <c r="L9" s="1120"/>
      <c r="M9" s="1121"/>
      <c r="N9" s="1132" t="str">
        <f>' CBR Poinc'!N8:Q8</f>
        <v>Sable Jaune</v>
      </c>
      <c r="O9" s="1127"/>
      <c r="P9" s="1127"/>
      <c r="Q9" s="1128"/>
      <c r="R9" s="179"/>
    </row>
    <row r="10" spans="1:18" ht="7.15" customHeight="1" thickBot="1" x14ac:dyDescent="0.3">
      <c r="A10" s="190"/>
      <c r="B10" s="186"/>
      <c r="C10" s="186"/>
      <c r="D10" s="191"/>
      <c r="E10" s="191"/>
      <c r="F10" s="189"/>
      <c r="G10" s="189"/>
      <c r="H10" s="191"/>
      <c r="I10" s="191"/>
      <c r="J10" s="192"/>
      <c r="K10" s="191"/>
      <c r="L10" s="189"/>
      <c r="M10" s="191"/>
      <c r="N10" s="191"/>
      <c r="O10" s="191"/>
      <c r="P10" s="191"/>
      <c r="Q10" s="192"/>
      <c r="R10" s="179"/>
    </row>
    <row r="11" spans="1:18" ht="16.5" thickBot="1" x14ac:dyDescent="0.3">
      <c r="A11" s="1260" t="s">
        <v>72</v>
      </c>
      <c r="B11" s="1263" t="s">
        <v>73</v>
      </c>
      <c r="C11" s="1264"/>
      <c r="D11" s="1265"/>
      <c r="E11" s="193"/>
      <c r="F11" s="177"/>
      <c r="G11" s="194"/>
      <c r="H11" s="1266" t="s">
        <v>74</v>
      </c>
      <c r="I11" s="1268" t="s">
        <v>75</v>
      </c>
      <c r="J11" s="1265"/>
      <c r="K11" s="195" t="s">
        <v>76</v>
      </c>
      <c r="L11" s="194"/>
      <c r="M11" s="1269" t="s">
        <v>77</v>
      </c>
      <c r="N11" s="1270"/>
      <c r="O11" s="1275" t="s">
        <v>78</v>
      </c>
      <c r="P11" s="1259"/>
      <c r="Q11" s="196" t="s">
        <v>76</v>
      </c>
      <c r="R11" s="179"/>
    </row>
    <row r="12" spans="1:18" ht="16.5" thickBot="1" x14ac:dyDescent="0.3">
      <c r="A12" s="1261"/>
      <c r="B12" s="1263" t="s">
        <v>79</v>
      </c>
      <c r="C12" s="1264"/>
      <c r="D12" s="1265"/>
      <c r="E12" s="193" t="s">
        <v>76</v>
      </c>
      <c r="F12" s="177"/>
      <c r="G12" s="194"/>
      <c r="H12" s="1267"/>
      <c r="I12" s="1276" t="s">
        <v>80</v>
      </c>
      <c r="J12" s="1277"/>
      <c r="K12" s="197">
        <v>2</v>
      </c>
      <c r="L12" s="194"/>
      <c r="M12" s="1271"/>
      <c r="N12" s="1272"/>
      <c r="O12" s="1278" t="s">
        <v>81</v>
      </c>
      <c r="P12" s="1279"/>
      <c r="Q12" s="198"/>
      <c r="R12" s="179"/>
    </row>
    <row r="13" spans="1:18" ht="16.5" thickBot="1" x14ac:dyDescent="0.3">
      <c r="A13" s="1261"/>
      <c r="B13" s="1248" t="s">
        <v>82</v>
      </c>
      <c r="C13" s="1249"/>
      <c r="D13" s="1250"/>
      <c r="E13" s="199"/>
      <c r="F13" s="177"/>
      <c r="G13" s="177"/>
      <c r="H13" s="200"/>
      <c r="I13" s="1245"/>
      <c r="J13" s="1245"/>
      <c r="K13" s="201"/>
      <c r="L13" s="194"/>
      <c r="M13" s="1273"/>
      <c r="N13" s="1274"/>
      <c r="O13" s="202" t="s">
        <v>83</v>
      </c>
      <c r="P13" s="1246" t="s">
        <v>84</v>
      </c>
      <c r="Q13" s="1247"/>
      <c r="R13" s="179"/>
    </row>
    <row r="14" spans="1:18" ht="16.5" thickBot="1" x14ac:dyDescent="0.3">
      <c r="A14" s="1262"/>
      <c r="B14" s="1248" t="s">
        <v>138</v>
      </c>
      <c r="C14" s="1249"/>
      <c r="D14" s="1250"/>
      <c r="E14" s="199"/>
      <c r="F14" s="177"/>
      <c r="G14" s="177"/>
      <c r="H14" s="1251" t="s">
        <v>139</v>
      </c>
      <c r="I14" s="1252"/>
      <c r="J14" s="327">
        <f>' CBR Poinc'!J12</f>
        <v>1.9650000000000001</v>
      </c>
      <c r="K14" s="203" t="str">
        <f>[1]CBR!K15</f>
        <v>t/m3</v>
      </c>
      <c r="L14" s="194"/>
      <c r="M14" s="1253" t="s">
        <v>140</v>
      </c>
      <c r="N14" s="1254"/>
      <c r="O14" s="1255"/>
      <c r="P14" s="204"/>
      <c r="Q14" s="205" t="s">
        <v>141</v>
      </c>
      <c r="R14" s="179"/>
    </row>
    <row r="15" spans="1:18" ht="16.5" thickBot="1" x14ac:dyDescent="0.3">
      <c r="A15" s="176"/>
      <c r="B15" s="177"/>
      <c r="C15" s="177"/>
      <c r="D15" s="177"/>
      <c r="E15" s="177"/>
      <c r="F15" s="177"/>
      <c r="G15" s="194"/>
      <c r="H15" s="1256" t="s">
        <v>142</v>
      </c>
      <c r="I15" s="1257"/>
      <c r="J15" s="328">
        <f>' CBR Poinc'!J13</f>
        <v>9.6999999999999993</v>
      </c>
      <c r="K15" s="86" t="s">
        <v>44</v>
      </c>
      <c r="L15" s="177"/>
      <c r="M15" s="1258" t="s">
        <v>92</v>
      </c>
      <c r="N15" s="1259"/>
      <c r="O15" s="206"/>
      <c r="P15" s="207" t="s">
        <v>93</v>
      </c>
      <c r="Q15" s="208" t="s">
        <v>76</v>
      </c>
      <c r="R15" s="179"/>
    </row>
    <row r="16" spans="1:18" ht="9" customHeight="1" x14ac:dyDescent="0.25">
      <c r="A16" s="176"/>
      <c r="B16" s="177"/>
      <c r="C16" s="177"/>
      <c r="D16" s="177"/>
      <c r="E16" s="177"/>
      <c r="F16" s="177"/>
      <c r="G16" s="177"/>
      <c r="H16" s="177"/>
      <c r="I16" s="177"/>
      <c r="J16" s="181"/>
      <c r="K16" s="209"/>
      <c r="L16" s="209"/>
      <c r="M16" s="210"/>
      <c r="N16" s="210"/>
      <c r="O16" s="211"/>
      <c r="P16" s="210"/>
      <c r="Q16" s="212"/>
      <c r="R16" s="179"/>
    </row>
    <row r="17" spans="1:21" ht="9.6" customHeight="1" thickBot="1" x14ac:dyDescent="0.3">
      <c r="A17" s="190"/>
      <c r="B17" s="186"/>
      <c r="C17" s="186"/>
      <c r="D17" s="186"/>
      <c r="E17" s="186"/>
      <c r="F17" s="186"/>
      <c r="G17" s="186"/>
      <c r="H17" s="186"/>
      <c r="I17" s="186"/>
      <c r="J17" s="187"/>
      <c r="K17" s="213"/>
      <c r="L17" s="213"/>
      <c r="M17" s="214"/>
      <c r="N17" s="214"/>
      <c r="O17" s="215"/>
      <c r="P17" s="214"/>
      <c r="Q17" s="216"/>
      <c r="R17" s="217"/>
    </row>
    <row r="18" spans="1:21" x14ac:dyDescent="0.25">
      <c r="A18" s="218" t="s">
        <v>143</v>
      </c>
      <c r="B18" s="219"/>
      <c r="C18" s="219"/>
      <c r="D18" s="219"/>
      <c r="E18" s="219"/>
      <c r="F18" s="219"/>
      <c r="G18" s="219"/>
      <c r="H18" s="219"/>
      <c r="I18" s="220"/>
      <c r="J18" s="221" t="s">
        <v>144</v>
      </c>
      <c r="K18" s="222"/>
      <c r="L18" s="222"/>
      <c r="M18" s="1233" t="s">
        <v>145</v>
      </c>
      <c r="N18" s="1233"/>
      <c r="O18" s="223" t="s">
        <v>146</v>
      </c>
      <c r="P18" s="223"/>
      <c r="Q18" s="1234" t="s">
        <v>147</v>
      </c>
      <c r="R18" s="1235"/>
    </row>
    <row r="19" spans="1:21" x14ac:dyDescent="0.25">
      <c r="A19" s="224"/>
      <c r="B19" s="225"/>
      <c r="C19" s="225"/>
      <c r="D19" s="226" t="s">
        <v>148</v>
      </c>
      <c r="E19" s="227"/>
      <c r="F19" s="228"/>
      <c r="G19" s="229" t="s">
        <v>149</v>
      </c>
      <c r="H19" s="229"/>
      <c r="I19" s="229"/>
      <c r="J19" s="226" t="s">
        <v>150</v>
      </c>
      <c r="K19" s="230"/>
      <c r="L19" s="230"/>
      <c r="M19" s="230" t="s">
        <v>151</v>
      </c>
      <c r="N19" s="230"/>
      <c r="O19" s="230" t="s">
        <v>152</v>
      </c>
      <c r="P19" s="230"/>
      <c r="Q19" s="1236"/>
      <c r="R19" s="1237"/>
    </row>
    <row r="20" spans="1:21" x14ac:dyDescent="0.25">
      <c r="A20" s="1238" t="s">
        <v>153</v>
      </c>
      <c r="B20" s="1226"/>
      <c r="C20" s="1226"/>
      <c r="D20" s="1239">
        <f>J14</f>
        <v>1.9650000000000001</v>
      </c>
      <c r="E20" s="1239"/>
      <c r="F20" s="1239"/>
      <c r="G20" s="1240"/>
      <c r="H20" s="1241"/>
      <c r="I20" s="1242"/>
      <c r="J20" s="231">
        <v>56</v>
      </c>
      <c r="K20" s="232"/>
      <c r="L20" s="232"/>
      <c r="M20" s="1227">
        <f>C27</f>
        <v>1.9652717520036695</v>
      </c>
      <c r="N20" s="1227"/>
      <c r="O20" s="1243">
        <f>' CBR Poinc'!C23</f>
        <v>9.6651081005474939</v>
      </c>
      <c r="P20" s="1244"/>
      <c r="Q20" s="1231"/>
      <c r="R20" s="1232"/>
    </row>
    <row r="21" spans="1:21" x14ac:dyDescent="0.25">
      <c r="A21" s="1225" t="s">
        <v>154</v>
      </c>
      <c r="B21" s="1226"/>
      <c r="C21" s="1226"/>
      <c r="D21" s="1227">
        <f>J15</f>
        <v>9.6999999999999993</v>
      </c>
      <c r="E21" s="1227"/>
      <c r="F21" s="1227"/>
      <c r="G21" s="1228"/>
      <c r="H21" s="1229"/>
      <c r="I21" s="1230"/>
      <c r="J21" s="233">
        <v>25</v>
      </c>
      <c r="K21" s="234"/>
      <c r="L21" s="234"/>
      <c r="M21" s="1227">
        <f>D27</f>
        <v>1.8667540165802476</v>
      </c>
      <c r="N21" s="1227"/>
      <c r="O21" s="1227">
        <f>' CBR Poinc'!E23</f>
        <v>9.6998355845503603</v>
      </c>
      <c r="P21" s="1227"/>
      <c r="Q21" s="1231"/>
      <c r="R21" s="1232"/>
    </row>
    <row r="22" spans="1:21" ht="15.75" thickBot="1" x14ac:dyDescent="0.3">
      <c r="A22" s="1219" t="s">
        <v>155</v>
      </c>
      <c r="B22" s="1220"/>
      <c r="C22" s="1220"/>
      <c r="D22" s="1221"/>
      <c r="E22" s="1221"/>
      <c r="F22" s="1221"/>
      <c r="G22" s="1222"/>
      <c r="H22" s="1222"/>
      <c r="I22" s="1222"/>
      <c r="J22" s="235">
        <v>10</v>
      </c>
      <c r="K22" s="236"/>
      <c r="L22" s="236"/>
      <c r="M22" s="1192">
        <f>E27</f>
        <v>1.7687547745023489</v>
      </c>
      <c r="N22" s="1192"/>
      <c r="O22" s="1192">
        <f>' CBR Poinc'!G23</f>
        <v>9.6816827276597408</v>
      </c>
      <c r="P22" s="1192"/>
      <c r="Q22" s="1223"/>
      <c r="R22" s="1224"/>
    </row>
    <row r="23" spans="1:21" x14ac:dyDescent="0.25">
      <c r="A23" s="1211"/>
      <c r="B23" s="1212"/>
      <c r="C23" s="237"/>
      <c r="D23" s="237"/>
      <c r="E23" s="238"/>
      <c r="F23" s="239"/>
      <c r="G23" s="238"/>
      <c r="H23" s="240"/>
      <c r="I23" s="238"/>
      <c r="J23" s="1212"/>
      <c r="K23" s="1212"/>
      <c r="L23" s="237"/>
      <c r="M23" s="237"/>
      <c r="N23" s="238"/>
      <c r="O23" s="239"/>
      <c r="P23" s="241"/>
      <c r="Q23" s="1213"/>
      <c r="R23" s="1214"/>
    </row>
    <row r="24" spans="1:21" ht="15.75" thickBot="1" x14ac:dyDescent="0.3">
      <c r="A24" s="1215"/>
      <c r="B24" s="1216"/>
      <c r="C24" s="242"/>
      <c r="D24" s="243"/>
      <c r="E24" s="244"/>
      <c r="F24" s="245"/>
      <c r="G24" s="246"/>
      <c r="H24" s="240"/>
      <c r="I24" s="244"/>
      <c r="J24" s="1216"/>
      <c r="K24" s="1216"/>
      <c r="L24" s="242"/>
      <c r="M24" s="242"/>
      <c r="N24" s="244"/>
      <c r="O24" s="247"/>
      <c r="P24" s="248"/>
      <c r="Q24" s="1217"/>
      <c r="R24" s="1218"/>
    </row>
    <row r="25" spans="1:21" x14ac:dyDescent="0.25">
      <c r="A25" s="1196" t="s">
        <v>156</v>
      </c>
      <c r="B25" s="1197"/>
      <c r="C25" s="249">
        <v>56</v>
      </c>
      <c r="D25" s="249">
        <v>25</v>
      </c>
      <c r="E25" s="250">
        <v>10</v>
      </c>
      <c r="F25" s="245"/>
      <c r="G25" s="246"/>
      <c r="H25" s="251"/>
      <c r="I25" s="1198" t="s">
        <v>157</v>
      </c>
      <c r="J25" s="1199"/>
      <c r="K25" s="1200">
        <v>0.98</v>
      </c>
      <c r="L25" s="1200"/>
      <c r="M25" s="1201">
        <v>0.95</v>
      </c>
      <c r="N25" s="1201"/>
      <c r="O25" s="252">
        <v>0.94</v>
      </c>
      <c r="P25" s="252">
        <v>0.92</v>
      </c>
      <c r="Q25" s="1200">
        <v>0.9</v>
      </c>
      <c r="R25" s="1202"/>
    </row>
    <row r="26" spans="1:21" x14ac:dyDescent="0.25">
      <c r="A26" s="1203" t="s">
        <v>158</v>
      </c>
      <c r="B26" s="1204"/>
      <c r="C26" s="253">
        <f>' CBR Poinc'!R42</f>
        <v>18.896643343051512</v>
      </c>
      <c r="D26" s="253">
        <f>' CBR Poinc'!R46</f>
        <v>12.452076773566572</v>
      </c>
      <c r="E26" s="254">
        <f>' CBR Poinc'!R50</f>
        <v>6.6327293488824113</v>
      </c>
      <c r="F26" s="245"/>
      <c r="G26" s="246"/>
      <c r="H26" s="251"/>
      <c r="I26" s="1205" t="s">
        <v>75</v>
      </c>
      <c r="J26" s="1206"/>
      <c r="K26" s="1207"/>
      <c r="L26" s="1207"/>
      <c r="M26" s="1208">
        <f>T28</f>
        <v>12.4</v>
      </c>
      <c r="N26" s="1208"/>
      <c r="O26" s="255"/>
      <c r="P26" s="256"/>
      <c r="Q26" s="1209"/>
      <c r="R26" s="1210"/>
    </row>
    <row r="27" spans="1:21" ht="16.5" thickBot="1" x14ac:dyDescent="0.3">
      <c r="A27" s="1189" t="s">
        <v>159</v>
      </c>
      <c r="B27" s="1190"/>
      <c r="C27" s="257">
        <f>' CBR Poinc'!D31</f>
        <v>1.9652717520036695</v>
      </c>
      <c r="D27" s="257">
        <f>' CBR Poinc'!F31</f>
        <v>1.8667540165802476</v>
      </c>
      <c r="E27" s="258">
        <f>' CBR Poinc'!H31</f>
        <v>1.7687547745023489</v>
      </c>
      <c r="F27" s="245"/>
      <c r="G27" s="246"/>
      <c r="H27" s="251"/>
      <c r="I27" s="1191" t="s">
        <v>159</v>
      </c>
      <c r="J27" s="1190"/>
      <c r="K27" s="1192"/>
      <c r="L27" s="1192"/>
      <c r="M27" s="1193">
        <f>J14*0.95</f>
        <v>1.8667499999999999</v>
      </c>
      <c r="N27" s="1193"/>
      <c r="O27" s="259"/>
      <c r="P27" s="259"/>
      <c r="Q27" s="1194"/>
      <c r="R27" s="1195"/>
      <c r="T27" s="594" t="s">
        <v>160</v>
      </c>
      <c r="U27" s="595"/>
    </row>
    <row r="28" spans="1:21" x14ac:dyDescent="0.25">
      <c r="A28" s="1182"/>
      <c r="B28" s="1183"/>
      <c r="C28" s="1183"/>
      <c r="D28" s="260"/>
      <c r="E28" s="261"/>
      <c r="F28" s="262"/>
      <c r="G28" s="263"/>
      <c r="H28" s="264"/>
      <c r="I28" s="261"/>
      <c r="J28" s="1183"/>
      <c r="K28" s="1183"/>
      <c r="L28" s="1183"/>
      <c r="M28" s="260"/>
      <c r="N28" s="265"/>
      <c r="O28" s="262"/>
      <c r="P28" s="212"/>
      <c r="Q28" s="1184"/>
      <c r="R28" s="1185"/>
      <c r="T28" s="266">
        <v>12.4</v>
      </c>
      <c r="U28" s="267">
        <f>M27</f>
        <v>1.8667499999999999</v>
      </c>
    </row>
    <row r="29" spans="1:21" x14ac:dyDescent="0.25">
      <c r="A29" s="1186"/>
      <c r="B29" s="1179"/>
      <c r="C29" s="1179"/>
      <c r="D29" s="268"/>
      <c r="E29" s="261"/>
      <c r="F29" s="261"/>
      <c r="G29" s="261"/>
      <c r="H29" s="261"/>
      <c r="I29" s="261"/>
      <c r="J29" s="1187"/>
      <c r="K29" s="1188"/>
      <c r="L29" s="1188"/>
      <c r="M29" s="269"/>
      <c r="N29" s="1179"/>
      <c r="O29" s="1179"/>
      <c r="P29" s="1179"/>
      <c r="Q29" s="1179"/>
      <c r="R29" s="270"/>
      <c r="T29" s="271">
        <f>T28</f>
        <v>12.4</v>
      </c>
      <c r="U29" s="272">
        <v>1.74</v>
      </c>
    </row>
    <row r="30" spans="1:21" x14ac:dyDescent="0.25">
      <c r="A30" s="273"/>
      <c r="B30" s="260"/>
      <c r="C30" s="260"/>
      <c r="D30" s="261"/>
      <c r="E30" s="261"/>
      <c r="F30" s="261"/>
      <c r="G30" s="261"/>
      <c r="H30" s="261"/>
      <c r="I30" s="261"/>
      <c r="J30" s="274"/>
      <c r="K30" s="275"/>
      <c r="L30" s="275"/>
      <c r="M30" s="261"/>
      <c r="N30" s="1179"/>
      <c r="O30" s="1179"/>
      <c r="P30" s="1179"/>
      <c r="Q30" s="1179"/>
      <c r="R30" s="270"/>
      <c r="T30" s="276"/>
      <c r="U30" s="277"/>
    </row>
    <row r="31" spans="1:21" x14ac:dyDescent="0.25">
      <c r="A31" s="278"/>
      <c r="B31" s="275"/>
      <c r="C31" s="275"/>
      <c r="D31" s="261"/>
      <c r="E31" s="261"/>
      <c r="F31" s="261"/>
      <c r="G31" s="261"/>
      <c r="H31" s="261"/>
      <c r="I31" s="261"/>
      <c r="J31" s="1180"/>
      <c r="K31" s="1180"/>
      <c r="L31" s="1180"/>
      <c r="M31" s="261"/>
      <c r="N31" s="1179"/>
      <c r="O31" s="1179"/>
      <c r="P31" s="1179"/>
      <c r="Q31" s="1179"/>
      <c r="R31" s="270"/>
      <c r="T31" s="271">
        <v>6</v>
      </c>
      <c r="U31" s="272">
        <f>U28</f>
        <v>1.8667499999999999</v>
      </c>
    </row>
    <row r="32" spans="1:21" x14ac:dyDescent="0.25">
      <c r="A32" s="279"/>
      <c r="B32" s="265"/>
      <c r="C32" s="265"/>
      <c r="D32" s="280"/>
      <c r="E32" s="280"/>
      <c r="F32" s="280"/>
      <c r="G32" s="280"/>
      <c r="H32" s="280"/>
      <c r="I32" s="280"/>
      <c r="J32" s="1181"/>
      <c r="K32" s="1181"/>
      <c r="L32" s="281"/>
      <c r="M32" s="265"/>
      <c r="N32" s="1179"/>
      <c r="O32" s="1179"/>
      <c r="P32" s="1179"/>
      <c r="Q32" s="1179"/>
      <c r="R32" s="270"/>
      <c r="T32" s="282">
        <v>12.4</v>
      </c>
      <c r="U32" s="283">
        <f>U31</f>
        <v>1.8667499999999999</v>
      </c>
    </row>
    <row r="33" spans="1:18" x14ac:dyDescent="0.25">
      <c r="A33" s="284"/>
      <c r="B33" s="285"/>
      <c r="C33" s="285"/>
      <c r="D33" s="286"/>
      <c r="E33" s="286"/>
      <c r="F33" s="286"/>
      <c r="G33" s="286"/>
      <c r="H33" s="286"/>
      <c r="I33" s="286"/>
      <c r="J33" s="1168"/>
      <c r="K33" s="1169"/>
      <c r="L33" s="287"/>
      <c r="M33" s="280"/>
      <c r="N33" s="1170"/>
      <c r="O33" s="1171"/>
      <c r="P33" s="288"/>
      <c r="Q33" s="289"/>
      <c r="R33" s="270"/>
    </row>
    <row r="34" spans="1:18" x14ac:dyDescent="0.25">
      <c r="A34" s="284"/>
      <c r="B34" s="285"/>
      <c r="C34" s="285"/>
      <c r="D34" s="286"/>
      <c r="E34" s="286"/>
      <c r="F34" s="286"/>
      <c r="G34" s="286"/>
      <c r="H34" s="286"/>
      <c r="I34" s="286"/>
      <c r="J34" s="1172"/>
      <c r="K34" s="1173"/>
      <c r="L34" s="290"/>
      <c r="M34" s="280"/>
      <c r="N34" s="291"/>
      <c r="O34" s="291"/>
      <c r="P34" s="292"/>
      <c r="Q34" s="280"/>
      <c r="R34" s="270"/>
    </row>
    <row r="35" spans="1:18" x14ac:dyDescent="0.25">
      <c r="A35" s="284"/>
      <c r="B35" s="285"/>
      <c r="C35" s="285"/>
      <c r="D35" s="286"/>
      <c r="E35" s="286"/>
      <c r="F35" s="286"/>
      <c r="G35" s="286"/>
      <c r="H35" s="286"/>
      <c r="I35" s="286"/>
      <c r="J35" s="1172"/>
      <c r="K35" s="1173"/>
      <c r="L35" s="290"/>
      <c r="M35" s="280"/>
      <c r="N35" s="265"/>
      <c r="O35" s="265"/>
      <c r="P35" s="265"/>
      <c r="Q35" s="265"/>
      <c r="R35" s="270"/>
    </row>
    <row r="36" spans="1:18" ht="15.75" thickBot="1" x14ac:dyDescent="0.3">
      <c r="A36" s="284"/>
      <c r="B36" s="285"/>
      <c r="C36" s="285"/>
      <c r="D36" s="286"/>
      <c r="E36" s="286"/>
      <c r="F36" s="286"/>
      <c r="G36" s="286"/>
      <c r="H36" s="286"/>
      <c r="I36" s="286"/>
      <c r="J36" s="1174"/>
      <c r="K36" s="1175"/>
      <c r="L36" s="293"/>
      <c r="M36" s="294"/>
      <c r="N36" s="294"/>
      <c r="O36" s="294"/>
      <c r="P36" s="294"/>
      <c r="Q36" s="294"/>
      <c r="R36" s="295"/>
    </row>
    <row r="37" spans="1:18" ht="15.75" thickBot="1" x14ac:dyDescent="0.3">
      <c r="A37" s="284"/>
      <c r="B37" s="285"/>
      <c r="C37" s="285"/>
      <c r="D37" s="286"/>
      <c r="E37" s="286"/>
      <c r="F37" s="286"/>
      <c r="G37" s="286"/>
      <c r="H37" s="286"/>
      <c r="I37" s="286"/>
      <c r="J37" s="281"/>
      <c r="K37" s="281"/>
      <c r="L37" s="296"/>
      <c r="M37" s="265"/>
      <c r="N37" s="265"/>
      <c r="O37" s="265"/>
      <c r="P37" s="265"/>
      <c r="Q37" s="265"/>
      <c r="R37" s="297"/>
    </row>
    <row r="38" spans="1:18" x14ac:dyDescent="0.25">
      <c r="A38" s="284"/>
      <c r="B38" s="285"/>
      <c r="C38" s="285"/>
      <c r="D38" s="286"/>
      <c r="E38" s="286"/>
      <c r="F38" s="286"/>
      <c r="G38" s="286"/>
      <c r="H38" s="286"/>
      <c r="I38" s="286"/>
      <c r="J38" s="1176"/>
      <c r="K38" s="1177"/>
      <c r="L38" s="1177"/>
      <c r="M38" s="1177"/>
      <c r="N38" s="1177"/>
      <c r="O38" s="1177"/>
      <c r="P38" s="1177"/>
      <c r="Q38" s="1177"/>
      <c r="R38" s="1178"/>
    </row>
    <row r="39" spans="1:18" x14ac:dyDescent="0.25">
      <c r="A39" s="284"/>
      <c r="B39" s="285"/>
      <c r="C39" s="285"/>
      <c r="D39" s="286"/>
      <c r="E39" s="286"/>
      <c r="F39" s="286"/>
      <c r="G39" s="286"/>
      <c r="H39" s="286"/>
      <c r="I39" s="286"/>
      <c r="J39" s="1158"/>
      <c r="K39" s="1159"/>
      <c r="L39" s="1159"/>
      <c r="M39" s="1159"/>
      <c r="N39" s="1159"/>
      <c r="O39" s="1159"/>
      <c r="P39" s="1159"/>
      <c r="Q39" s="1159"/>
      <c r="R39" s="1160"/>
    </row>
    <row r="40" spans="1:18" x14ac:dyDescent="0.25">
      <c r="A40" s="284"/>
      <c r="B40" s="285"/>
      <c r="C40" s="285"/>
      <c r="D40" s="286"/>
      <c r="E40" s="286"/>
      <c r="F40" s="286"/>
      <c r="G40" s="286"/>
      <c r="H40" s="286"/>
      <c r="I40" s="286"/>
      <c r="J40" s="298"/>
      <c r="K40" s="299"/>
      <c r="L40" s="300"/>
      <c r="M40" s="265"/>
      <c r="N40" s="265"/>
      <c r="O40" s="265"/>
      <c r="P40" s="265"/>
      <c r="Q40" s="265"/>
      <c r="R40" s="270"/>
    </row>
    <row r="41" spans="1:18" x14ac:dyDescent="0.25">
      <c r="A41" s="284"/>
      <c r="B41" s="285"/>
      <c r="C41" s="285"/>
      <c r="D41" s="286"/>
      <c r="E41" s="286"/>
      <c r="F41" s="286"/>
      <c r="G41" s="286"/>
      <c r="H41" s="286"/>
      <c r="I41" s="286"/>
      <c r="J41" s="301"/>
      <c r="K41" s="302"/>
      <c r="L41" s="289"/>
      <c r="M41" s="265"/>
      <c r="N41" s="1161"/>
      <c r="O41" s="1162"/>
      <c r="P41" s="303"/>
      <c r="Q41" s="304"/>
      <c r="R41" s="270"/>
    </row>
    <row r="42" spans="1:18" x14ac:dyDescent="0.25">
      <c r="A42" s="284"/>
      <c r="B42" s="285"/>
      <c r="C42" s="285"/>
      <c r="D42" s="286"/>
      <c r="E42" s="286"/>
      <c r="F42" s="286"/>
      <c r="G42" s="286"/>
      <c r="H42" s="286"/>
      <c r="I42" s="286"/>
      <c r="J42" s="305"/>
      <c r="K42" s="292"/>
      <c r="L42" s="292"/>
      <c r="M42" s="280"/>
      <c r="N42" s="265"/>
      <c r="O42" s="265"/>
      <c r="P42" s="265"/>
      <c r="Q42" s="265"/>
      <c r="R42" s="270"/>
    </row>
    <row r="43" spans="1:18" x14ac:dyDescent="0.25">
      <c r="A43" s="284"/>
      <c r="B43" s="285"/>
      <c r="C43" s="285"/>
      <c r="D43" s="286"/>
      <c r="E43" s="286"/>
      <c r="F43" s="286"/>
      <c r="G43" s="286"/>
      <c r="H43" s="286"/>
      <c r="I43" s="286"/>
      <c r="J43" s="1158"/>
      <c r="K43" s="1159"/>
      <c r="L43" s="1159"/>
      <c r="M43" s="1159"/>
      <c r="N43" s="1159"/>
      <c r="O43" s="1159"/>
      <c r="P43" s="1159"/>
      <c r="Q43" s="1159"/>
      <c r="R43" s="1160"/>
    </row>
    <row r="44" spans="1:18" x14ac:dyDescent="0.25">
      <c r="A44" s="284"/>
      <c r="B44" s="285"/>
      <c r="C44" s="285"/>
      <c r="D44" s="286"/>
      <c r="E44" s="286"/>
      <c r="F44" s="286"/>
      <c r="G44" s="286"/>
      <c r="H44" s="286"/>
      <c r="I44" s="286"/>
      <c r="J44" s="298"/>
      <c r="K44" s="299"/>
      <c r="L44" s="300"/>
      <c r="M44" s="265"/>
      <c r="N44" s="1163"/>
      <c r="O44" s="1164"/>
      <c r="P44" s="306"/>
      <c r="Q44" s="307"/>
      <c r="R44" s="270"/>
    </row>
    <row r="45" spans="1:18" x14ac:dyDescent="0.25">
      <c r="A45" s="284"/>
      <c r="B45" s="285"/>
      <c r="C45" s="285"/>
      <c r="D45" s="286"/>
      <c r="E45" s="286"/>
      <c r="F45" s="286"/>
      <c r="G45" s="286"/>
      <c r="H45" s="286"/>
      <c r="I45" s="286"/>
      <c r="J45" s="301"/>
      <c r="K45" s="302"/>
      <c r="L45" s="289"/>
      <c r="M45" s="265"/>
      <c r="N45" s="1165"/>
      <c r="O45" s="1165"/>
      <c r="P45" s="306"/>
      <c r="Q45" s="307"/>
      <c r="R45" s="270"/>
    </row>
    <row r="46" spans="1:18" x14ac:dyDescent="0.25">
      <c r="A46" s="308"/>
      <c r="B46" s="181"/>
      <c r="C46" s="181"/>
      <c r="D46" s="181"/>
      <c r="E46" s="181"/>
      <c r="F46" s="286"/>
      <c r="G46" s="286"/>
      <c r="H46" s="139"/>
      <c r="I46" s="139"/>
      <c r="J46" s="1166" t="s">
        <v>132</v>
      </c>
      <c r="K46" s="1166"/>
      <c r="L46" s="1166"/>
      <c r="M46" s="1167" t="s">
        <v>270</v>
      </c>
      <c r="N46" s="1167"/>
      <c r="O46" s="1167"/>
      <c r="P46" s="1167"/>
      <c r="Q46" s="1167"/>
      <c r="R46" s="179"/>
    </row>
    <row r="47" spans="1:18" ht="15.75" thickBot="1" x14ac:dyDescent="0.3">
      <c r="A47" s="168" t="s">
        <v>133</v>
      </c>
      <c r="B47" s="309"/>
      <c r="C47" s="309"/>
      <c r="D47" s="309"/>
      <c r="E47" s="309"/>
      <c r="F47" s="309"/>
      <c r="G47" s="309"/>
      <c r="H47" s="1155" t="s">
        <v>341</v>
      </c>
      <c r="I47" s="1156"/>
      <c r="J47" s="1156"/>
      <c r="K47" s="1156"/>
      <c r="L47" s="1156"/>
      <c r="M47" s="1157"/>
      <c r="N47" s="1157"/>
      <c r="O47" s="1157"/>
      <c r="P47" s="1157"/>
      <c r="Q47" s="1157"/>
      <c r="R47" s="217"/>
    </row>
  </sheetData>
  <mergeCells count="111">
    <mergeCell ref="G1:L2"/>
    <mergeCell ref="N1:Q1"/>
    <mergeCell ref="N2:Q2"/>
    <mergeCell ref="G3:L3"/>
    <mergeCell ref="A5:C5"/>
    <mergeCell ref="D5:I5"/>
    <mergeCell ref="J5:M5"/>
    <mergeCell ref="N5:Q5"/>
    <mergeCell ref="A8:C8"/>
    <mergeCell ref="D8:I8"/>
    <mergeCell ref="J8:M8"/>
    <mergeCell ref="N8:Q8"/>
    <mergeCell ref="J9:M9"/>
    <mergeCell ref="N9:Q9"/>
    <mergeCell ref="A6:C6"/>
    <mergeCell ref="D6:I6"/>
    <mergeCell ref="J6:M6"/>
    <mergeCell ref="N6:Q6"/>
    <mergeCell ref="A7:C7"/>
    <mergeCell ref="D7:I7"/>
    <mergeCell ref="J7:M7"/>
    <mergeCell ref="N7:Q7"/>
    <mergeCell ref="I13:J13"/>
    <mergeCell ref="P13:Q13"/>
    <mergeCell ref="B14:D14"/>
    <mergeCell ref="H14:I14"/>
    <mergeCell ref="M14:O14"/>
    <mergeCell ref="H15:I15"/>
    <mergeCell ref="M15:N15"/>
    <mergeCell ref="A11:A14"/>
    <mergeCell ref="B11:D11"/>
    <mergeCell ref="H11:H12"/>
    <mergeCell ref="I11:J11"/>
    <mergeCell ref="M11:N13"/>
    <mergeCell ref="O11:P11"/>
    <mergeCell ref="B12:D12"/>
    <mergeCell ref="I12:J12"/>
    <mergeCell ref="O12:P12"/>
    <mergeCell ref="B13:D13"/>
    <mergeCell ref="A21:C21"/>
    <mergeCell ref="D21:F21"/>
    <mergeCell ref="G21:I21"/>
    <mergeCell ref="M21:N21"/>
    <mergeCell ref="O21:P21"/>
    <mergeCell ref="Q21:R21"/>
    <mergeCell ref="M18:N18"/>
    <mergeCell ref="Q18:R19"/>
    <mergeCell ref="A20:C20"/>
    <mergeCell ref="D20:F20"/>
    <mergeCell ref="G20:I20"/>
    <mergeCell ref="M20:N20"/>
    <mergeCell ref="O20:P20"/>
    <mergeCell ref="Q20:R20"/>
    <mergeCell ref="A23:B23"/>
    <mergeCell ref="J23:K23"/>
    <mergeCell ref="Q23:R23"/>
    <mergeCell ref="A24:B24"/>
    <mergeCell ref="J24:K24"/>
    <mergeCell ref="Q24:R24"/>
    <mergeCell ref="A22:C22"/>
    <mergeCell ref="D22:F22"/>
    <mergeCell ref="G22:I22"/>
    <mergeCell ref="M22:N22"/>
    <mergeCell ref="O22:P22"/>
    <mergeCell ref="Q22:R22"/>
    <mergeCell ref="T27:U27"/>
    <mergeCell ref="A25:B25"/>
    <mergeCell ref="I25:J25"/>
    <mergeCell ref="K25:L25"/>
    <mergeCell ref="M25:N25"/>
    <mergeCell ref="Q25:R25"/>
    <mergeCell ref="A26:B26"/>
    <mergeCell ref="I26:J26"/>
    <mergeCell ref="K26:L26"/>
    <mergeCell ref="M26:N26"/>
    <mergeCell ref="Q26:R26"/>
    <mergeCell ref="A28:C28"/>
    <mergeCell ref="J28:L28"/>
    <mergeCell ref="Q28:R28"/>
    <mergeCell ref="A29:C29"/>
    <mergeCell ref="J29:L29"/>
    <mergeCell ref="N29:O29"/>
    <mergeCell ref="P29:Q29"/>
    <mergeCell ref="A27:B27"/>
    <mergeCell ref="I27:J27"/>
    <mergeCell ref="K27:L27"/>
    <mergeCell ref="M27:N27"/>
    <mergeCell ref="Q27:R27"/>
    <mergeCell ref="J33:K33"/>
    <mergeCell ref="N33:O33"/>
    <mergeCell ref="J34:K34"/>
    <mergeCell ref="J35:K35"/>
    <mergeCell ref="J36:K36"/>
    <mergeCell ref="J38:R38"/>
    <mergeCell ref="N30:O30"/>
    <mergeCell ref="P30:Q30"/>
    <mergeCell ref="J31:L31"/>
    <mergeCell ref="N31:O31"/>
    <mergeCell ref="P31:Q31"/>
    <mergeCell ref="J32:K32"/>
    <mergeCell ref="N32:O32"/>
    <mergeCell ref="P32:Q32"/>
    <mergeCell ref="H47:L47"/>
    <mergeCell ref="M47:Q47"/>
    <mergeCell ref="J39:R39"/>
    <mergeCell ref="N41:O41"/>
    <mergeCell ref="J43:R43"/>
    <mergeCell ref="N44:O44"/>
    <mergeCell ref="N45:O45"/>
    <mergeCell ref="J46:L46"/>
    <mergeCell ref="M46:Q46"/>
  </mergeCells>
  <pageMargins left="0.70866141732283472" right="0.70866141732283472" top="0.74803149606299213" bottom="0.74803149606299213" header="0.31496062992125984" footer="0.31496062992125984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8</vt:i4>
      </vt:variant>
    </vt:vector>
  </HeadingPairs>
  <TitlesOfParts>
    <vt:vector size="8" baseType="lpstr">
      <vt:lpstr>PAGE RECAP  P1</vt:lpstr>
      <vt:lpstr>Teneur en eau 2 P1 </vt:lpstr>
      <vt:lpstr>Granulo P1</vt:lpstr>
      <vt:lpstr>Courbe P1 (2)</vt:lpstr>
      <vt:lpstr>PS</vt:lpstr>
      <vt:lpstr>Proctor C01</vt:lpstr>
      <vt:lpstr> CBR Poinc</vt:lpstr>
      <vt:lpstr>CBR Crb (2)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DREGE</dc:creator>
  <cp:lastModifiedBy>Utilisateur Windows</cp:lastModifiedBy>
  <cp:lastPrinted>2020-01-10T05:55:58Z</cp:lastPrinted>
  <dcterms:created xsi:type="dcterms:W3CDTF">2018-08-30T08:30:49Z</dcterms:created>
  <dcterms:modified xsi:type="dcterms:W3CDTF">2020-01-10T06:00:34Z</dcterms:modified>
</cp:coreProperties>
</file>