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 (2)" sheetId="31" r:id="rId1"/>
    <sheet name="Teneur en eau 2 P1 " sheetId="26" r:id="rId2"/>
    <sheet name="Granulo P1" sheetId="27" r:id="rId3"/>
    <sheet name="Courbe P1 (2)" sheetId="29" r:id="rId4"/>
    <sheet name="PS" sheetId="32" r:id="rId5"/>
    <sheet name="EQUIVALENTE (2)" sheetId="30" r:id="rId6"/>
  </sheets>
  <definedNames>
    <definedName name="a" localSheetId="5">#REF!</definedName>
    <definedName name="a">#REF!</definedName>
    <definedName name="B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'EQUIVALENTE (2)'!$A$1:$J$49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9" l="1"/>
  <c r="B6" i="29"/>
  <c r="H32" i="32" l="1"/>
  <c r="G32" i="32"/>
  <c r="H30" i="32"/>
  <c r="G30" i="32"/>
  <c r="H28" i="32"/>
  <c r="H34" i="32" s="1"/>
  <c r="G28" i="32"/>
  <c r="G34" i="32" s="1"/>
  <c r="G38" i="32" s="1"/>
  <c r="H38" i="32" l="1"/>
  <c r="G42" i="32" s="1"/>
  <c r="X57" i="31"/>
  <c r="X58" i="31" s="1"/>
  <c r="Y50" i="31"/>
  <c r="Y51" i="31" s="1"/>
  <c r="X48" i="31"/>
  <c r="J30" i="30"/>
  <c r="G26" i="30"/>
  <c r="E26" i="30"/>
  <c r="D34" i="30" l="1"/>
  <c r="T37" i="26"/>
  <c r="S37" i="26"/>
  <c r="L23" i="27"/>
  <c r="L24" i="27" s="1"/>
  <c r="L26" i="27" s="1"/>
  <c r="N23" i="27" l="1"/>
  <c r="O23" i="27" s="1"/>
  <c r="U19" i="29" s="1"/>
  <c r="F41" i="26"/>
  <c r="K11" i="31" s="1"/>
  <c r="L29" i="27"/>
  <c r="N26" i="27"/>
  <c r="N24" i="27"/>
  <c r="O24" i="27" s="1"/>
  <c r="U20" i="29" s="1"/>
  <c r="O26" i="27" l="1"/>
  <c r="D19" i="31"/>
  <c r="L32" i="27"/>
  <c r="N29" i="27"/>
  <c r="O29" i="27" s="1"/>
  <c r="U22" i="29" s="1"/>
  <c r="E19" i="31" l="1"/>
  <c r="U21" i="29"/>
  <c r="L36" i="27"/>
  <c r="N32" i="27"/>
  <c r="O32" i="27" l="1"/>
  <c r="D22" i="31"/>
  <c r="L39" i="27"/>
  <c r="D27" i="31" s="1"/>
  <c r="E27" i="31" s="1"/>
  <c r="N36" i="27"/>
  <c r="E22" i="31" l="1"/>
  <c r="U23" i="29"/>
  <c r="O36" i="27"/>
  <c r="D25" i="31"/>
  <c r="AC28" i="31"/>
  <c r="AE27" i="31"/>
  <c r="L43" i="27"/>
  <c r="D29" i="31" s="1"/>
  <c r="E29" i="31" s="1"/>
  <c r="AC29" i="31" s="1"/>
  <c r="N39" i="27"/>
  <c r="O39" i="27" s="1"/>
  <c r="U25" i="29" s="1"/>
  <c r="E25" i="31" l="1"/>
  <c r="U24" i="29"/>
  <c r="AE28" i="31"/>
  <c r="L46" i="27"/>
  <c r="D31" i="31" s="1"/>
  <c r="E31" i="31" s="1"/>
  <c r="AC30" i="31" s="1"/>
  <c r="N43" i="27"/>
  <c r="O43" i="27" s="1"/>
  <c r="U26" i="29" s="1"/>
  <c r="AE29" i="31" l="1"/>
  <c r="L49" i="27"/>
  <c r="D33" i="31" s="1"/>
  <c r="E33" i="31" s="1"/>
  <c r="N46" i="27"/>
  <c r="O46" i="27" s="1"/>
  <c r="U27" i="29" s="1"/>
  <c r="AC31" i="31" l="1"/>
  <c r="AE30" i="31"/>
  <c r="L50" i="27"/>
  <c r="N49" i="27"/>
  <c r="O49" i="27" s="1"/>
  <c r="U28" i="29" s="1"/>
  <c r="N50" i="27" l="1"/>
  <c r="O50" i="27" s="1"/>
  <c r="D34" i="31"/>
  <c r="E34" i="31" s="1"/>
  <c r="AC32" i="31" s="1"/>
  <c r="K13" i="31" l="1"/>
  <c r="U29" i="29"/>
</calcChain>
</file>

<file path=xl/sharedStrings.xml><?xml version="1.0" encoding="utf-8"?>
<sst xmlns="http://schemas.openxmlformats.org/spreadsheetml/2006/main" count="265" uniqueCount="207">
  <si>
    <t>%</t>
  </si>
  <si>
    <t>mm</t>
  </si>
  <si>
    <t>Exécuté par</t>
  </si>
  <si>
    <t>-</t>
  </si>
  <si>
    <t>OPM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</si>
  <si>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</si>
  <si>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</si>
  <si>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</si>
  <si>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</si>
  <si>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</si>
  <si>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</si>
  <si>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</si>
  <si>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</si>
  <si>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</si>
  <si>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</si>
  <si>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</si>
  <si>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</si>
  <si>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/</t>
  </si>
  <si>
    <t>E.S(%)</t>
  </si>
  <si>
    <t>I.P.</t>
  </si>
  <si>
    <t>% 80 microns</t>
  </si>
  <si>
    <t>f x IP</t>
  </si>
  <si>
    <t>Tamis</t>
  </si>
  <si>
    <t xml:space="preserve"> </t>
  </si>
  <si>
    <t>&lt;mm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</si>
  <si>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</si>
  <si>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</si>
  <si>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</si>
  <si>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</si>
  <si>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</si>
  <si>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</si>
  <si>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</si>
  <si>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</si>
  <si>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</si>
  <si>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</si>
  <si>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</si>
  <si>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</si>
  <si>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</si>
  <si>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</si>
  <si>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</si>
  <si>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</si>
  <si>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</si>
  <si>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</si>
  <si>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</si>
  <si>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</si>
  <si>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</si>
  <si>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</si>
  <si>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</si>
  <si>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</si>
  <si>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</si>
  <si>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</si>
  <si>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</si>
  <si>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</si>
  <si>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</si>
  <si>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</si>
  <si>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</si>
  <si>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</si>
  <si>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</si>
  <si>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</si>
  <si>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</si>
  <si>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</si>
  <si>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</si>
  <si>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</si>
  <si>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</si>
  <si>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</si>
  <si>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</si>
  <si>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</si>
  <si>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</si>
  <si>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</si>
  <si>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</si>
  <si>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</si>
  <si>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</si>
  <si>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</si>
  <si>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</si>
  <si>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</si>
  <si>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</si>
  <si>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</si>
  <si>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</si>
  <si>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</si>
  <si>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</si>
  <si>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</si>
  <si>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</si>
  <si>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</si>
  <si>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</si>
  <si>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</si>
  <si>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</si>
  <si>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</si>
  <si>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</si>
  <si>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</si>
  <si>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</si>
  <si>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</si>
  <si>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</si>
  <si>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</si>
  <si>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</si>
  <si>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</si>
  <si>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</si>
  <si>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</si>
  <si>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</si>
  <si>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</si>
  <si>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</si>
  <si>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</si>
  <si>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</si>
  <si>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</si>
  <si>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>MBANI Mélaine</t>
  </si>
  <si>
    <t xml:space="preserve"> ....g.</t>
  </si>
  <si>
    <t xml:space="preserve">   ...g.</t>
  </si>
  <si>
    <t>…...g.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</si>
  <si>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</si>
  <si>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</si>
  <si>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</si>
  <si>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</si>
  <si>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</si>
  <si>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</si>
  <si>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</si>
  <si>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</si>
  <si>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</si>
  <si>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</si>
  <si>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</si>
  <si>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</si>
  <si>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</si>
  <si>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</si>
  <si>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</si>
  <si>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</si>
  <si>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</si>
  <si>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</si>
  <si>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</si>
  <si>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</si>
  <si>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</si>
  <si>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</si>
  <si>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</si>
  <si>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</si>
  <si>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</si>
  <si>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</si>
  <si>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</si>
  <si>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</si>
  <si>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</si>
  <si>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</si>
  <si>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</si>
  <si>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</si>
  <si>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Procès verbal d'essai</t>
  </si>
  <si>
    <t xml:space="preserve">                Essai pour déterminer les caractéristiques géométriques des granulats</t>
  </si>
  <si>
    <t>Partie 8 : Equivalent de sable</t>
  </si>
  <si>
    <t>NF EN 933 -8 /Mars 2012</t>
  </si>
  <si>
    <t>Référence de l'échantillon :             TM 01 0,00 - 0,30</t>
  </si>
  <si>
    <r>
      <t>Date de l'essai:  02</t>
    </r>
    <r>
      <rPr>
        <sz val="9"/>
        <rFont val="Times New Roman"/>
        <family val="1"/>
      </rPr>
      <t>/10/2019</t>
    </r>
  </si>
  <si>
    <t>1 préparation des éprouvettes</t>
  </si>
  <si>
    <t>Teneur en eau des échantillons</t>
  </si>
  <si>
    <t>%   (exprimée à 0,1 % près)</t>
  </si>
  <si>
    <r>
      <t>Masse M</t>
    </r>
    <r>
      <rPr>
        <sz val="8"/>
        <rFont val="Times New Roman"/>
        <family val="1"/>
      </rPr>
      <t>1</t>
    </r>
  </si>
  <si>
    <r>
      <t xml:space="preserve">Masse M </t>
    </r>
    <r>
      <rPr>
        <sz val="8"/>
        <rFont val="Times New Roman"/>
        <family val="1"/>
      </rPr>
      <t>2</t>
    </r>
  </si>
  <si>
    <r>
      <t xml:space="preserve">Masse M </t>
    </r>
    <r>
      <rPr>
        <sz val="8"/>
        <rFont val="Times New Roman"/>
        <family val="1"/>
      </rPr>
      <t>3</t>
    </r>
  </si>
  <si>
    <t>Teneur en fines</t>
  </si>
  <si>
    <r>
      <rPr>
        <b/>
        <u/>
        <sz val="9"/>
        <rFont val="Times New Roman"/>
        <family val="1"/>
      </rPr>
      <t xml:space="preserve">Remarques </t>
    </r>
    <r>
      <rPr>
        <b/>
        <sz val="9"/>
        <rFont val="Times New Roman"/>
        <family val="1"/>
      </rPr>
      <t>:</t>
    </r>
  </si>
  <si>
    <t xml:space="preserve">•Si la fraction est 0/2 mm,la teneur en humidité doit etre inférieure à 2 % et l'essai doit etre réalisé </t>
  </si>
  <si>
    <t>à la température de (23 ± 3)°c.</t>
  </si>
  <si>
    <t>•Si la fraction est 0/4 mm,la teneur en humidité doit etre inférieur à 8 % et l'essai doit etre réalisé</t>
  </si>
  <si>
    <t>1 ère éprouvette</t>
  </si>
  <si>
    <t>2 ème éprouvette</t>
  </si>
  <si>
    <r>
      <t>Masse de l'éprouvette M</t>
    </r>
    <r>
      <rPr>
        <sz val="8"/>
        <rFont val="Times New Roman"/>
        <family val="1"/>
      </rPr>
      <t>t                               g</t>
    </r>
  </si>
  <si>
    <t>120 g</t>
  </si>
  <si>
    <t>H 1 (mm)</t>
  </si>
  <si>
    <t>H 2 (mm)</t>
  </si>
  <si>
    <t xml:space="preserve">100 *(h 2 / h 1 )                                                                                     ( enregistré à un chiffre après la virgule )                                                                                                                                             </t>
  </si>
  <si>
    <r>
      <rPr>
        <b/>
        <sz val="9"/>
        <rFont val="Times New Roman"/>
        <family val="1"/>
      </rPr>
      <t xml:space="preserve">Note </t>
    </r>
    <r>
      <rPr>
        <sz val="9"/>
        <rFont val="Times New Roman"/>
        <family val="1"/>
      </rPr>
      <t>:Il convient que les valeurs de 100 * (h2/h1) pour les deux éprouvettes ne diffère pas</t>
    </r>
  </si>
  <si>
    <t xml:space="preserve">         de plus de 4 .</t>
  </si>
  <si>
    <t>Equivalent de sable (SE) est la moyenne de 100 * (h2/h1) pour les deux éprouvettes exprimée au</t>
  </si>
  <si>
    <t>entier le plus proche .</t>
  </si>
  <si>
    <t>Cas d'un sable 0/2 mm</t>
  </si>
  <si>
    <t>Cas d'un sable 0/4 mm</t>
  </si>
  <si>
    <r>
      <t xml:space="preserve">                                  SE </t>
    </r>
    <r>
      <rPr>
        <sz val="8"/>
        <rFont val="Times New Roman"/>
        <family val="1"/>
      </rPr>
      <t>2 =</t>
    </r>
  </si>
  <si>
    <r>
      <t xml:space="preserve">           SE </t>
    </r>
    <r>
      <rPr>
        <sz val="8"/>
        <rFont val="Times New Roman"/>
        <family val="1"/>
      </rPr>
      <t>4     =</t>
    </r>
  </si>
  <si>
    <t>Observations :</t>
  </si>
  <si>
    <r>
      <t xml:space="preserve"> Responsable de l'essai : </t>
    </r>
    <r>
      <rPr>
        <b/>
        <sz val="9"/>
        <rFont val="Times New Roman"/>
        <family val="1"/>
      </rPr>
      <t>DEOLINDA N'TONTA</t>
    </r>
  </si>
  <si>
    <t xml:space="preserve"> Nom :</t>
  </si>
  <si>
    <t xml:space="preserve"> Visa   :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</si>
  <si>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</si>
  <si>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Poids cumulé</t>
  </si>
  <si>
    <t>Le Directeur du Laboratoire,</t>
  </si>
  <si>
    <t>Eric ONDZOULOU</t>
  </si>
  <si>
    <t>Matériaux et Expertise</t>
  </si>
  <si>
    <t xml:space="preserve">Le Chef de Division Essais, </t>
  </si>
  <si>
    <t>Puit 2 - 2ème couche</t>
  </si>
  <si>
    <t>Puit 2 -  2ème couche</t>
  </si>
  <si>
    <t>B4/B27</t>
  </si>
  <si>
    <t>Profondeur  0,35 m - 0,40 m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</si>
  <si>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</si>
  <si>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</si>
  <si>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</si>
  <si>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</si>
  <si>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</si>
  <si>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</si>
  <si>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</si>
  <si>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</si>
  <si>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</si>
  <si>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</si>
  <si>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</si>
  <si>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</si>
  <si>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</si>
  <si>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</si>
  <si>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</si>
  <si>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</si>
  <si>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Expérimentateur :BEANGE Grace</t>
  </si>
  <si>
    <t>Date :         16/12/2019</t>
  </si>
  <si>
    <t>Nature :Passage en TVC Gré de Linkisi) ,Profondeur 0,35 m - 0,40 m,Puit 2 - 2 ème couche</t>
  </si>
  <si>
    <t xml:space="preserve"> TVC (Grès de l'Inkisi)</t>
  </si>
  <si>
    <t xml:space="preserve">Corniche Brazzaville - Tronçon Fulbert YOULOU Pont du Djoué - Puit 2 - 2 ème couche 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</si>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</sst>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9"/>
      <name val="Arial"/>
      <family val="2"/>
    </font>
    <font>
      <i/>
      <vertAlign val="subscript"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u/>
      <sz val="9"/>
      <name val="Times New Roman"/>
      <family val="1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u/>
      <sz val="9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9" fontId="14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Border="1"/>
    <xf numFmtId="2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3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49" xfId="0" applyBorder="1"/>
    <xf numFmtId="0" fontId="0" fillId="0" borderId="50" xfId="0" applyBorder="1"/>
    <xf numFmtId="0" fontId="0" fillId="0" borderId="20" xfId="0" applyBorder="1"/>
    <xf numFmtId="1" fontId="0" fillId="0" borderId="52" xfId="0" applyNumberFormat="1" applyBorder="1"/>
    <xf numFmtId="0" fontId="0" fillId="0" borderId="21" xfId="0" applyBorder="1"/>
    <xf numFmtId="1" fontId="0" fillId="0" borderId="51" xfId="0" applyNumberFormat="1" applyBorder="1"/>
    <xf numFmtId="164" fontId="0" fillId="0" borderId="0" xfId="0" applyNumberFormat="1"/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18" fillId="0" borderId="1" xfId="0" applyFont="1" applyBorder="1" applyAlignment="1">
      <alignment horizontal="left"/>
    </xf>
    <xf numFmtId="0" fontId="18" fillId="0" borderId="4" xfId="0" applyFont="1" applyBorder="1" applyAlignment="1"/>
    <xf numFmtId="0" fontId="18" fillId="0" borderId="0" xfId="0" applyFont="1" applyAlignment="1"/>
    <xf numFmtId="11" fontId="21" fillId="0" borderId="13" xfId="0" applyNumberFormat="1" applyFont="1" applyBorder="1" applyAlignment="1">
      <alignment horizontal="center"/>
    </xf>
    <xf numFmtId="0" fontId="18" fillId="0" borderId="0" xfId="0" applyFont="1"/>
    <xf numFmtId="0" fontId="18" fillId="0" borderId="13" xfId="0" applyFont="1" applyBorder="1" applyAlignment="1">
      <alignment horizontal="center"/>
    </xf>
    <xf numFmtId="0" fontId="18" fillId="0" borderId="13" xfId="0" applyFont="1" applyBorder="1"/>
    <xf numFmtId="0" fontId="18" fillId="0" borderId="13" xfId="0" applyFont="1" applyBorder="1" applyAlignment="1"/>
    <xf numFmtId="0" fontId="20" fillId="0" borderId="22" xfId="0" applyFont="1" applyBorder="1"/>
    <xf numFmtId="0" fontId="17" fillId="0" borderId="23" xfId="0" applyFont="1" applyBorder="1"/>
    <xf numFmtId="0" fontId="18" fillId="0" borderId="18" xfId="0" applyFont="1" applyBorder="1" applyAlignment="1"/>
    <xf numFmtId="0" fontId="18" fillId="0" borderId="0" xfId="0" applyFont="1" applyBorder="1" applyAlignment="1"/>
    <xf numFmtId="0" fontId="18" fillId="0" borderId="23" xfId="0" applyFont="1" applyBorder="1"/>
    <xf numFmtId="0" fontId="18" fillId="0" borderId="18" xfId="0" applyFont="1" applyBorder="1"/>
    <xf numFmtId="0" fontId="18" fillId="0" borderId="0" xfId="0" applyFont="1" applyBorder="1"/>
    <xf numFmtId="0" fontId="26" fillId="0" borderId="9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31" fillId="0" borderId="39" xfId="0" applyFont="1" applyBorder="1" applyAlignment="1">
      <alignment horizontal="centerContinuous" vertical="center"/>
    </xf>
    <xf numFmtId="0" fontId="31" fillId="0" borderId="12" xfId="0" applyFont="1" applyBorder="1" applyAlignment="1">
      <alignment horizontal="centerContinuous" vertical="center"/>
    </xf>
    <xf numFmtId="0" fontId="31" fillId="0" borderId="40" xfId="0" applyFont="1" applyBorder="1" applyAlignment="1">
      <alignment horizontal="centerContinuous" vertical="center"/>
    </xf>
    <xf numFmtId="0" fontId="33" fillId="3" borderId="9" xfId="0" applyFont="1" applyFill="1" applyBorder="1" applyAlignment="1">
      <alignment horizontal="centerContinuous" vertical="center"/>
    </xf>
    <xf numFmtId="0" fontId="33" fillId="3" borderId="10" xfId="0" applyFont="1" applyFill="1" applyBorder="1" applyAlignment="1">
      <alignment horizontal="centerContinuous" vertical="center"/>
    </xf>
    <xf numFmtId="0" fontId="33" fillId="3" borderId="24" xfId="0" applyFont="1" applyFill="1" applyBorder="1" applyAlignment="1">
      <alignment horizontal="centerContinuous" vertical="center"/>
    </xf>
    <xf numFmtId="0" fontId="29" fillId="3" borderId="31" xfId="0" applyFont="1" applyFill="1" applyBorder="1" applyAlignment="1">
      <alignment horizontal="centerContinuous" vertical="center"/>
    </xf>
    <xf numFmtId="0" fontId="29" fillId="3" borderId="32" xfId="0" applyFont="1" applyFill="1" applyBorder="1" applyAlignment="1">
      <alignment horizontal="centerContinuous" vertical="center"/>
    </xf>
    <xf numFmtId="0" fontId="29" fillId="3" borderId="35" xfId="0" applyFont="1" applyFill="1" applyBorder="1" applyAlignment="1">
      <alignment horizontal="centerContinuous" vertical="center"/>
    </xf>
    <xf numFmtId="0" fontId="34" fillId="0" borderId="41" xfId="0" applyFont="1" applyBorder="1" applyAlignment="1">
      <alignment horizontal="centerContinuous" vertical="center"/>
    </xf>
    <xf numFmtId="0" fontId="34" fillId="0" borderId="42" xfId="0" applyFont="1" applyBorder="1" applyAlignment="1">
      <alignment horizontal="centerContinuous" vertical="center"/>
    </xf>
    <xf numFmtId="0" fontId="34" fillId="0" borderId="26" xfId="0" applyFont="1" applyBorder="1" applyAlignment="1">
      <alignment horizontal="centerContinuous" vertical="center"/>
    </xf>
    <xf numFmtId="0" fontId="34" fillId="0" borderId="2" xfId="0" applyFont="1" applyBorder="1" applyAlignment="1">
      <alignment horizontal="centerContinuous" vertical="center"/>
    </xf>
    <xf numFmtId="0" fontId="34" fillId="0" borderId="28" xfId="0" applyFont="1" applyBorder="1" applyAlignment="1">
      <alignment horizontal="centerContinuous" vertical="center"/>
    </xf>
    <xf numFmtId="0" fontId="34" fillId="0" borderId="29" xfId="0" applyFont="1" applyBorder="1" applyAlignment="1">
      <alignment horizontal="centerContinuous" vertical="center"/>
    </xf>
    <xf numFmtId="0" fontId="5" fillId="0" borderId="28" xfId="0" applyFont="1" applyBorder="1" applyAlignment="1">
      <alignment horizontal="centerContinuous" vertical="center"/>
    </xf>
    <xf numFmtId="0" fontId="5" fillId="0" borderId="29" xfId="0" applyFont="1" applyBorder="1" applyAlignment="1">
      <alignment horizontal="centerContinuous" vertical="center"/>
    </xf>
    <xf numFmtId="0" fontId="5" fillId="0" borderId="47" xfId="0" applyFont="1" applyBorder="1" applyAlignment="1">
      <alignment horizontal="centerContinuous" vertical="center"/>
    </xf>
    <xf numFmtId="0" fontId="34" fillId="0" borderId="11" xfId="0" applyFont="1" applyBorder="1" applyAlignment="1">
      <alignment horizontal="centerContinuous" vertical="center"/>
    </xf>
    <xf numFmtId="0" fontId="34" fillId="0" borderId="0" xfId="0" applyFont="1" applyBorder="1" applyAlignment="1">
      <alignment horizontal="centerContinuous" vertical="center"/>
    </xf>
    <xf numFmtId="0" fontId="34" fillId="0" borderId="0" xfId="0" applyFont="1" applyBorder="1" applyAlignment="1">
      <alignment vertical="center"/>
    </xf>
    <xf numFmtId="0" fontId="34" fillId="0" borderId="48" xfId="0" applyFont="1" applyBorder="1" applyAlignment="1">
      <alignment vertical="center"/>
    </xf>
    <xf numFmtId="0" fontId="18" fillId="0" borderId="11" xfId="0" applyFont="1" applyBorder="1"/>
    <xf numFmtId="0" fontId="9" fillId="0" borderId="0" xfId="0" applyFont="1" applyBorder="1" applyAlignment="1">
      <alignment horizontal="centerContinuous" vertical="center"/>
    </xf>
    <xf numFmtId="0" fontId="9" fillId="0" borderId="48" xfId="0" applyFont="1" applyBorder="1" applyAlignment="1">
      <alignment horizontal="centerContinuous" vertical="center"/>
    </xf>
    <xf numFmtId="0" fontId="9" fillId="0" borderId="11" xfId="0" applyFont="1" applyBorder="1" applyAlignment="1">
      <alignment vertical="center"/>
    </xf>
    <xf numFmtId="0" fontId="18" fillId="0" borderId="48" xfId="0" applyFont="1" applyBorder="1"/>
    <xf numFmtId="164" fontId="36" fillId="0" borderId="20" xfId="0" applyNumberFormat="1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2" fontId="36" fillId="0" borderId="20" xfId="0" applyNumberFormat="1" applyFont="1" applyBorder="1" applyAlignment="1">
      <alignment vertical="center"/>
    </xf>
    <xf numFmtId="164" fontId="36" fillId="0" borderId="53" xfId="0" applyNumberFormat="1" applyFont="1" applyBorder="1" applyAlignment="1">
      <alignment vertical="center"/>
    </xf>
    <xf numFmtId="165" fontId="36" fillId="0" borderId="53" xfId="0" applyNumberFormat="1" applyFont="1" applyBorder="1" applyAlignment="1">
      <alignment vertical="center"/>
    </xf>
    <xf numFmtId="11" fontId="39" fillId="0" borderId="13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3" xfId="0" applyFont="1" applyBorder="1"/>
    <xf numFmtId="0" fontId="17" fillId="0" borderId="3" xfId="0" applyFont="1" applyBorder="1"/>
    <xf numFmtId="0" fontId="17" fillId="0" borderId="1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3" xfId="0" applyFont="1" applyBorder="1" applyAlignment="1">
      <alignment wrapText="1"/>
    </xf>
    <xf numFmtId="1" fontId="18" fillId="0" borderId="13" xfId="0" applyNumberFormat="1" applyFont="1" applyBorder="1" applyAlignment="1">
      <alignment horizontal="center"/>
    </xf>
    <xf numFmtId="0" fontId="17" fillId="0" borderId="16" xfId="0" applyFont="1" applyBorder="1" applyAlignment="1"/>
    <xf numFmtId="0" fontId="17" fillId="0" borderId="18" xfId="0" applyFont="1" applyBorder="1" applyAlignment="1"/>
    <xf numFmtId="0" fontId="17" fillId="0" borderId="17" xfId="0" applyFont="1" applyBorder="1" applyAlignment="1"/>
    <xf numFmtId="0" fontId="17" fillId="0" borderId="18" xfId="0" applyFont="1" applyBorder="1"/>
    <xf numFmtId="0" fontId="17" fillId="0" borderId="17" xfId="0" applyFont="1" applyBorder="1"/>
    <xf numFmtId="0" fontId="17" fillId="0" borderId="16" xfId="0" applyFont="1" applyBorder="1"/>
    <xf numFmtId="0" fontId="18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0" fontId="44" fillId="0" borderId="13" xfId="0" applyFont="1" applyBorder="1"/>
    <xf numFmtId="0" fontId="44" fillId="0" borderId="3" xfId="0" applyFont="1" applyBorder="1"/>
    <xf numFmtId="0" fontId="17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44" fillId="0" borderId="13" xfId="0" applyFont="1" applyBorder="1" applyAlignment="1"/>
    <xf numFmtId="0" fontId="17" fillId="0" borderId="4" xfId="0" applyFont="1" applyBorder="1" applyAlignment="1"/>
    <xf numFmtId="0" fontId="17" fillId="0" borderId="6" xfId="0" applyFont="1" applyBorder="1" applyAlignment="1"/>
    <xf numFmtId="0" fontId="17" fillId="0" borderId="0" xfId="0" applyFont="1" applyBorder="1" applyAlignment="1"/>
    <xf numFmtId="0" fontId="17" fillId="0" borderId="8" xfId="0" applyFont="1" applyBorder="1" applyAlignment="1"/>
    <xf numFmtId="0" fontId="17" fillId="0" borderId="7" xfId="0" applyFont="1" applyBorder="1" applyAlignment="1"/>
    <xf numFmtId="0" fontId="26" fillId="0" borderId="2" xfId="0" applyFont="1" applyBorder="1" applyAlignment="1">
      <alignment horizontal="center" vertical="center"/>
    </xf>
    <xf numFmtId="0" fontId="14" fillId="0" borderId="9" xfId="1" applyBorder="1" applyAlignment="1"/>
    <xf numFmtId="0" fontId="5" fillId="0" borderId="10" xfId="1" applyFont="1" applyBorder="1" applyAlignment="1"/>
    <xf numFmtId="14" fontId="5" fillId="0" borderId="10" xfId="1" applyNumberFormat="1" applyFont="1" applyBorder="1" applyAlignment="1"/>
    <xf numFmtId="14" fontId="5" fillId="0" borderId="24" xfId="1" applyNumberFormat="1" applyFont="1" applyBorder="1" applyAlignment="1"/>
    <xf numFmtId="14" fontId="14" fillId="0" borderId="10" xfId="1" applyNumberFormat="1" applyBorder="1" applyAlignment="1"/>
    <xf numFmtId="14" fontId="14" fillId="0" borderId="0" xfId="1" applyNumberFormat="1" applyBorder="1" applyAlignment="1">
      <alignment horizontal="center"/>
    </xf>
    <xf numFmtId="0" fontId="14" fillId="0" borderId="0" xfId="1" applyBorder="1"/>
    <xf numFmtId="0" fontId="14" fillId="0" borderId="0" xfId="1"/>
    <xf numFmtId="0" fontId="14" fillId="0" borderId="11" xfId="1" applyBorder="1" applyAlignment="1"/>
    <xf numFmtId="0" fontId="36" fillId="0" borderId="7" xfId="1" applyFont="1" applyBorder="1"/>
    <xf numFmtId="0" fontId="36" fillId="0" borderId="0" xfId="1" applyFont="1" applyBorder="1"/>
    <xf numFmtId="0" fontId="36" fillId="0" borderId="0" xfId="1" applyFont="1" applyBorder="1" applyAlignment="1">
      <alignment horizontal="center"/>
    </xf>
    <xf numFmtId="0" fontId="36" fillId="0" borderId="0" xfId="1" applyFont="1" applyBorder="1" applyAlignment="1"/>
    <xf numFmtId="0" fontId="36" fillId="0" borderId="8" xfId="1" applyFont="1" applyBorder="1" applyAlignment="1"/>
    <xf numFmtId="0" fontId="5" fillId="0" borderId="0" xfId="1" applyFont="1" applyBorder="1" applyAlignment="1"/>
    <xf numFmtId="0" fontId="5" fillId="0" borderId="48" xfId="1" applyFont="1" applyBorder="1" applyAlignment="1"/>
    <xf numFmtId="0" fontId="14" fillId="0" borderId="0" xfId="1" applyBorder="1" applyAlignment="1"/>
    <xf numFmtId="0" fontId="14" fillId="0" borderId="0" xfId="1" applyBorder="1" applyAlignment="1">
      <alignment horizontal="center"/>
    </xf>
    <xf numFmtId="0" fontId="5" fillId="0" borderId="11" xfId="1" applyFont="1" applyBorder="1" applyAlignment="1"/>
    <xf numFmtId="0" fontId="36" fillId="0" borderId="0" xfId="1" applyFont="1" applyBorder="1" applyAlignment="1">
      <alignment vertical="center"/>
    </xf>
    <xf numFmtId="0" fontId="5" fillId="0" borderId="0" xfId="1" applyFont="1" applyBorder="1" applyAlignment="1">
      <alignment horizontal="center"/>
    </xf>
    <xf numFmtId="0" fontId="5" fillId="0" borderId="48" xfId="1" applyFont="1" applyBorder="1" applyAlignment="1">
      <alignment horizontal="center"/>
    </xf>
    <xf numFmtId="0" fontId="36" fillId="0" borderId="11" xfId="1" applyFont="1" applyBorder="1" applyAlignment="1"/>
    <xf numFmtId="0" fontId="36" fillId="0" borderId="1" xfId="1" applyFont="1" applyBorder="1" applyAlignment="1"/>
    <xf numFmtId="0" fontId="27" fillId="0" borderId="2" xfId="1" applyFont="1" applyBorder="1" applyAlignment="1"/>
    <xf numFmtId="0" fontId="27" fillId="0" borderId="3" xfId="1" applyFont="1" applyBorder="1" applyAlignment="1"/>
    <xf numFmtId="0" fontId="36" fillId="0" borderId="2" xfId="1" applyFont="1" applyBorder="1" applyAlignment="1"/>
    <xf numFmtId="0" fontId="27" fillId="0" borderId="48" xfId="1" applyFont="1" applyBorder="1" applyAlignment="1"/>
    <xf numFmtId="0" fontId="10" fillId="0" borderId="0" xfId="1" applyFont="1" applyBorder="1" applyAlignment="1"/>
    <xf numFmtId="0" fontId="10" fillId="0" borderId="0" xfId="1" applyFont="1" applyBorder="1" applyAlignment="1">
      <alignment horizontal="center"/>
    </xf>
    <xf numFmtId="0" fontId="5" fillId="0" borderId="11" xfId="1" applyFont="1" applyBorder="1"/>
    <xf numFmtId="0" fontId="5" fillId="0" borderId="0" xfId="1" applyFont="1" applyBorder="1"/>
    <xf numFmtId="0" fontId="36" fillId="0" borderId="11" xfId="1" applyFont="1" applyBorder="1" applyAlignment="1">
      <alignment horizontal="left" vertical="center"/>
    </xf>
    <xf numFmtId="0" fontId="14" fillId="0" borderId="0" xfId="1" applyBorder="1" applyAlignment="1">
      <alignment horizontal="left"/>
    </xf>
    <xf numFmtId="14" fontId="5" fillId="0" borderId="48" xfId="1" applyNumberFormat="1" applyFont="1" applyBorder="1" applyAlignment="1"/>
    <xf numFmtId="14" fontId="14" fillId="0" borderId="0" xfId="1" applyNumberFormat="1" applyBorder="1" applyAlignment="1"/>
    <xf numFmtId="14" fontId="14" fillId="0" borderId="0" xfId="1" applyNumberFormat="1" applyBorder="1" applyAlignment="1">
      <alignment horizontal="left"/>
    </xf>
    <xf numFmtId="0" fontId="5" fillId="0" borderId="48" xfId="1" applyFont="1" applyBorder="1" applyAlignment="1">
      <alignment horizontal="left"/>
    </xf>
    <xf numFmtId="0" fontId="36" fillId="0" borderId="11" xfId="1" applyFont="1" applyBorder="1" applyAlignment="1">
      <alignment vertical="center"/>
    </xf>
    <xf numFmtId="0" fontId="36" fillId="0" borderId="11" xfId="1" applyFont="1" applyBorder="1"/>
    <xf numFmtId="164" fontId="14" fillId="0" borderId="0" xfId="1" applyNumberFormat="1" applyBorder="1" applyAlignment="1"/>
    <xf numFmtId="164" fontId="14" fillId="0" borderId="0" xfId="1" applyNumberFormat="1" applyBorder="1" applyAlignment="1">
      <alignment horizontal="center"/>
    </xf>
    <xf numFmtId="20" fontId="14" fillId="0" borderId="0" xfId="1" applyNumberFormat="1" applyBorder="1"/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164" fontId="5" fillId="0" borderId="48" xfId="1" applyNumberFormat="1" applyFont="1" applyBorder="1" applyAlignment="1"/>
    <xf numFmtId="0" fontId="5" fillId="0" borderId="5" xfId="1" applyFont="1" applyBorder="1" applyAlignment="1"/>
    <xf numFmtId="0" fontId="5" fillId="0" borderId="4" xfId="1" applyFont="1" applyBorder="1" applyAlignment="1"/>
    <xf numFmtId="0" fontId="5" fillId="0" borderId="6" xfId="1" applyFont="1" applyBorder="1" applyAlignment="1"/>
    <xf numFmtId="0" fontId="5" fillId="0" borderId="16" xfId="1" applyFont="1" applyBorder="1" applyAlignment="1"/>
    <xf numFmtId="0" fontId="5" fillId="0" borderId="18" xfId="1" applyFont="1" applyBorder="1" applyAlignment="1"/>
    <xf numFmtId="0" fontId="5" fillId="0" borderId="17" xfId="1" applyFont="1" applyBorder="1" applyAlignment="1"/>
    <xf numFmtId="166" fontId="46" fillId="0" borderId="0" xfId="2" applyNumberFormat="1" applyFont="1" applyBorder="1" applyAlignment="1">
      <alignment horizontal="right"/>
    </xf>
    <xf numFmtId="166" fontId="47" fillId="0" borderId="0" xfId="2" applyNumberFormat="1" applyFont="1" applyBorder="1" applyAlignment="1">
      <alignment horizontal="center"/>
    </xf>
    <xf numFmtId="0" fontId="48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1" fontId="36" fillId="0" borderId="17" xfId="1" applyNumberFormat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5" fillId="0" borderId="11" xfId="1" applyFont="1" applyBorder="1" applyAlignment="1">
      <alignment horizontal="left"/>
    </xf>
    <xf numFmtId="0" fontId="5" fillId="0" borderId="5" xfId="1" applyFont="1" applyBorder="1" applyAlignment="1">
      <alignment horizontal="left" vertical="top"/>
    </xf>
    <xf numFmtId="0" fontId="5" fillId="0" borderId="4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7" xfId="1" applyFont="1" applyBorder="1"/>
    <xf numFmtId="0" fontId="5" fillId="0" borderId="39" xfId="1" applyFont="1" applyBorder="1" applyAlignment="1">
      <alignment horizontal="center"/>
    </xf>
    <xf numFmtId="0" fontId="5" fillId="0" borderId="18" xfId="1" applyFont="1" applyBorder="1"/>
    <xf numFmtId="0" fontId="14" fillId="0" borderId="11" xfId="1" applyBorder="1" applyAlignment="1">
      <alignment horizontal="center"/>
    </xf>
    <xf numFmtId="0" fontId="14" fillId="0" borderId="39" xfId="1" applyBorder="1"/>
    <xf numFmtId="0" fontId="5" fillId="0" borderId="12" xfId="1" applyFont="1" applyBorder="1" applyAlignment="1">
      <alignment horizontal="center"/>
    </xf>
    <xf numFmtId="0" fontId="5" fillId="0" borderId="40" xfId="1" applyFont="1" applyBorder="1" applyAlignment="1">
      <alignment horizontal="center"/>
    </xf>
    <xf numFmtId="0" fontId="14" fillId="0" borderId="0" xfId="1" applyAlignment="1">
      <alignment horizontal="center"/>
    </xf>
    <xf numFmtId="0" fontId="18" fillId="0" borderId="25" xfId="0" applyFont="1" applyBorder="1"/>
    <xf numFmtId="1" fontId="0" fillId="0" borderId="13" xfId="0" applyNumberFormat="1" applyBorder="1"/>
    <xf numFmtId="164" fontId="5" fillId="0" borderId="13" xfId="0" applyNumberFormat="1" applyFont="1" applyBorder="1" applyAlignment="1">
      <alignment horizontal="center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164" fontId="35" fillId="0" borderId="13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1" fillId="0" borderId="26" xfId="0" applyFont="1" applyBorder="1" applyAlignment="1" applyProtection="1">
      <alignment vertical="center"/>
      <protection locked="0"/>
    </xf>
    <xf numFmtId="0" fontId="8" fillId="0" borderId="2" xfId="0" applyFont="1" applyBorder="1" applyAlignment="1">
      <alignment vertical="center"/>
    </xf>
    <xf numFmtId="165" fontId="2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12" fillId="0" borderId="43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64" fontId="12" fillId="0" borderId="44" xfId="0" applyNumberFormat="1" applyFont="1" applyBorder="1" applyAlignment="1">
      <alignment horizontal="center" vertical="center"/>
    </xf>
    <xf numFmtId="1" fontId="12" fillId="0" borderId="31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/>
    </xf>
    <xf numFmtId="0" fontId="26" fillId="0" borderId="32" xfId="0" applyFont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0" fontId="26" fillId="0" borderId="38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1" fontId="12" fillId="0" borderId="46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48" xfId="0" applyFont="1" applyBorder="1" applyAlignment="1">
      <alignment horizontal="right"/>
    </xf>
    <xf numFmtId="0" fontId="22" fillId="0" borderId="11" xfId="0" applyFont="1" applyBorder="1" applyAlignment="1">
      <alignment horizontal="left" vertical="top"/>
    </xf>
    <xf numFmtId="0" fontId="22" fillId="0" borderId="0" xfId="0" applyFont="1" applyBorder="1" applyAlignment="1">
      <alignment horizontal="left" vertical="top"/>
    </xf>
    <xf numFmtId="0" fontId="22" fillId="0" borderId="48" xfId="0" applyFont="1" applyBorder="1" applyAlignment="1">
      <alignment horizontal="left" vertical="top"/>
    </xf>
    <xf numFmtId="0" fontId="22" fillId="0" borderId="11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1" fontId="42" fillId="0" borderId="1" xfId="0" applyNumberFormat="1" applyFont="1" applyBorder="1" applyAlignment="1">
      <alignment horizontal="center" vertical="center"/>
    </xf>
    <xf numFmtId="1" fontId="42" fillId="0" borderId="27" xfId="0" applyNumberFormat="1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2" fontId="36" fillId="0" borderId="27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1" fontId="36" fillId="0" borderId="27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/>
    </xf>
    <xf numFmtId="1" fontId="36" fillId="0" borderId="27" xfId="0" applyNumberFormat="1" applyFont="1" applyBorder="1" applyAlignment="1">
      <alignment horizontal="center"/>
    </xf>
    <xf numFmtId="0" fontId="36" fillId="3" borderId="41" xfId="0" applyFont="1" applyFill="1" applyBorder="1" applyAlignment="1">
      <alignment horizontal="center"/>
    </xf>
    <xf numFmtId="0" fontId="36" fillId="3" borderId="45" xfId="0" applyFont="1" applyFill="1" applyBorder="1" applyAlignment="1">
      <alignment horizontal="center"/>
    </xf>
    <xf numFmtId="0" fontId="36" fillId="3" borderId="28" xfId="0" applyFont="1" applyFill="1" applyBorder="1" applyAlignment="1">
      <alignment horizontal="center" vertical="center"/>
    </xf>
    <xf numFmtId="0" fontId="36" fillId="3" borderId="47" xfId="0" applyFont="1" applyFill="1" applyBorder="1" applyAlignment="1">
      <alignment horizontal="center" vertical="center"/>
    </xf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24" xfId="0" applyFont="1" applyBorder="1" applyAlignment="1"/>
    <xf numFmtId="0" fontId="9" fillId="0" borderId="11" xfId="0" applyFont="1" applyBorder="1" applyAlignment="1"/>
    <xf numFmtId="0" fontId="9" fillId="0" borderId="0" xfId="0" applyFont="1" applyBorder="1" applyAlignment="1"/>
    <xf numFmtId="0" fontId="9" fillId="0" borderId="48" xfId="0" applyFont="1" applyBorder="1" applyAlignment="1"/>
    <xf numFmtId="0" fontId="42" fillId="0" borderId="1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37" fillId="3" borderId="54" xfId="0" applyFont="1" applyFill="1" applyBorder="1" applyAlignment="1">
      <alignment horizontal="center" wrapText="1"/>
    </xf>
    <xf numFmtId="0" fontId="37" fillId="3" borderId="57" xfId="0" applyFont="1" applyFill="1" applyBorder="1" applyAlignment="1">
      <alignment horizontal="center" wrapText="1"/>
    </xf>
    <xf numFmtId="0" fontId="36" fillId="3" borderId="55" xfId="0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/>
    </xf>
    <xf numFmtId="0" fontId="36" fillId="3" borderId="56" xfId="0" applyFont="1" applyFill="1" applyBorder="1" applyAlignment="1">
      <alignment horizontal="center" vertical="center"/>
    </xf>
    <xf numFmtId="0" fontId="36" fillId="3" borderId="40" xfId="0" applyFont="1" applyFill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38" fillId="0" borderId="11" xfId="0" applyFont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38" fillId="0" borderId="48" xfId="0" applyFont="1" applyBorder="1" applyAlignment="1">
      <alignment horizontal="left"/>
    </xf>
    <xf numFmtId="0" fontId="38" fillId="0" borderId="39" xfId="0" applyFont="1" applyBorder="1" applyAlignment="1">
      <alignment horizontal="left"/>
    </xf>
    <xf numFmtId="0" fontId="38" fillId="0" borderId="12" xfId="0" applyFont="1" applyBorder="1" applyAlignment="1">
      <alignment horizontal="left"/>
    </xf>
    <xf numFmtId="0" fontId="38" fillId="0" borderId="40" xfId="0" applyFont="1" applyBorder="1" applyAlignment="1">
      <alignment horizontal="left"/>
    </xf>
    <xf numFmtId="0" fontId="38" fillId="0" borderId="11" xfId="0" applyFont="1" applyBorder="1" applyAlignment="1">
      <alignment horizontal="right"/>
    </xf>
    <xf numFmtId="0" fontId="38" fillId="0" borderId="0" xfId="0" applyFont="1" applyBorder="1" applyAlignment="1">
      <alignment horizontal="right"/>
    </xf>
    <xf numFmtId="0" fontId="38" fillId="0" borderId="48" xfId="0" applyFont="1" applyBorder="1" applyAlignment="1">
      <alignment horizontal="right"/>
    </xf>
    <xf numFmtId="0" fontId="38" fillId="0" borderId="39" xfId="0" applyFont="1" applyBorder="1" applyAlignment="1">
      <alignment horizontal="right"/>
    </xf>
    <xf numFmtId="0" fontId="38" fillId="0" borderId="12" xfId="0" applyFont="1" applyBorder="1" applyAlignment="1">
      <alignment horizontal="right"/>
    </xf>
    <xf numFmtId="0" fontId="38" fillId="0" borderId="40" xfId="0" applyFont="1" applyBorder="1" applyAlignment="1">
      <alignment horizontal="right"/>
    </xf>
    <xf numFmtId="0" fontId="9" fillId="2" borderId="18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center" vertical="top"/>
    </xf>
    <xf numFmtId="0" fontId="18" fillId="0" borderId="0" xfId="0" applyFont="1" applyBorder="1" applyAlignment="1">
      <alignment horizontal="center" vertical="top"/>
    </xf>
    <xf numFmtId="0" fontId="18" fillId="0" borderId="48" xfId="0" applyFont="1" applyBorder="1" applyAlignment="1">
      <alignment horizontal="center" vertical="top"/>
    </xf>
    <xf numFmtId="0" fontId="17" fillId="0" borderId="39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7" fillId="0" borderId="40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9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24" xfId="0" applyFont="1" applyBorder="1" applyAlignment="1">
      <alignment horizontal="left" vertical="top"/>
    </xf>
    <xf numFmtId="0" fontId="18" fillId="0" borderId="11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48" xfId="0" applyFont="1" applyBorder="1" applyAlignment="1">
      <alignment horizontal="left"/>
    </xf>
    <xf numFmtId="0" fontId="17" fillId="0" borderId="11" xfId="0" applyFont="1" applyBorder="1" applyAlignment="1">
      <alignment horizontal="right"/>
    </xf>
    <xf numFmtId="0" fontId="17" fillId="0" borderId="0" xfId="0" applyFont="1" applyBorder="1" applyAlignment="1">
      <alignment horizontal="right"/>
    </xf>
    <xf numFmtId="164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18" fillId="0" borderId="11" xfId="0" applyFont="1" applyBorder="1" applyAlignment="1"/>
    <xf numFmtId="0" fontId="18" fillId="0" borderId="0" xfId="0" applyFont="1" applyBorder="1" applyAlignment="1"/>
    <xf numFmtId="0" fontId="18" fillId="0" borderId="0" xfId="0" applyFont="1" applyBorder="1" applyAlignment="1">
      <alignment horizontal="right"/>
    </xf>
    <xf numFmtId="0" fontId="4" fillId="0" borderId="18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48" xfId="0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1" fontId="21" fillId="0" borderId="1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1" fillId="0" borderId="42" xfId="0" applyFont="1" applyBorder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24" xfId="0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24" xfId="0" applyBorder="1" applyAlignment="1">
      <alignment horizontal="left"/>
    </xf>
    <xf numFmtId="0" fontId="1" fillId="0" borderId="11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7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5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17" fillId="0" borderId="16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7" fillId="0" borderId="16" xfId="0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17" fillId="0" borderId="7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8" xfId="0" applyFont="1" applyBorder="1" applyAlignment="1">
      <alignment horizontal="left" wrapText="1"/>
    </xf>
    <xf numFmtId="0" fontId="17" fillId="0" borderId="16" xfId="0" applyFont="1" applyBorder="1" applyAlignment="1"/>
    <xf numFmtId="0" fontId="17" fillId="0" borderId="18" xfId="0" applyFont="1" applyBorder="1" applyAlignment="1"/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top"/>
    </xf>
    <xf numFmtId="0" fontId="17" fillId="0" borderId="6" xfId="0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17" fillId="0" borderId="4" xfId="0" applyFont="1" applyBorder="1" applyAlignment="1">
      <alignment horizontal="left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18" xfId="0" applyFont="1" applyBorder="1" applyAlignment="1">
      <alignment horizont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/>
    </xf>
    <xf numFmtId="0" fontId="17" fillId="0" borderId="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wrapText="1"/>
    </xf>
    <xf numFmtId="0" fontId="22" fillId="0" borderId="3" xfId="0" applyFont="1" applyBorder="1" applyAlignment="1">
      <alignment horizontal="center" wrapText="1"/>
    </xf>
    <xf numFmtId="11" fontId="39" fillId="0" borderId="13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41" fillId="0" borderId="13" xfId="0" applyFont="1" applyBorder="1" applyAlignment="1">
      <alignment horizontal="center" vertical="top" wrapText="1"/>
    </xf>
    <xf numFmtId="0" fontId="41" fillId="0" borderId="14" xfId="0" applyFont="1" applyBorder="1" applyAlignment="1">
      <alignment horizontal="center" vertical="top" wrapText="1"/>
    </xf>
    <xf numFmtId="0" fontId="17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42" fillId="0" borderId="13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8" xfId="0" applyBorder="1" applyAlignment="1">
      <alignment horizontal="left"/>
    </xf>
    <xf numFmtId="0" fontId="17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2" xfId="0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8" xfId="0" applyBorder="1" applyAlignment="1">
      <alignment horizontal="center"/>
    </xf>
    <xf numFmtId="0" fontId="49" fillId="0" borderId="26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9" fillId="0" borderId="2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8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2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60" xfId="0" applyFont="1" applyFill="1" applyBorder="1" applyAlignment="1">
      <alignment horizontal="center"/>
    </xf>
    <xf numFmtId="0" fontId="1" fillId="6" borderId="59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8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6" borderId="58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55" fillId="0" borderId="9" xfId="0" applyFont="1" applyBorder="1" applyAlignment="1">
      <alignment vertical="top" wrapText="1"/>
    </xf>
    <xf numFmtId="0" fontId="55" fillId="0" borderId="10" xfId="0" applyFont="1" applyBorder="1" applyAlignment="1">
      <alignment vertical="top" wrapText="1"/>
    </xf>
    <xf numFmtId="0" fontId="55" fillId="0" borderId="61" xfId="0" applyFont="1" applyBorder="1" applyAlignment="1">
      <alignment vertical="top" wrapText="1"/>
    </xf>
    <xf numFmtId="0" fontId="55" fillId="0" borderId="39" xfId="0" applyFont="1" applyBorder="1" applyAlignment="1">
      <alignment vertical="top" wrapText="1"/>
    </xf>
    <xf numFmtId="0" fontId="55" fillId="0" borderId="12" xfId="0" applyFont="1" applyBorder="1" applyAlignment="1">
      <alignment vertical="top" wrapText="1"/>
    </xf>
    <xf numFmtId="0" fontId="55" fillId="0" borderId="63" xfId="0" applyFont="1" applyBorder="1" applyAlignment="1">
      <alignment vertical="top" wrapText="1"/>
    </xf>
    <xf numFmtId="0" fontId="57" fillId="0" borderId="62" xfId="0" applyFont="1" applyBorder="1" applyAlignment="1">
      <alignment vertical="top" wrapText="1"/>
    </xf>
    <xf numFmtId="0" fontId="57" fillId="0" borderId="10" xfId="0" applyFont="1" applyBorder="1" applyAlignment="1">
      <alignment vertical="top" wrapText="1"/>
    </xf>
    <xf numFmtId="0" fontId="57" fillId="0" borderId="24" xfId="0" applyFont="1" applyBorder="1" applyAlignment="1">
      <alignment vertical="top" wrapText="1"/>
    </xf>
    <xf numFmtId="0" fontId="57" fillId="0" borderId="64" xfId="0" applyFont="1" applyBorder="1" applyAlignment="1">
      <alignment vertical="top" wrapText="1"/>
    </xf>
    <xf numFmtId="0" fontId="57" fillId="0" borderId="12" xfId="0" applyFont="1" applyBorder="1" applyAlignment="1">
      <alignment vertical="top" wrapText="1"/>
    </xf>
    <xf numFmtId="0" fontId="57" fillId="0" borderId="40" xfId="0" applyFont="1" applyBorder="1" applyAlignment="1">
      <alignment vertical="top" wrapText="1"/>
    </xf>
    <xf numFmtId="0" fontId="1" fillId="5" borderId="11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2" fontId="1" fillId="6" borderId="14" xfId="0" applyNumberFormat="1" applyFont="1" applyFill="1" applyBorder="1" applyAlignment="1">
      <alignment horizontal="center"/>
    </xf>
    <xf numFmtId="2" fontId="1" fillId="6" borderId="19" xfId="0" applyNumberFormat="1" applyFont="1" applyFill="1" applyBorder="1" applyAlignment="1">
      <alignment horizontal="center"/>
    </xf>
    <xf numFmtId="2" fontId="1" fillId="6" borderId="60" xfId="0" applyNumberFormat="1" applyFont="1" applyFill="1" applyBorder="1" applyAlignment="1">
      <alignment horizontal="center"/>
    </xf>
    <xf numFmtId="2" fontId="1" fillId="6" borderId="59" xfId="0" applyNumberFormat="1" applyFont="1" applyFill="1" applyBorder="1" applyAlignment="1">
      <alignment horizontal="center"/>
    </xf>
    <xf numFmtId="0" fontId="50" fillId="5" borderId="11" xfId="0" applyFont="1" applyFill="1" applyBorder="1" applyAlignment="1">
      <alignment horizontal="left" vertical="center"/>
    </xf>
    <xf numFmtId="0" fontId="50" fillId="5" borderId="0" xfId="0" applyFont="1" applyFill="1" applyBorder="1" applyAlignment="1">
      <alignment horizontal="left" vertical="center"/>
    </xf>
    <xf numFmtId="0" fontId="50" fillId="5" borderId="8" xfId="0" applyFont="1" applyFill="1" applyBorder="1" applyAlignment="1">
      <alignment horizontal="left" vertical="center"/>
    </xf>
    <xf numFmtId="0" fontId="50" fillId="5" borderId="23" xfId="0" applyFont="1" applyFill="1" applyBorder="1" applyAlignment="1">
      <alignment horizontal="left" vertical="center"/>
    </xf>
    <xf numFmtId="0" fontId="50" fillId="5" borderId="18" xfId="0" applyFont="1" applyFill="1" applyBorder="1" applyAlignment="1">
      <alignment horizontal="left" vertical="center"/>
    </xf>
    <xf numFmtId="0" fontId="50" fillId="5" borderId="17" xfId="0" applyFont="1" applyFill="1" applyBorder="1" applyAlignment="1">
      <alignment horizontal="left" vertical="center"/>
    </xf>
    <xf numFmtId="2" fontId="51" fillId="6" borderId="5" xfId="0" applyNumberFormat="1" applyFont="1" applyFill="1" applyBorder="1" applyAlignment="1">
      <alignment horizontal="center"/>
    </xf>
    <xf numFmtId="2" fontId="51" fillId="6" borderId="4" xfId="0" applyNumberFormat="1" applyFont="1" applyFill="1" applyBorder="1" applyAlignment="1">
      <alignment horizontal="center"/>
    </xf>
    <xf numFmtId="2" fontId="51" fillId="6" borderId="58" xfId="0" applyNumberFormat="1" applyFont="1" applyFill="1" applyBorder="1" applyAlignment="1">
      <alignment horizontal="center"/>
    </xf>
    <xf numFmtId="2" fontId="51" fillId="6" borderId="16" xfId="0" applyNumberFormat="1" applyFont="1" applyFill="1" applyBorder="1" applyAlignment="1">
      <alignment horizontal="center"/>
    </xf>
    <xf numFmtId="2" fontId="51" fillId="6" borderId="18" xfId="0" applyNumberFormat="1" applyFont="1" applyFill="1" applyBorder="1" applyAlignment="1">
      <alignment horizontal="center"/>
    </xf>
    <xf numFmtId="2" fontId="51" fillId="6" borderId="25" xfId="0" applyNumberFormat="1" applyFont="1" applyFill="1" applyBorder="1" applyAlignment="1">
      <alignment horizontal="center"/>
    </xf>
    <xf numFmtId="0" fontId="52" fillId="0" borderId="22" xfId="0" applyFont="1" applyBorder="1" applyAlignment="1">
      <alignment vertical="top"/>
    </xf>
    <xf numFmtId="0" fontId="54" fillId="0" borderId="4" xfId="0" applyFont="1" applyBorder="1" applyAlignment="1">
      <alignment vertical="top"/>
    </xf>
    <xf numFmtId="0" fontId="54" fillId="0" borderId="58" xfId="0" applyFont="1" applyBorder="1" applyAlignment="1">
      <alignment vertical="top"/>
    </xf>
    <xf numFmtId="0" fontId="54" fillId="0" borderId="39" xfId="0" applyFont="1" applyBorder="1" applyAlignment="1">
      <alignment vertical="top"/>
    </xf>
    <xf numFmtId="0" fontId="54" fillId="0" borderId="12" xfId="0" applyFont="1" applyBorder="1" applyAlignment="1">
      <alignment vertical="top"/>
    </xf>
    <xf numFmtId="0" fontId="54" fillId="0" borderId="40" xfId="0" applyFont="1" applyBorder="1" applyAlignment="1">
      <alignment vertical="top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2" fillId="0" borderId="55" xfId="1" applyFont="1" applyBorder="1" applyAlignment="1">
      <alignment horizontal="center"/>
    </xf>
    <xf numFmtId="0" fontId="36" fillId="0" borderId="10" xfId="1" applyFont="1" applyBorder="1" applyAlignment="1">
      <alignment horizontal="center"/>
    </xf>
    <xf numFmtId="0" fontId="36" fillId="0" borderId="54" xfId="1" applyFont="1" applyBorder="1" applyAlignment="1">
      <alignment horizontal="center"/>
    </xf>
    <xf numFmtId="0" fontId="36" fillId="0" borderId="16" xfId="1" applyFont="1" applyBorder="1" applyAlignment="1">
      <alignment horizontal="center" vertical="center"/>
    </xf>
    <xf numFmtId="0" fontId="36" fillId="0" borderId="18" xfId="1" applyFont="1" applyBorder="1" applyAlignment="1">
      <alignment horizontal="center" vertical="center"/>
    </xf>
    <xf numFmtId="0" fontId="36" fillId="0" borderId="17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/>
    </xf>
    <xf numFmtId="14" fontId="5" fillId="0" borderId="2" xfId="1" applyNumberFormat="1" applyFont="1" applyBorder="1" applyAlignment="1">
      <alignment horizontal="center"/>
    </xf>
    <xf numFmtId="14" fontId="5" fillId="0" borderId="3" xfId="1" applyNumberFormat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36" fillId="0" borderId="1" xfId="1" applyFont="1" applyBorder="1" applyAlignment="1">
      <alignment horizontal="center"/>
    </xf>
    <xf numFmtId="0" fontId="36" fillId="0" borderId="3" xfId="1" applyFont="1" applyBorder="1" applyAlignment="1">
      <alignment horizontal="center"/>
    </xf>
    <xf numFmtId="0" fontId="36" fillId="0" borderId="13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/>
    </xf>
    <xf numFmtId="0" fontId="5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0" fontId="5" fillId="0" borderId="18" xfId="1" applyFont="1" applyBorder="1" applyAlignment="1">
      <alignment horizontal="left" vertical="top" wrapText="1"/>
    </xf>
    <xf numFmtId="0" fontId="5" fillId="0" borderId="1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16" xfId="1" applyNumberFormat="1" applyFont="1" applyBorder="1" applyAlignment="1">
      <alignment horizontal="center" vertical="center"/>
    </xf>
    <xf numFmtId="164" fontId="5" fillId="0" borderId="17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0" fontId="5" fillId="0" borderId="8" xfId="1" applyFont="1" applyBorder="1" applyAlignment="1">
      <alignment horizontal="left" vertical="top"/>
    </xf>
    <xf numFmtId="0" fontId="5" fillId="0" borderId="16" xfId="1" applyFont="1" applyBorder="1" applyAlignment="1">
      <alignment horizontal="left" vertical="top"/>
    </xf>
    <xf numFmtId="0" fontId="5" fillId="0" borderId="18" xfId="1" applyFont="1" applyBorder="1" applyAlignment="1">
      <alignment horizontal="left" vertical="top"/>
    </xf>
    <xf numFmtId="0" fontId="5" fillId="0" borderId="17" xfId="1" applyFont="1" applyBorder="1" applyAlignment="1">
      <alignment horizontal="left" vertical="top"/>
    </xf>
    <xf numFmtId="0" fontId="5" fillId="0" borderId="12" xfId="1" applyFont="1" applyBorder="1" applyAlignment="1">
      <alignment horizontal="center"/>
    </xf>
  </cellXfs>
  <cellStyles count="3">
    <cellStyle name="Normal" xfId="0" builtinId="0"/>
    <cellStyle name="Normal 3 7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  <a:prstDash val="solid"/>
            </a:ln>
          </c:spPr>
          <c:marker>
            <c:symbol val="star"/>
            <c:size val="2"/>
            <c:spPr>
              <a:ln>
                <a:solidFill>
                  <a:schemeClr val="tx1"/>
                </a:solidFill>
              </a:ln>
            </c:spPr>
          </c:marker>
          <c:xVal>
            <c:numRef>
              <c:f>'PAGE RECAP  P1 (2)'!$AB$20:$AB$32</c:f>
              <c:numCache>
                <c:formatCode>General</c:formatCode>
                <c:ptCount val="13"/>
                <c:pt idx="0">
                  <c:v>63</c:v>
                </c:pt>
                <c:pt idx="1">
                  <c:v>50</c:v>
                </c:pt>
                <c:pt idx="2">
                  <c:v>40</c:v>
                </c:pt>
                <c:pt idx="3">
                  <c:v>31.5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0.4</c:v>
                </c:pt>
                <c:pt idx="10">
                  <c:v>0.2</c:v>
                </c:pt>
                <c:pt idx="11">
                  <c:v>0.1</c:v>
                </c:pt>
                <c:pt idx="12">
                  <c:v>0.08</c:v>
                </c:pt>
              </c:numCache>
            </c:numRef>
          </c:xVal>
          <c:yVal>
            <c:numRef>
              <c:f>'PAGE RECAP  P1 (2)'!$AC$20:$AC$32</c:f>
              <c:numCache>
                <c:formatCode>General</c:formatCode>
                <c:ptCount val="13"/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 formatCode="0">
                  <c:v>87.36666666666666</c:v>
                </c:pt>
                <c:pt idx="9" formatCode="0">
                  <c:v>71.399999999999991</c:v>
                </c:pt>
                <c:pt idx="10" formatCode="0">
                  <c:v>45.833333333333336</c:v>
                </c:pt>
                <c:pt idx="11" formatCode="0">
                  <c:v>24.13333333333334</c:v>
                </c:pt>
                <c:pt idx="12" formatCode="0">
                  <c:v>21.400000000000006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67-4895-8FEA-87EE31CB3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308032"/>
        <c:axId val="270426112"/>
      </c:scatterChart>
      <c:valAx>
        <c:axId val="22530803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426112"/>
        <c:crosses val="autoZero"/>
        <c:crossBetween val="midCat"/>
      </c:valAx>
      <c:valAx>
        <c:axId val="27042611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308032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ysClr val="windowText" lastClr="000000"/>
              </a:solidFill>
            </a:ln>
            <a:effectLst/>
          </c:spPr>
          <c:marker>
            <c:spPr>
              <a:solidFill>
                <a:sysClr val="windowText" lastClr="000000"/>
              </a:solidFill>
              <a:ln w="2857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91.733333333333334</c:v>
                </c:pt>
                <c:pt idx="4">
                  <c:v>90.333333333333329</c:v>
                </c:pt>
                <c:pt idx="5">
                  <c:v>89.1</c:v>
                </c:pt>
                <c:pt idx="6">
                  <c:v>87.36666666666666</c:v>
                </c:pt>
                <c:pt idx="7">
                  <c:v>71.400000000000006</c:v>
                </c:pt>
                <c:pt idx="8">
                  <c:v>45.833333333333336</c:v>
                </c:pt>
                <c:pt idx="9">
                  <c:v>24.13333333333334</c:v>
                </c:pt>
                <c:pt idx="10">
                  <c:v>21.400000000000006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58048"/>
        <c:axId val="313067392"/>
      </c:scatterChart>
      <c:valAx>
        <c:axId val="30425804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13067392"/>
        <c:crosses val="autoZero"/>
        <c:crossBetween val="midCat"/>
        <c:majorUnit val="10"/>
      </c:valAx>
      <c:valAx>
        <c:axId val="313067392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layout/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25804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</xdr:rowOff>
    </xdr:from>
    <xdr:to>
      <xdr:col>0</xdr:col>
      <xdr:colOff>257104</xdr:colOff>
      <xdr:row>35</xdr:row>
      <xdr:rowOff>0</xdr:rowOff>
    </xdr:to>
    <xdr:sp macro="" textlink="">
      <xdr:nvSpPr>
        <xdr:cNvPr id="2" name="Texte 7"/>
        <xdr:cNvSpPr txBox="1">
          <a:spLocks noChangeArrowheads="1"/>
        </xdr:cNvSpPr>
      </xdr:nvSpPr>
      <xdr:spPr bwMode="auto">
        <a:xfrm>
          <a:off x="0" y="3295651"/>
          <a:ext cx="257104" cy="592454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3" name="Texte 15"/>
        <xdr:cNvSpPr txBox="1">
          <a:spLocks noChangeArrowheads="1"/>
        </xdr:cNvSpPr>
      </xdr:nvSpPr>
      <xdr:spPr bwMode="auto">
        <a:xfrm>
          <a:off x="1047750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4" name="Texte 16"/>
        <xdr:cNvSpPr txBox="1">
          <a:spLocks noChangeArrowheads="1"/>
        </xdr:cNvSpPr>
      </xdr:nvSpPr>
      <xdr:spPr bwMode="auto">
        <a:xfrm>
          <a:off x="1047750" y="9220200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5" name="Texte 18"/>
        <xdr:cNvSpPr txBox="1">
          <a:spLocks noChangeArrowheads="1"/>
        </xdr:cNvSpPr>
      </xdr:nvSpPr>
      <xdr:spPr bwMode="auto">
        <a:xfrm>
          <a:off x="2253615" y="9220200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6" name="Texte 19"/>
        <xdr:cNvSpPr txBox="1">
          <a:spLocks noChangeArrowheads="1"/>
        </xdr:cNvSpPr>
      </xdr:nvSpPr>
      <xdr:spPr bwMode="auto">
        <a:xfrm>
          <a:off x="2905125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7" name="Texte 22"/>
        <xdr:cNvSpPr txBox="1">
          <a:spLocks noChangeArrowheads="1"/>
        </xdr:cNvSpPr>
      </xdr:nvSpPr>
      <xdr:spPr bwMode="auto">
        <a:xfrm>
          <a:off x="4598670" y="9220200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8" name="Texte 23"/>
        <xdr:cNvSpPr txBox="1">
          <a:spLocks noChangeArrowheads="1"/>
        </xdr:cNvSpPr>
      </xdr:nvSpPr>
      <xdr:spPr bwMode="auto">
        <a:xfrm>
          <a:off x="4972050" y="9220200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9" name="Texte 24"/>
        <xdr:cNvSpPr txBox="1">
          <a:spLocks noChangeArrowheads="1"/>
        </xdr:cNvSpPr>
      </xdr:nvSpPr>
      <xdr:spPr bwMode="auto">
        <a:xfrm>
          <a:off x="5781675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10" name="Texte 58"/>
        <xdr:cNvSpPr txBox="1">
          <a:spLocks noChangeArrowheads="1"/>
        </xdr:cNvSpPr>
      </xdr:nvSpPr>
      <xdr:spPr bwMode="auto">
        <a:xfrm>
          <a:off x="1600200" y="9220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11" name="Texte 59"/>
        <xdr:cNvSpPr txBox="1">
          <a:spLocks noChangeArrowheads="1"/>
        </xdr:cNvSpPr>
      </xdr:nvSpPr>
      <xdr:spPr bwMode="auto">
        <a:xfrm>
          <a:off x="1600200" y="9220200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68580</xdr:colOff>
      <xdr:row>13</xdr:row>
      <xdr:rowOff>38100</xdr:rowOff>
    </xdr:from>
    <xdr:to>
      <xdr:col>21</xdr:col>
      <xdr:colOff>457200</xdr:colOff>
      <xdr:row>34</xdr:row>
      <xdr:rowOff>0</xdr:rowOff>
    </xdr:to>
    <xdr:graphicFrame macro="">
      <xdr:nvGraphicFramePr>
        <xdr:cNvPr id="1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190885</xdr:rowOff>
    </xdr:from>
    <xdr:to>
      <xdr:col>8</xdr:col>
      <xdr:colOff>720090</xdr:colOff>
      <xdr:row>12</xdr:row>
      <xdr:rowOff>190885</xdr:rowOff>
    </xdr:to>
    <xdr:cxnSp macro="">
      <xdr:nvCxnSpPr>
        <xdr:cNvPr id="4" name="Connecteur droit 3"/>
        <xdr:cNvCxnSpPr/>
      </xdr:nvCxnSpPr>
      <xdr:spPr>
        <a:xfrm>
          <a:off x="5406505" y="2653915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185266</xdr:rowOff>
    </xdr:from>
    <xdr:to>
      <xdr:col>9</xdr:col>
      <xdr:colOff>405</xdr:colOff>
      <xdr:row>14</xdr:row>
      <xdr:rowOff>185266</xdr:rowOff>
    </xdr:to>
    <xdr:cxnSp macro="">
      <xdr:nvCxnSpPr>
        <xdr:cNvPr id="5" name="Connecteur droit 4"/>
        <xdr:cNvCxnSpPr/>
      </xdr:nvCxnSpPr>
      <xdr:spPr>
        <a:xfrm flipV="1">
          <a:off x="4451927" y="3033145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104775</xdr:rowOff>
    </xdr:from>
    <xdr:to>
      <xdr:col>1</xdr:col>
      <xdr:colOff>885825</xdr:colOff>
      <xdr:row>3</xdr:row>
      <xdr:rowOff>190500</xdr:rowOff>
    </xdr:to>
    <xdr:pic>
      <xdr:nvPicPr>
        <xdr:cNvPr id="2" name="Imag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04775"/>
          <a:ext cx="8096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topLeftCell="B1" workbookViewId="0">
      <selection activeCell="N11" sqref="N11:V11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7.2851562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8" ht="22.9" customHeight="1" x14ac:dyDescent="0.25">
      <c r="A1" s="47"/>
      <c r="B1" s="48"/>
      <c r="C1" s="201" t="s">
        <v>6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</row>
    <row r="2" spans="1:28" ht="19.149999999999999" customHeight="1" x14ac:dyDescent="0.25">
      <c r="A2" s="203"/>
      <c r="B2" s="204"/>
      <c r="C2" s="204"/>
      <c r="D2" s="204"/>
      <c r="E2" s="205"/>
      <c r="F2" s="205"/>
      <c r="G2" s="205"/>
      <c r="H2" s="205"/>
      <c r="I2" s="205"/>
      <c r="J2" s="205"/>
      <c r="K2" s="205"/>
      <c r="L2" s="205"/>
      <c r="M2" s="206" t="s">
        <v>175</v>
      </c>
      <c r="N2" s="206"/>
      <c r="O2" s="206"/>
      <c r="P2" s="206"/>
      <c r="Q2" s="206"/>
      <c r="R2" s="206"/>
      <c r="S2" s="206"/>
      <c r="T2" s="206"/>
      <c r="U2" s="206"/>
      <c r="V2" s="207"/>
    </row>
    <row r="3" spans="1:28" ht="26.25" customHeight="1" x14ac:dyDescent="0.25">
      <c r="A3" s="208" t="s">
        <v>7</v>
      </c>
      <c r="B3" s="209"/>
      <c r="C3" s="209"/>
      <c r="D3" s="209"/>
      <c r="E3" s="210" t="s">
        <v>205</v>
      </c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2"/>
    </row>
    <row r="4" spans="1:28" ht="20.45" customHeight="1" x14ac:dyDescent="0.25">
      <c r="A4" s="225" t="s">
        <v>8</v>
      </c>
      <c r="B4" s="226"/>
      <c r="C4" s="226"/>
      <c r="D4" s="226"/>
      <c r="E4" s="227"/>
      <c r="F4" s="228">
        <v>43808</v>
      </c>
      <c r="G4" s="229"/>
      <c r="H4" s="229"/>
      <c r="I4" s="230"/>
      <c r="J4" s="231" t="s">
        <v>9</v>
      </c>
      <c r="K4" s="232"/>
      <c r="L4" s="232"/>
      <c r="M4" s="233"/>
      <c r="N4" s="234">
        <v>43809</v>
      </c>
      <c r="O4" s="235"/>
      <c r="P4" s="235"/>
      <c r="Q4" s="235"/>
      <c r="R4" s="235"/>
      <c r="S4" s="112" t="s">
        <v>3</v>
      </c>
      <c r="T4" s="235">
        <v>43827</v>
      </c>
      <c r="U4" s="236"/>
      <c r="V4" s="237"/>
    </row>
    <row r="5" spans="1:28" ht="7.15" customHeight="1" thickBot="1" x14ac:dyDescent="0.3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40"/>
    </row>
    <row r="6" spans="1:28" ht="29.25" customHeight="1" thickBot="1" x14ac:dyDescent="0.3">
      <c r="A6" s="241" t="s">
        <v>10</v>
      </c>
      <c r="B6" s="242"/>
      <c r="C6" s="242"/>
      <c r="D6" s="242"/>
      <c r="E6" s="243"/>
      <c r="F6" s="244" t="s">
        <v>204</v>
      </c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6"/>
    </row>
    <row r="7" spans="1:28" ht="14.45" customHeight="1" x14ac:dyDescent="0.25">
      <c r="A7" s="247" t="s">
        <v>11</v>
      </c>
      <c r="B7" s="248"/>
      <c r="C7" s="248"/>
      <c r="D7" s="248"/>
      <c r="E7" s="248"/>
      <c r="F7" s="249" t="s">
        <v>184</v>
      </c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50"/>
    </row>
    <row r="8" spans="1:28" ht="5.45" customHeight="1" thickBot="1" x14ac:dyDescent="0.3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</row>
    <row r="9" spans="1:28" ht="14.25" customHeight="1" thickBot="1" x14ac:dyDescent="0.3">
      <c r="A9" s="251"/>
      <c r="B9" s="252"/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3"/>
    </row>
    <row r="10" spans="1:28" ht="18.600000000000001" customHeight="1" thickBot="1" x14ac:dyDescent="0.3">
      <c r="A10" s="52" t="s">
        <v>12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  <c r="N10" s="55" t="s">
        <v>13</v>
      </c>
      <c r="O10" s="56"/>
      <c r="P10" s="56"/>
      <c r="Q10" s="56"/>
      <c r="R10" s="56"/>
      <c r="S10" s="56"/>
      <c r="T10" s="56"/>
      <c r="U10" s="56"/>
      <c r="V10" s="57"/>
    </row>
    <row r="11" spans="1:28" ht="16.149999999999999" customHeight="1" thickBot="1" x14ac:dyDescent="0.3">
      <c r="A11" s="58" t="s">
        <v>14</v>
      </c>
      <c r="B11" s="59"/>
      <c r="C11" s="59"/>
      <c r="D11" s="213" t="s">
        <v>17</v>
      </c>
      <c r="E11" s="214"/>
      <c r="F11" s="215"/>
      <c r="G11" s="216" t="s">
        <v>15</v>
      </c>
      <c r="H11" s="217"/>
      <c r="I11" s="217"/>
      <c r="J11" s="218"/>
      <c r="K11" s="219">
        <f>'Teneur en eau 2 P1 '!F41</f>
        <v>11.154652861503603</v>
      </c>
      <c r="L11" s="220"/>
      <c r="M11" s="221"/>
      <c r="N11" s="222"/>
      <c r="O11" s="223"/>
      <c r="P11" s="223"/>
      <c r="Q11" s="223"/>
      <c r="R11" s="223"/>
      <c r="S11" s="223"/>
      <c r="T11" s="223"/>
      <c r="U11" s="223"/>
      <c r="V11" s="224"/>
    </row>
    <row r="12" spans="1:28" ht="23.45" customHeight="1" thickBot="1" x14ac:dyDescent="0.3">
      <c r="A12" s="60" t="s">
        <v>16</v>
      </c>
      <c r="B12" s="61"/>
      <c r="C12" s="61"/>
      <c r="D12" s="213" t="s">
        <v>17</v>
      </c>
      <c r="E12" s="214"/>
      <c r="F12" s="215"/>
      <c r="G12" s="265" t="s">
        <v>206</v>
      </c>
      <c r="H12" s="266"/>
      <c r="I12" s="266"/>
      <c r="J12" s="267"/>
      <c r="K12" s="213">
        <v>2.5299999999999998</v>
      </c>
      <c r="L12" s="214"/>
      <c r="M12" s="215"/>
      <c r="N12" s="268" t="s">
        <v>18</v>
      </c>
      <c r="O12" s="255"/>
      <c r="P12" s="255"/>
      <c r="Q12" s="269"/>
      <c r="R12" s="254">
        <v>29</v>
      </c>
      <c r="S12" s="255"/>
      <c r="T12" s="255"/>
      <c r="U12" s="255"/>
      <c r="V12" s="256"/>
      <c r="AB12">
        <v>300</v>
      </c>
    </row>
    <row r="13" spans="1:28" ht="16.149999999999999" customHeight="1" thickBot="1" x14ac:dyDescent="0.3">
      <c r="A13" s="62" t="s">
        <v>19</v>
      </c>
      <c r="B13" s="63"/>
      <c r="C13" s="63"/>
      <c r="D13" s="213" t="s">
        <v>17</v>
      </c>
      <c r="E13" s="214"/>
      <c r="F13" s="215"/>
      <c r="G13" s="64" t="s">
        <v>20</v>
      </c>
      <c r="H13" s="65"/>
      <c r="I13" s="65"/>
      <c r="J13" s="66"/>
      <c r="K13" s="257">
        <f>'Granulo P1'!O50</f>
        <v>21.400000000000006</v>
      </c>
      <c r="L13" s="258"/>
      <c r="M13" s="259"/>
      <c r="N13" s="260" t="s">
        <v>21</v>
      </c>
      <c r="O13" s="261"/>
      <c r="P13" s="261"/>
      <c r="Q13" s="262"/>
      <c r="R13" s="254" t="s">
        <v>17</v>
      </c>
      <c r="S13" s="255"/>
      <c r="T13" s="255"/>
      <c r="U13" s="255"/>
      <c r="V13" s="256"/>
    </row>
    <row r="14" spans="1:28" ht="3.6" customHeight="1" thickBot="1" x14ac:dyDescent="0.3">
      <c r="A14" s="67"/>
      <c r="B14" s="68"/>
      <c r="C14" s="68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8"/>
      <c r="O14" s="68"/>
      <c r="P14" s="68"/>
      <c r="Q14" s="68"/>
      <c r="R14" s="69"/>
      <c r="S14" s="69"/>
      <c r="T14" s="69"/>
      <c r="U14" s="69"/>
      <c r="V14" s="70"/>
    </row>
    <row r="15" spans="1:28" ht="26.25" customHeight="1" x14ac:dyDescent="0.25">
      <c r="A15" s="71"/>
      <c r="B15" s="290" t="s">
        <v>22</v>
      </c>
      <c r="C15" s="291"/>
      <c r="D15" s="302" t="s">
        <v>176</v>
      </c>
      <c r="E15" s="304" t="s">
        <v>108</v>
      </c>
      <c r="F15" s="305"/>
      <c r="G15" s="72" t="s">
        <v>23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3"/>
    </row>
    <row r="16" spans="1:28" ht="28.5" customHeight="1" thickBot="1" x14ac:dyDescent="0.3">
      <c r="A16" s="74"/>
      <c r="B16" s="292" t="s">
        <v>24</v>
      </c>
      <c r="C16" s="293"/>
      <c r="D16" s="303"/>
      <c r="E16" s="306"/>
      <c r="F16" s="307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75"/>
    </row>
    <row r="17" spans="1:31" ht="27" customHeight="1" x14ac:dyDescent="0.25">
      <c r="A17" s="71"/>
      <c r="B17" s="76">
        <v>40</v>
      </c>
      <c r="C17" s="77"/>
      <c r="D17" s="78"/>
      <c r="E17" s="308"/>
      <c r="F17" s="309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75"/>
    </row>
    <row r="18" spans="1:31" ht="23.25" customHeight="1" x14ac:dyDescent="0.25">
      <c r="A18" s="71"/>
      <c r="B18" s="76">
        <v>31.5</v>
      </c>
      <c r="C18" s="79"/>
      <c r="D18" s="80"/>
      <c r="E18" s="263"/>
      <c r="F18" s="264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75"/>
      <c r="AB18" s="15"/>
      <c r="AC18" s="15"/>
    </row>
    <row r="19" spans="1:31" ht="18.75" customHeight="1" x14ac:dyDescent="0.25">
      <c r="A19" s="71"/>
      <c r="B19" s="76">
        <v>20</v>
      </c>
      <c r="C19" s="79"/>
      <c r="D19" s="80">
        <f>'Granulo P1'!N26</f>
        <v>0</v>
      </c>
      <c r="E19" s="286">
        <f>'Granulo P1'!O26</f>
        <v>100</v>
      </c>
      <c r="F19" s="264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75"/>
      <c r="AB19" s="15"/>
      <c r="AC19" s="15"/>
    </row>
    <row r="20" spans="1:31" ht="22.5" customHeight="1" x14ac:dyDescent="0.25">
      <c r="A20" s="71"/>
      <c r="B20" s="76">
        <v>10</v>
      </c>
      <c r="C20" s="77"/>
      <c r="D20" s="80"/>
      <c r="E20" s="263"/>
      <c r="F20" s="264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75"/>
      <c r="AB20" s="15">
        <v>63</v>
      </c>
      <c r="AC20" s="15"/>
    </row>
    <row r="21" spans="1:31" ht="18.75" customHeight="1" x14ac:dyDescent="0.25">
      <c r="A21" s="71"/>
      <c r="B21" s="76">
        <v>6.3</v>
      </c>
      <c r="C21" s="79"/>
      <c r="D21" s="80"/>
      <c r="E21" s="263"/>
      <c r="F21" s="264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75"/>
      <c r="AB21" s="15">
        <v>50</v>
      </c>
      <c r="AC21" s="15"/>
    </row>
    <row r="22" spans="1:31" ht="27" customHeight="1" x14ac:dyDescent="0.25">
      <c r="A22" s="71"/>
      <c r="B22" s="76">
        <v>5</v>
      </c>
      <c r="C22" s="79"/>
      <c r="D22" s="198">
        <f>'Granulo P1'!N32</f>
        <v>9.6666666666666661</v>
      </c>
      <c r="E22" s="282">
        <f>'Granulo P1'!O32</f>
        <v>90.333333333333329</v>
      </c>
      <c r="F22" s="283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75"/>
      <c r="AB22" s="15">
        <v>40</v>
      </c>
      <c r="AC22" s="15"/>
    </row>
    <row r="23" spans="1:31" ht="20.25" customHeight="1" x14ac:dyDescent="0.25">
      <c r="A23" s="71"/>
      <c r="B23" s="76">
        <v>4</v>
      </c>
      <c r="C23" s="77"/>
      <c r="D23" s="197"/>
      <c r="E23" s="300"/>
      <c r="F23" s="301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75"/>
      <c r="AB23" s="15">
        <v>31.5</v>
      </c>
      <c r="AC23" s="15"/>
    </row>
    <row r="24" spans="1:31" ht="21.75" customHeight="1" x14ac:dyDescent="0.25">
      <c r="A24" s="71"/>
      <c r="B24" s="76">
        <v>2.5</v>
      </c>
      <c r="C24" s="79"/>
      <c r="D24" s="197"/>
      <c r="E24" s="300"/>
      <c r="F24" s="301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75"/>
      <c r="AB24" s="15">
        <v>20</v>
      </c>
      <c r="AC24" s="15"/>
    </row>
    <row r="25" spans="1:31" ht="27.75" customHeight="1" x14ac:dyDescent="0.25">
      <c r="A25" s="71"/>
      <c r="B25" s="76">
        <v>2</v>
      </c>
      <c r="C25" s="79"/>
      <c r="D25" s="198">
        <f>'Granulo P1'!N36</f>
        <v>10.900000000000002</v>
      </c>
      <c r="E25" s="282">
        <f>'Granulo P1'!O36</f>
        <v>89.1</v>
      </c>
      <c r="F25" s="283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75"/>
      <c r="AB25" s="15">
        <v>10</v>
      </c>
      <c r="AC25" s="15">
        <v>100</v>
      </c>
    </row>
    <row r="26" spans="1:31" ht="36.75" customHeight="1" x14ac:dyDescent="0.25">
      <c r="A26" s="71"/>
      <c r="B26" s="81">
        <v>1.25</v>
      </c>
      <c r="C26" s="79"/>
      <c r="D26" s="197"/>
      <c r="E26" s="300"/>
      <c r="F26" s="301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75"/>
      <c r="AB26" s="15">
        <v>5</v>
      </c>
      <c r="AC26" s="15">
        <v>100</v>
      </c>
    </row>
    <row r="27" spans="1:31" ht="27.75" customHeight="1" x14ac:dyDescent="0.25">
      <c r="A27" s="71"/>
      <c r="B27" s="82">
        <v>1</v>
      </c>
      <c r="C27" s="79"/>
      <c r="D27" s="199">
        <f>'Granulo P1'!L39</f>
        <v>37.900000000000006</v>
      </c>
      <c r="E27" s="282">
        <f>100-((D27*100)/AB12)</f>
        <v>87.36666666666666</v>
      </c>
      <c r="F27" s="283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75"/>
      <c r="AB27" s="15">
        <v>2</v>
      </c>
      <c r="AC27" s="15">
        <v>100</v>
      </c>
      <c r="AE27" s="92">
        <f>E27</f>
        <v>87.36666666666666</v>
      </c>
    </row>
    <row r="28" spans="1:31" ht="27" customHeight="1" x14ac:dyDescent="0.25">
      <c r="A28" s="71"/>
      <c r="B28" s="83">
        <v>0.63</v>
      </c>
      <c r="C28" s="79"/>
      <c r="D28" s="193"/>
      <c r="E28" s="284"/>
      <c r="F28" s="28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75"/>
      <c r="AB28" s="15">
        <v>1</v>
      </c>
      <c r="AC28" s="192">
        <f>E27</f>
        <v>87.36666666666666</v>
      </c>
      <c r="AE28" s="92">
        <f>E29</f>
        <v>71.399999999999991</v>
      </c>
    </row>
    <row r="29" spans="1:31" ht="24" customHeight="1" x14ac:dyDescent="0.25">
      <c r="A29" s="71"/>
      <c r="B29" s="83">
        <v>0.4</v>
      </c>
      <c r="C29" s="79"/>
      <c r="D29" s="200">
        <f>'Granulo P1'!L43</f>
        <v>85.800000000000011</v>
      </c>
      <c r="E29" s="286">
        <f>100-((D29*100)/AB12)</f>
        <v>71.399999999999991</v>
      </c>
      <c r="F29" s="287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75"/>
      <c r="AB29" s="15">
        <v>0.4</v>
      </c>
      <c r="AC29" s="192">
        <f>E29</f>
        <v>71.399999999999991</v>
      </c>
      <c r="AE29" s="92">
        <f>E31</f>
        <v>45.833333333333336</v>
      </c>
    </row>
    <row r="30" spans="1:31" ht="23.25" customHeight="1" x14ac:dyDescent="0.25">
      <c r="A30" s="71"/>
      <c r="B30" s="83">
        <v>0.315</v>
      </c>
      <c r="C30" s="79"/>
      <c r="D30" s="193"/>
      <c r="E30" s="284"/>
      <c r="F30" s="28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75"/>
      <c r="AB30" s="15">
        <v>0.2</v>
      </c>
      <c r="AC30" s="192">
        <f>E31</f>
        <v>45.833333333333336</v>
      </c>
      <c r="AE30" s="92">
        <f>E33</f>
        <v>24.13333333333334</v>
      </c>
    </row>
    <row r="31" spans="1:31" ht="24.75" customHeight="1" x14ac:dyDescent="0.25">
      <c r="A31" s="71"/>
      <c r="B31" s="83">
        <v>0.2</v>
      </c>
      <c r="C31" s="79"/>
      <c r="D31" s="193">
        <f>'Granulo P1'!L46</f>
        <v>162.5</v>
      </c>
      <c r="E31" s="288">
        <f>100-((D31*100)/AB12)</f>
        <v>45.833333333333336</v>
      </c>
      <c r="F31" s="289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75"/>
      <c r="AB31" s="15">
        <v>0.1</v>
      </c>
      <c r="AC31" s="192">
        <f>E33</f>
        <v>24.13333333333334</v>
      </c>
      <c r="AE31" s="92">
        <v>5.7666666666666799</v>
      </c>
    </row>
    <row r="32" spans="1:31" ht="22.5" customHeight="1" x14ac:dyDescent="0.25">
      <c r="A32" s="71"/>
      <c r="B32" s="83">
        <v>0.16</v>
      </c>
      <c r="C32" s="79"/>
      <c r="D32" s="193"/>
      <c r="E32" s="286"/>
      <c r="F32" s="287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75"/>
      <c r="AB32" s="15">
        <v>0.08</v>
      </c>
      <c r="AC32" s="192">
        <f>E34</f>
        <v>21.400000000000006</v>
      </c>
    </row>
    <row r="33" spans="1:25" ht="18" customHeight="1" x14ac:dyDescent="0.25">
      <c r="A33" s="71"/>
      <c r="B33" s="83">
        <v>0.1</v>
      </c>
      <c r="C33" s="79"/>
      <c r="D33" s="193">
        <f>'Granulo P1'!L49</f>
        <v>227.6</v>
      </c>
      <c r="E33" s="288">
        <f>100-((D33*100)/AB12)</f>
        <v>24.13333333333334</v>
      </c>
      <c r="F33" s="289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75"/>
    </row>
    <row r="34" spans="1:25" ht="22.5" customHeight="1" x14ac:dyDescent="0.25">
      <c r="A34" s="71"/>
      <c r="B34" s="81">
        <v>0.08</v>
      </c>
      <c r="C34" s="79"/>
      <c r="D34" s="193">
        <f>'Granulo P1'!L50</f>
        <v>235.79999999999998</v>
      </c>
      <c r="E34" s="288">
        <f>100-((D34*100)/AB12)</f>
        <v>21.400000000000006</v>
      </c>
      <c r="F34" s="289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91"/>
    </row>
    <row r="35" spans="1:25" ht="4.9000000000000004" customHeight="1" thickBot="1" x14ac:dyDescent="0.3">
      <c r="A35" s="71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75"/>
    </row>
    <row r="36" spans="1:25" ht="14.45" customHeight="1" x14ac:dyDescent="0.25">
      <c r="A36" s="294" t="s">
        <v>180</v>
      </c>
      <c r="B36" s="295"/>
      <c r="C36" s="295"/>
      <c r="D36" s="295"/>
      <c r="E36" s="295"/>
      <c r="F36" s="295"/>
      <c r="G36" s="295"/>
      <c r="H36" s="295"/>
      <c r="I36" s="295"/>
      <c r="J36" s="296"/>
      <c r="K36" s="270" t="s">
        <v>177</v>
      </c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2"/>
      <c r="W36" s="8"/>
    </row>
    <row r="37" spans="1:25" ht="10.9" customHeight="1" x14ac:dyDescent="0.25">
      <c r="A37" s="297"/>
      <c r="B37" s="298"/>
      <c r="C37" s="298"/>
      <c r="D37" s="298"/>
      <c r="E37" s="298"/>
      <c r="F37" s="298"/>
      <c r="G37" s="298"/>
      <c r="H37" s="298"/>
      <c r="I37" s="298"/>
      <c r="J37" s="299"/>
      <c r="K37" s="273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5"/>
    </row>
    <row r="38" spans="1:25" ht="14.45" customHeight="1" x14ac:dyDescent="0.25">
      <c r="A38" s="276" t="s">
        <v>179</v>
      </c>
      <c r="B38" s="277"/>
      <c r="C38" s="277"/>
      <c r="D38" s="277"/>
      <c r="E38" s="277"/>
      <c r="F38" s="277"/>
      <c r="G38" s="277"/>
      <c r="H38" s="277"/>
      <c r="I38" s="277"/>
      <c r="J38" s="278"/>
      <c r="K38" s="279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1"/>
    </row>
    <row r="39" spans="1:25" ht="13.15" customHeight="1" x14ac:dyDescent="0.25">
      <c r="A39" s="276"/>
      <c r="B39" s="277"/>
      <c r="C39" s="277"/>
      <c r="D39" s="277"/>
      <c r="E39" s="277"/>
      <c r="F39" s="277"/>
      <c r="G39" s="277"/>
      <c r="H39" s="277"/>
      <c r="I39" s="277"/>
      <c r="J39" s="278"/>
      <c r="K39" s="279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1"/>
    </row>
    <row r="40" spans="1:25" x14ac:dyDescent="0.25">
      <c r="A40" s="276"/>
      <c r="B40" s="277"/>
      <c r="C40" s="277"/>
      <c r="D40" s="277"/>
      <c r="E40" s="277"/>
      <c r="F40" s="277"/>
      <c r="G40" s="277"/>
      <c r="H40" s="277"/>
      <c r="I40" s="277"/>
      <c r="J40" s="278"/>
      <c r="K40" s="279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1"/>
    </row>
    <row r="41" spans="1:25" ht="6.6" customHeight="1" x14ac:dyDescent="0.25">
      <c r="A41" s="276"/>
      <c r="B41" s="277"/>
      <c r="C41" s="277"/>
      <c r="D41" s="277"/>
      <c r="E41" s="277"/>
      <c r="F41" s="277"/>
      <c r="G41" s="277"/>
      <c r="H41" s="277"/>
      <c r="I41" s="277"/>
      <c r="J41" s="278"/>
      <c r="K41" s="279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1"/>
    </row>
    <row r="42" spans="1:25" x14ac:dyDescent="0.25">
      <c r="A42" s="276"/>
      <c r="B42" s="277"/>
      <c r="C42" s="277"/>
      <c r="D42" s="277"/>
      <c r="E42" s="277"/>
      <c r="F42" s="277"/>
      <c r="G42" s="277"/>
      <c r="H42" s="277"/>
      <c r="I42" s="277"/>
      <c r="J42" s="278"/>
      <c r="K42" s="279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1"/>
    </row>
    <row r="43" spans="1:25" x14ac:dyDescent="0.25">
      <c r="A43" s="310" t="s">
        <v>178</v>
      </c>
      <c r="B43" s="311"/>
      <c r="C43" s="311"/>
      <c r="D43" s="311"/>
      <c r="E43" s="311"/>
      <c r="F43" s="311"/>
      <c r="G43" s="311"/>
      <c r="H43" s="311"/>
      <c r="I43" s="311"/>
      <c r="J43" s="312"/>
      <c r="K43" s="316" t="s">
        <v>25</v>
      </c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8"/>
    </row>
    <row r="44" spans="1:25" x14ac:dyDescent="0.25">
      <c r="A44" s="310"/>
      <c r="B44" s="311"/>
      <c r="C44" s="311"/>
      <c r="D44" s="311"/>
      <c r="E44" s="311"/>
      <c r="F44" s="311"/>
      <c r="G44" s="311"/>
      <c r="H44" s="311"/>
      <c r="I44" s="311"/>
      <c r="J44" s="312"/>
      <c r="K44" s="316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8"/>
    </row>
    <row r="45" spans="1:25" ht="7.9" customHeight="1" thickBot="1" x14ac:dyDescent="0.3">
      <c r="A45" s="313"/>
      <c r="B45" s="314"/>
      <c r="C45" s="314"/>
      <c r="D45" s="314"/>
      <c r="E45" s="314"/>
      <c r="F45" s="314"/>
      <c r="G45" s="314"/>
      <c r="H45" s="314"/>
      <c r="I45" s="314"/>
      <c r="J45" s="315"/>
      <c r="K45" s="319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1"/>
    </row>
    <row r="46" spans="1:25" ht="15.75" x14ac:dyDescent="0.25">
      <c r="X46" s="322" t="s">
        <v>5</v>
      </c>
      <c r="Y46" s="323"/>
    </row>
    <row r="47" spans="1:25" x14ac:dyDescent="0.25">
      <c r="X47" s="25">
        <v>4.7300000000000004</v>
      </c>
      <c r="Y47" s="2">
        <v>1.65</v>
      </c>
    </row>
    <row r="48" spans="1:25" x14ac:dyDescent="0.25">
      <c r="X48" s="26">
        <f>X47</f>
        <v>4.7300000000000004</v>
      </c>
      <c r="Y48" s="4">
        <v>1.5</v>
      </c>
    </row>
    <row r="49" spans="23:147" x14ac:dyDescent="0.25">
      <c r="X49" s="5"/>
      <c r="Y49" s="6"/>
    </row>
    <row r="50" spans="23:147" x14ac:dyDescent="0.25">
      <c r="X50" s="3">
        <v>0</v>
      </c>
      <c r="Y50" s="4">
        <f>Y47</f>
        <v>1.65</v>
      </c>
    </row>
    <row r="51" spans="23:147" x14ac:dyDescent="0.25">
      <c r="X51" s="27">
        <v>4.75</v>
      </c>
      <c r="Y51" s="7">
        <f>Y50</f>
        <v>1.65</v>
      </c>
    </row>
    <row r="53" spans="23:147" x14ac:dyDescent="0.25">
      <c r="X53" s="324" t="s">
        <v>4</v>
      </c>
      <c r="Y53" s="325"/>
    </row>
    <row r="54" spans="23:147" x14ac:dyDescent="0.25">
      <c r="X54" s="9">
        <v>15.34</v>
      </c>
      <c r="Y54" s="10">
        <v>1.742</v>
      </c>
    </row>
    <row r="55" spans="23:147" x14ac:dyDescent="0.25">
      <c r="X55" s="9">
        <v>15.34</v>
      </c>
      <c r="Y55" s="10">
        <v>1.57</v>
      </c>
    </row>
    <row r="56" spans="23:147" x14ac:dyDescent="0.25">
      <c r="X56" s="9"/>
      <c r="Y56" s="10"/>
    </row>
    <row r="57" spans="23:147" x14ac:dyDescent="0.25">
      <c r="X57" s="9">
        <f>Y54</f>
        <v>1.742</v>
      </c>
      <c r="Y57" s="10">
        <v>15.34</v>
      </c>
    </row>
    <row r="58" spans="23:147" ht="13.15" customHeight="1" x14ac:dyDescent="0.25">
      <c r="X58" s="11">
        <f>X57</f>
        <v>1.742</v>
      </c>
      <c r="Y58" s="12">
        <v>8</v>
      </c>
    </row>
    <row r="59" spans="23:147" ht="6.6" customHeight="1" x14ac:dyDescent="0.25"/>
    <row r="60" spans="23:147" ht="15.6" customHeight="1" x14ac:dyDescent="0.25"/>
    <row r="61" spans="23:147" ht="4.9000000000000004" customHeight="1" x14ac:dyDescent="0.25">
      <c r="W61" s="326"/>
      <c r="X61" s="327"/>
      <c r="Y61" s="327"/>
      <c r="Z61" s="327"/>
      <c r="AA61" s="327"/>
      <c r="AB61" s="327"/>
      <c r="AC61" s="327"/>
      <c r="AD61" s="327"/>
      <c r="AE61" s="327"/>
      <c r="AF61" s="327"/>
      <c r="AG61" s="327"/>
      <c r="AH61" s="327"/>
      <c r="AI61" s="327"/>
      <c r="AJ61" s="327"/>
      <c r="AK61" s="327"/>
      <c r="AL61" s="327"/>
      <c r="AM61" s="327"/>
      <c r="AN61" s="327"/>
      <c r="AO61" s="327"/>
      <c r="AP61" s="327"/>
      <c r="AQ61" s="327"/>
      <c r="AR61" s="327"/>
      <c r="AS61" s="327"/>
      <c r="AT61" s="327"/>
      <c r="AU61" s="327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27"/>
      <c r="BH61" s="327"/>
      <c r="BI61" s="327"/>
      <c r="BJ61" s="327"/>
      <c r="BK61" s="327"/>
      <c r="BL61" s="327"/>
      <c r="BM61" s="327"/>
      <c r="BN61" s="327"/>
      <c r="BO61" s="327"/>
      <c r="BP61" s="327"/>
      <c r="BQ61" s="327"/>
      <c r="BR61" s="327"/>
      <c r="BS61" s="327"/>
      <c r="BT61" s="327"/>
      <c r="BU61" s="327"/>
      <c r="BV61" s="327"/>
      <c r="BW61" s="327"/>
      <c r="BX61" s="327"/>
      <c r="BY61" s="327"/>
      <c r="BZ61" s="327"/>
      <c r="CA61" s="327"/>
      <c r="CB61" s="327"/>
      <c r="CC61" s="327"/>
      <c r="CD61" s="327"/>
      <c r="CE61" s="327"/>
      <c r="CF61" s="327"/>
      <c r="CG61" s="327"/>
      <c r="CH61" s="327"/>
      <c r="CI61" s="327"/>
      <c r="CJ61" s="327"/>
      <c r="CK61" s="327"/>
      <c r="CL61" s="327"/>
      <c r="CM61" s="327"/>
      <c r="CN61" s="327"/>
      <c r="CO61" s="327"/>
      <c r="CP61" s="327"/>
      <c r="CQ61" s="327"/>
      <c r="CR61" s="327"/>
      <c r="CS61" s="327"/>
      <c r="CT61" s="327"/>
      <c r="CU61" s="327"/>
      <c r="CV61" s="327"/>
      <c r="CW61" s="327"/>
      <c r="CX61" s="327"/>
      <c r="CY61" s="327"/>
      <c r="CZ61" s="327"/>
      <c r="DA61" s="327"/>
      <c r="DB61" s="327"/>
      <c r="DC61" s="327"/>
      <c r="DD61" s="327"/>
      <c r="DE61" s="327"/>
      <c r="DF61" s="327"/>
      <c r="DG61" s="327"/>
      <c r="DH61" s="327"/>
      <c r="DI61" s="327"/>
      <c r="DJ61" s="327"/>
      <c r="DK61" s="327"/>
      <c r="DL61" s="327"/>
      <c r="DM61" s="327"/>
      <c r="DN61" s="327"/>
      <c r="DO61" s="327"/>
      <c r="DP61" s="327"/>
      <c r="DQ61" s="327"/>
      <c r="DR61" s="327"/>
      <c r="DS61" s="327"/>
      <c r="DT61" s="327"/>
      <c r="DU61" s="327"/>
      <c r="DV61" s="327"/>
      <c r="DW61" s="327"/>
      <c r="DX61" s="327"/>
      <c r="DY61" s="327"/>
      <c r="DZ61" s="327"/>
      <c r="EA61" s="327"/>
      <c r="EB61" s="327"/>
      <c r="EC61" s="327"/>
      <c r="ED61" s="327"/>
      <c r="EE61" s="327"/>
      <c r="EF61" s="327"/>
      <c r="EG61" s="327"/>
      <c r="EH61" s="327"/>
      <c r="EI61" s="327"/>
      <c r="EJ61" s="327"/>
      <c r="EK61" s="327"/>
      <c r="EL61" s="327"/>
      <c r="EM61" s="327"/>
      <c r="EN61" s="327"/>
      <c r="EO61" s="327"/>
      <c r="EP61" s="327"/>
      <c r="EQ61" s="327"/>
    </row>
    <row r="62" spans="23:147" ht="3.6" customHeight="1" x14ac:dyDescent="0.25">
      <c r="W62" s="326"/>
      <c r="X62" s="327"/>
      <c r="Y62" s="327"/>
      <c r="Z62" s="327"/>
      <c r="AA62" s="327"/>
      <c r="AB62" s="327"/>
      <c r="AC62" s="327"/>
      <c r="AD62" s="327"/>
      <c r="AE62" s="327"/>
      <c r="AF62" s="327"/>
      <c r="AG62" s="327"/>
      <c r="AH62" s="327"/>
      <c r="AI62" s="327"/>
      <c r="AJ62" s="327"/>
      <c r="AK62" s="327"/>
      <c r="AL62" s="327"/>
      <c r="AM62" s="327"/>
      <c r="AN62" s="327"/>
      <c r="AO62" s="327"/>
      <c r="AP62" s="327"/>
      <c r="AQ62" s="327"/>
      <c r="AR62" s="327"/>
      <c r="AS62" s="327"/>
      <c r="AT62" s="327"/>
      <c r="AU62" s="327"/>
      <c r="AV62" s="327"/>
      <c r="AW62" s="327"/>
      <c r="AX62" s="327"/>
      <c r="AY62" s="327"/>
      <c r="AZ62" s="327"/>
      <c r="BA62" s="327"/>
      <c r="BB62" s="327"/>
      <c r="BC62" s="327"/>
      <c r="BD62" s="327"/>
      <c r="BE62" s="327"/>
      <c r="BF62" s="327"/>
      <c r="BG62" s="327"/>
      <c r="BH62" s="327"/>
      <c r="BI62" s="327"/>
      <c r="BJ62" s="327"/>
      <c r="BK62" s="327"/>
      <c r="BL62" s="327"/>
      <c r="BM62" s="327"/>
      <c r="BN62" s="327"/>
      <c r="BO62" s="327"/>
      <c r="BP62" s="327"/>
      <c r="BQ62" s="327"/>
      <c r="BR62" s="327"/>
      <c r="BS62" s="327"/>
      <c r="BT62" s="327"/>
      <c r="BU62" s="327"/>
      <c r="BV62" s="327"/>
      <c r="BW62" s="327"/>
      <c r="BX62" s="327"/>
      <c r="BY62" s="327"/>
      <c r="BZ62" s="327"/>
      <c r="CA62" s="327"/>
      <c r="CB62" s="327"/>
      <c r="CC62" s="327"/>
      <c r="CD62" s="327"/>
      <c r="CE62" s="327"/>
      <c r="CF62" s="327"/>
      <c r="CG62" s="327"/>
      <c r="CH62" s="327"/>
      <c r="CI62" s="327"/>
      <c r="CJ62" s="327"/>
      <c r="CK62" s="327"/>
      <c r="CL62" s="327"/>
      <c r="CM62" s="327"/>
      <c r="CN62" s="327"/>
      <c r="CO62" s="327"/>
      <c r="CP62" s="327"/>
      <c r="CQ62" s="327"/>
      <c r="CR62" s="327"/>
      <c r="CS62" s="327"/>
      <c r="CT62" s="327"/>
      <c r="CU62" s="327"/>
      <c r="CV62" s="327"/>
      <c r="CW62" s="327"/>
      <c r="CX62" s="327"/>
      <c r="CY62" s="327"/>
      <c r="CZ62" s="327"/>
      <c r="DA62" s="327"/>
      <c r="DB62" s="327"/>
      <c r="DC62" s="327"/>
      <c r="DD62" s="327"/>
      <c r="DE62" s="327"/>
      <c r="DF62" s="327"/>
      <c r="DG62" s="327"/>
      <c r="DH62" s="327"/>
      <c r="DI62" s="327"/>
      <c r="DJ62" s="327"/>
      <c r="DK62" s="327"/>
      <c r="DL62" s="327"/>
      <c r="DM62" s="327"/>
      <c r="DN62" s="327"/>
      <c r="DO62" s="327"/>
      <c r="DP62" s="327"/>
      <c r="DQ62" s="327"/>
      <c r="DR62" s="327"/>
      <c r="DS62" s="327"/>
      <c r="DT62" s="327"/>
      <c r="DU62" s="327"/>
      <c r="DV62" s="327"/>
      <c r="DW62" s="327"/>
      <c r="DX62" s="327"/>
      <c r="DY62" s="327"/>
      <c r="DZ62" s="327"/>
      <c r="EA62" s="327"/>
      <c r="EB62" s="327"/>
      <c r="EC62" s="327"/>
      <c r="ED62" s="327"/>
      <c r="EE62" s="327"/>
      <c r="EF62" s="327"/>
      <c r="EG62" s="327"/>
      <c r="EH62" s="327"/>
      <c r="EI62" s="327"/>
      <c r="EJ62" s="327"/>
      <c r="EK62" s="327"/>
      <c r="EL62" s="327"/>
      <c r="EM62" s="327"/>
      <c r="EN62" s="327"/>
      <c r="EO62" s="327"/>
      <c r="EP62" s="327"/>
      <c r="EQ62" s="327"/>
    </row>
    <row r="63" spans="23:147" ht="7.15" customHeight="1" x14ac:dyDescent="0.25">
      <c r="W63" s="326"/>
      <c r="X63" s="327"/>
      <c r="Y63" s="327"/>
      <c r="Z63" s="327"/>
      <c r="AA63" s="327"/>
      <c r="AB63" s="327"/>
      <c r="AC63" s="327"/>
      <c r="AD63" s="327"/>
      <c r="AE63" s="327"/>
      <c r="AF63" s="327"/>
      <c r="AG63" s="327"/>
      <c r="AH63" s="327"/>
      <c r="AI63" s="327"/>
      <c r="AJ63" s="327"/>
      <c r="AK63" s="327"/>
      <c r="AL63" s="327"/>
      <c r="AM63" s="327"/>
      <c r="AN63" s="327"/>
      <c r="AO63" s="327"/>
      <c r="AP63" s="327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327"/>
      <c r="BC63" s="327"/>
      <c r="BD63" s="327"/>
      <c r="BE63" s="327"/>
      <c r="BF63" s="327"/>
      <c r="BG63" s="327"/>
      <c r="BH63" s="327"/>
      <c r="BI63" s="327"/>
      <c r="BJ63" s="327"/>
      <c r="BK63" s="327"/>
      <c r="BL63" s="327"/>
      <c r="BM63" s="327"/>
      <c r="BN63" s="327"/>
      <c r="BO63" s="327"/>
      <c r="BP63" s="327"/>
      <c r="BQ63" s="327"/>
      <c r="BR63" s="327"/>
      <c r="BS63" s="327"/>
      <c r="BT63" s="327"/>
      <c r="BU63" s="327"/>
      <c r="BV63" s="327"/>
      <c r="BW63" s="327"/>
      <c r="BX63" s="327"/>
      <c r="BY63" s="327"/>
      <c r="BZ63" s="327"/>
      <c r="CA63" s="327"/>
      <c r="CB63" s="327"/>
      <c r="CC63" s="327"/>
      <c r="CD63" s="327"/>
      <c r="CE63" s="327"/>
      <c r="CF63" s="327"/>
      <c r="CG63" s="327"/>
      <c r="CH63" s="327"/>
      <c r="CI63" s="327"/>
      <c r="CJ63" s="327"/>
      <c r="CK63" s="327"/>
      <c r="CL63" s="327"/>
      <c r="CM63" s="327"/>
      <c r="CN63" s="327"/>
      <c r="CO63" s="327"/>
      <c r="CP63" s="327"/>
      <c r="CQ63" s="327"/>
      <c r="CR63" s="327"/>
      <c r="CS63" s="327"/>
      <c r="CT63" s="327"/>
      <c r="CU63" s="327"/>
      <c r="CV63" s="327"/>
      <c r="CW63" s="327"/>
      <c r="CX63" s="327"/>
      <c r="CY63" s="327"/>
      <c r="CZ63" s="327"/>
      <c r="DA63" s="327"/>
      <c r="DB63" s="327"/>
      <c r="DC63" s="327"/>
      <c r="DD63" s="327"/>
      <c r="DE63" s="327"/>
      <c r="DF63" s="327"/>
      <c r="DG63" s="327"/>
      <c r="DH63" s="327"/>
      <c r="DI63" s="327"/>
      <c r="DJ63" s="327"/>
      <c r="DK63" s="327"/>
      <c r="DL63" s="327"/>
      <c r="DM63" s="327"/>
      <c r="DN63" s="327"/>
      <c r="DO63" s="327"/>
      <c r="DP63" s="327"/>
      <c r="DQ63" s="327"/>
      <c r="DR63" s="327"/>
      <c r="DS63" s="327"/>
      <c r="DT63" s="327"/>
      <c r="DU63" s="327"/>
      <c r="DV63" s="327"/>
      <c r="DW63" s="327"/>
      <c r="DX63" s="327"/>
      <c r="DY63" s="327"/>
      <c r="DZ63" s="327"/>
      <c r="EA63" s="327"/>
      <c r="EB63" s="327"/>
      <c r="EC63" s="327"/>
      <c r="ED63" s="327"/>
      <c r="EE63" s="327"/>
      <c r="EF63" s="327"/>
      <c r="EG63" s="327"/>
      <c r="EH63" s="327"/>
      <c r="EI63" s="327"/>
      <c r="EJ63" s="327"/>
      <c r="EK63" s="327"/>
      <c r="EL63" s="327"/>
      <c r="EM63" s="327"/>
      <c r="EN63" s="327"/>
      <c r="EO63" s="327"/>
      <c r="EP63" s="327"/>
      <c r="EQ63" s="327"/>
    </row>
    <row r="64" spans="23:147" ht="4.1500000000000004" customHeight="1" x14ac:dyDescent="0.25">
      <c r="W64" s="326"/>
      <c r="X64" s="327"/>
      <c r="Y64" s="327"/>
      <c r="Z64" s="327"/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  <c r="AT64" s="327"/>
      <c r="AU64" s="327"/>
      <c r="AV64" s="327"/>
      <c r="AW64" s="327"/>
      <c r="AX64" s="327"/>
      <c r="AY64" s="327"/>
      <c r="AZ64" s="327"/>
      <c r="BA64" s="327"/>
      <c r="BB64" s="327"/>
      <c r="BC64" s="327"/>
      <c r="BD64" s="327"/>
      <c r="BE64" s="327"/>
      <c r="BF64" s="327"/>
      <c r="BG64" s="327"/>
      <c r="BH64" s="327"/>
      <c r="BI64" s="327"/>
      <c r="BJ64" s="327"/>
      <c r="BK64" s="327"/>
      <c r="BL64" s="327"/>
      <c r="BM64" s="327"/>
      <c r="BN64" s="327"/>
      <c r="BO64" s="327"/>
      <c r="BP64" s="327"/>
      <c r="BQ64" s="327"/>
      <c r="BR64" s="327"/>
      <c r="BS64" s="327"/>
      <c r="BT64" s="327"/>
      <c r="BU64" s="327"/>
      <c r="BV64" s="327"/>
      <c r="BW64" s="327"/>
      <c r="BX64" s="327"/>
      <c r="BY64" s="327"/>
      <c r="BZ64" s="327"/>
      <c r="CA64" s="327"/>
      <c r="CB64" s="327"/>
      <c r="CC64" s="327"/>
      <c r="CD64" s="327"/>
      <c r="CE64" s="327"/>
      <c r="CF64" s="327"/>
      <c r="CG64" s="327"/>
      <c r="CH64" s="327"/>
      <c r="CI64" s="327"/>
      <c r="CJ64" s="327"/>
      <c r="CK64" s="327"/>
      <c r="CL64" s="327"/>
      <c r="CM64" s="327"/>
      <c r="CN64" s="327"/>
      <c r="CO64" s="327"/>
      <c r="CP64" s="327"/>
      <c r="CQ64" s="327"/>
      <c r="CR64" s="327"/>
      <c r="CS64" s="327"/>
      <c r="CT64" s="327"/>
      <c r="CU64" s="327"/>
      <c r="CV64" s="327"/>
      <c r="CW64" s="327"/>
      <c r="CX64" s="327"/>
      <c r="CY64" s="327"/>
      <c r="CZ64" s="327"/>
      <c r="DA64" s="327"/>
      <c r="DB64" s="327"/>
      <c r="DC64" s="327"/>
      <c r="DD64" s="327"/>
      <c r="DE64" s="327"/>
      <c r="DF64" s="327"/>
      <c r="DG64" s="327"/>
      <c r="DH64" s="327"/>
      <c r="DI64" s="327"/>
      <c r="DJ64" s="327"/>
      <c r="DK64" s="327"/>
      <c r="DL64" s="327"/>
      <c r="DM64" s="327"/>
      <c r="DN64" s="327"/>
      <c r="DO64" s="327"/>
      <c r="DP64" s="327"/>
      <c r="DQ64" s="327"/>
      <c r="DR64" s="327"/>
      <c r="DS64" s="327"/>
      <c r="DT64" s="327"/>
      <c r="DU64" s="327"/>
      <c r="DV64" s="327"/>
      <c r="DW64" s="327"/>
      <c r="DX64" s="327"/>
      <c r="DY64" s="327"/>
      <c r="DZ64" s="327"/>
      <c r="EA64" s="327"/>
      <c r="EB64" s="327"/>
      <c r="EC64" s="327"/>
      <c r="ED64" s="327"/>
      <c r="EE64" s="327"/>
      <c r="EF64" s="327"/>
      <c r="EG64" s="327"/>
      <c r="EH64" s="327"/>
      <c r="EI64" s="327"/>
      <c r="EJ64" s="327"/>
      <c r="EK64" s="327"/>
      <c r="EL64" s="327"/>
      <c r="EM64" s="327"/>
      <c r="EN64" s="327"/>
      <c r="EO64" s="327"/>
      <c r="EP64" s="327"/>
      <c r="EQ64" s="327"/>
    </row>
    <row r="65" spans="23:147" ht="1.9" customHeight="1" x14ac:dyDescent="0.25">
      <c r="W65" s="326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7"/>
      <c r="AN65" s="327"/>
      <c r="AO65" s="327"/>
      <c r="AP65" s="327"/>
      <c r="AQ65" s="327"/>
      <c r="AR65" s="327"/>
      <c r="AS65" s="327"/>
      <c r="AT65" s="327"/>
      <c r="AU65" s="327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27"/>
      <c r="BH65" s="327"/>
      <c r="BI65" s="327"/>
      <c r="BJ65" s="327"/>
      <c r="BK65" s="327"/>
      <c r="BL65" s="327"/>
      <c r="BM65" s="327"/>
      <c r="BN65" s="327"/>
      <c r="BO65" s="327"/>
      <c r="BP65" s="327"/>
      <c r="BQ65" s="327"/>
      <c r="BR65" s="327"/>
      <c r="BS65" s="327"/>
      <c r="BT65" s="327"/>
      <c r="BU65" s="327"/>
      <c r="BV65" s="327"/>
      <c r="BW65" s="327"/>
      <c r="BX65" s="327"/>
      <c r="BY65" s="327"/>
      <c r="BZ65" s="327"/>
      <c r="CA65" s="327"/>
      <c r="CB65" s="327"/>
      <c r="CC65" s="327"/>
      <c r="CD65" s="327"/>
      <c r="CE65" s="327"/>
      <c r="CF65" s="327"/>
      <c r="CG65" s="327"/>
      <c r="CH65" s="327"/>
      <c r="CI65" s="327"/>
      <c r="CJ65" s="327"/>
      <c r="CK65" s="327"/>
      <c r="CL65" s="327"/>
      <c r="CM65" s="327"/>
      <c r="CN65" s="327"/>
      <c r="CO65" s="327"/>
      <c r="CP65" s="327"/>
      <c r="CQ65" s="327"/>
      <c r="CR65" s="327"/>
      <c r="CS65" s="327"/>
      <c r="CT65" s="327"/>
      <c r="CU65" s="327"/>
      <c r="CV65" s="327"/>
      <c r="CW65" s="327"/>
      <c r="CX65" s="327"/>
      <c r="CY65" s="327"/>
      <c r="CZ65" s="327"/>
      <c r="DA65" s="327"/>
      <c r="DB65" s="327"/>
      <c r="DC65" s="327"/>
      <c r="DD65" s="327"/>
      <c r="DE65" s="327"/>
      <c r="DF65" s="327"/>
      <c r="DG65" s="327"/>
      <c r="DH65" s="327"/>
      <c r="DI65" s="327"/>
      <c r="DJ65" s="327"/>
      <c r="DK65" s="327"/>
      <c r="DL65" s="327"/>
      <c r="DM65" s="327"/>
      <c r="DN65" s="327"/>
      <c r="DO65" s="327"/>
      <c r="DP65" s="327"/>
      <c r="DQ65" s="327"/>
      <c r="DR65" s="327"/>
      <c r="DS65" s="327"/>
      <c r="DT65" s="327"/>
      <c r="DU65" s="327"/>
      <c r="DV65" s="327"/>
      <c r="DW65" s="327"/>
      <c r="DX65" s="327"/>
      <c r="DY65" s="327"/>
      <c r="DZ65" s="327"/>
      <c r="EA65" s="327"/>
      <c r="EB65" s="327"/>
      <c r="EC65" s="327"/>
      <c r="ED65" s="327"/>
      <c r="EE65" s="327"/>
      <c r="EF65" s="327"/>
      <c r="EG65" s="327"/>
      <c r="EH65" s="327"/>
      <c r="EI65" s="327"/>
      <c r="EJ65" s="327"/>
      <c r="EK65" s="327"/>
      <c r="EL65" s="327"/>
      <c r="EM65" s="327"/>
      <c r="EN65" s="327"/>
      <c r="EO65" s="327"/>
      <c r="EP65" s="327"/>
      <c r="EQ65" s="327"/>
    </row>
    <row r="66" spans="23:147" ht="10.15" customHeight="1" x14ac:dyDescent="0.25">
      <c r="W66" s="326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327"/>
      <c r="AJ66" s="327"/>
      <c r="AK66" s="327"/>
      <c r="AL66" s="327"/>
      <c r="AM66" s="327"/>
      <c r="AN66" s="327"/>
      <c r="AO66" s="327"/>
      <c r="AP66" s="327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27"/>
      <c r="BC66" s="327"/>
      <c r="BD66" s="327"/>
      <c r="BE66" s="327"/>
      <c r="BF66" s="327"/>
      <c r="BG66" s="327"/>
      <c r="BH66" s="327"/>
      <c r="BI66" s="327"/>
      <c r="BJ66" s="327"/>
      <c r="BK66" s="327"/>
      <c r="BL66" s="327"/>
      <c r="BM66" s="327"/>
      <c r="BN66" s="327"/>
      <c r="BO66" s="327"/>
      <c r="BP66" s="327"/>
      <c r="BQ66" s="327"/>
      <c r="BR66" s="327"/>
      <c r="BS66" s="327"/>
      <c r="BT66" s="327"/>
      <c r="BU66" s="327"/>
      <c r="BV66" s="327"/>
      <c r="BW66" s="327"/>
      <c r="BX66" s="327"/>
      <c r="BY66" s="327"/>
      <c r="BZ66" s="327"/>
      <c r="CA66" s="327"/>
      <c r="CB66" s="327"/>
      <c r="CC66" s="327"/>
      <c r="CD66" s="327"/>
      <c r="CE66" s="327"/>
      <c r="CF66" s="327"/>
      <c r="CG66" s="327"/>
      <c r="CH66" s="327"/>
      <c r="CI66" s="327"/>
      <c r="CJ66" s="327"/>
      <c r="CK66" s="327"/>
      <c r="CL66" s="327"/>
      <c r="CM66" s="327"/>
      <c r="CN66" s="327"/>
      <c r="CO66" s="327"/>
      <c r="CP66" s="327"/>
      <c r="CQ66" s="327"/>
      <c r="CR66" s="327"/>
      <c r="CS66" s="327"/>
      <c r="CT66" s="327"/>
      <c r="CU66" s="327"/>
      <c r="CV66" s="327"/>
      <c r="CW66" s="327"/>
      <c r="CX66" s="327"/>
      <c r="CY66" s="327"/>
      <c r="CZ66" s="327"/>
      <c r="DA66" s="327"/>
      <c r="DB66" s="327"/>
      <c r="DC66" s="327"/>
      <c r="DD66" s="327"/>
      <c r="DE66" s="327"/>
      <c r="DF66" s="327"/>
      <c r="DG66" s="327"/>
      <c r="DH66" s="327"/>
      <c r="DI66" s="327"/>
      <c r="DJ66" s="327"/>
      <c r="DK66" s="327"/>
      <c r="DL66" s="327"/>
      <c r="DM66" s="327"/>
      <c r="DN66" s="327"/>
      <c r="DO66" s="327"/>
      <c r="DP66" s="327"/>
      <c r="DQ66" s="327"/>
      <c r="DR66" s="327"/>
      <c r="DS66" s="327"/>
      <c r="DT66" s="327"/>
      <c r="DU66" s="327"/>
      <c r="DV66" s="327"/>
      <c r="DW66" s="327"/>
      <c r="DX66" s="327"/>
      <c r="DY66" s="327"/>
      <c r="DZ66" s="327"/>
      <c r="EA66" s="327"/>
      <c r="EB66" s="327"/>
      <c r="EC66" s="327"/>
      <c r="ED66" s="327"/>
      <c r="EE66" s="327"/>
      <c r="EF66" s="327"/>
      <c r="EG66" s="327"/>
      <c r="EH66" s="327"/>
      <c r="EI66" s="327"/>
      <c r="EJ66" s="327"/>
      <c r="EK66" s="327"/>
      <c r="EL66" s="327"/>
      <c r="EM66" s="327"/>
      <c r="EN66" s="327"/>
      <c r="EO66" s="327"/>
      <c r="EP66" s="327"/>
      <c r="EQ66" s="327"/>
    </row>
    <row r="67" spans="23:147" ht="15" hidden="1" customHeight="1" thickBot="1" x14ac:dyDescent="0.3">
      <c r="W67" s="326"/>
      <c r="X67" s="327"/>
      <c r="Y67" s="327"/>
      <c r="Z67" s="327"/>
      <c r="AA67" s="327"/>
      <c r="AB67" s="327"/>
      <c r="AC67" s="327"/>
      <c r="AD67" s="327"/>
      <c r="AE67" s="327"/>
      <c r="AF67" s="327"/>
      <c r="AG67" s="327"/>
      <c r="AH67" s="327"/>
      <c r="AI67" s="327"/>
      <c r="AJ67" s="327"/>
      <c r="AK67" s="327"/>
      <c r="AL67" s="327"/>
      <c r="AM67" s="327"/>
      <c r="AN67" s="327"/>
      <c r="AO67" s="327"/>
      <c r="AP67" s="327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27"/>
      <c r="BC67" s="327"/>
      <c r="BD67" s="327"/>
      <c r="BE67" s="327"/>
      <c r="BF67" s="327"/>
      <c r="BG67" s="327"/>
      <c r="BH67" s="327"/>
      <c r="BI67" s="327"/>
      <c r="BJ67" s="327"/>
      <c r="BK67" s="327"/>
      <c r="BL67" s="327"/>
      <c r="BM67" s="327"/>
      <c r="BN67" s="327"/>
      <c r="BO67" s="327"/>
      <c r="BP67" s="327"/>
      <c r="BQ67" s="327"/>
      <c r="BR67" s="327"/>
      <c r="BS67" s="327"/>
      <c r="BT67" s="327"/>
      <c r="BU67" s="327"/>
      <c r="BV67" s="327"/>
      <c r="BW67" s="327"/>
      <c r="BX67" s="327"/>
      <c r="BY67" s="327"/>
      <c r="BZ67" s="327"/>
      <c r="CA67" s="327"/>
      <c r="CB67" s="327"/>
      <c r="CC67" s="327"/>
      <c r="CD67" s="327"/>
      <c r="CE67" s="327"/>
      <c r="CF67" s="327"/>
      <c r="CG67" s="327"/>
      <c r="CH67" s="327"/>
      <c r="CI67" s="327"/>
      <c r="CJ67" s="327"/>
      <c r="CK67" s="327"/>
      <c r="CL67" s="327"/>
      <c r="CM67" s="327"/>
      <c r="CN67" s="327"/>
      <c r="CO67" s="327"/>
      <c r="CP67" s="327"/>
      <c r="CQ67" s="327"/>
      <c r="CR67" s="327"/>
      <c r="CS67" s="327"/>
      <c r="CT67" s="327"/>
      <c r="CU67" s="327"/>
      <c r="CV67" s="327"/>
      <c r="CW67" s="327"/>
      <c r="CX67" s="327"/>
      <c r="CY67" s="327"/>
      <c r="CZ67" s="327"/>
      <c r="DA67" s="327"/>
      <c r="DB67" s="327"/>
      <c r="DC67" s="327"/>
      <c r="DD67" s="327"/>
      <c r="DE67" s="327"/>
      <c r="DF67" s="327"/>
      <c r="DG67" s="327"/>
      <c r="DH67" s="327"/>
      <c r="DI67" s="327"/>
      <c r="DJ67" s="327"/>
      <c r="DK67" s="327"/>
      <c r="DL67" s="327"/>
      <c r="DM67" s="327"/>
      <c r="DN67" s="327"/>
      <c r="DO67" s="327"/>
      <c r="DP67" s="327"/>
      <c r="DQ67" s="327"/>
      <c r="DR67" s="327"/>
      <c r="DS67" s="327"/>
      <c r="DT67" s="327"/>
      <c r="DU67" s="327"/>
      <c r="DV67" s="327"/>
      <c r="DW67" s="327"/>
      <c r="DX67" s="327"/>
      <c r="DY67" s="327"/>
      <c r="DZ67" s="327"/>
      <c r="EA67" s="327"/>
      <c r="EB67" s="327"/>
      <c r="EC67" s="327"/>
      <c r="ED67" s="327"/>
      <c r="EE67" s="327"/>
      <c r="EF67" s="327"/>
      <c r="EG67" s="327"/>
      <c r="EH67" s="327"/>
      <c r="EI67" s="327"/>
      <c r="EJ67" s="327"/>
      <c r="EK67" s="327"/>
      <c r="EL67" s="327"/>
      <c r="EM67" s="327"/>
      <c r="EN67" s="327"/>
      <c r="EO67" s="327"/>
      <c r="EP67" s="327"/>
      <c r="EQ67" s="327"/>
    </row>
    <row r="68" spans="23:147" ht="7.15" customHeight="1" x14ac:dyDescent="0.25">
      <c r="W68" s="326"/>
      <c r="X68" s="327"/>
      <c r="Y68" s="327"/>
      <c r="Z68" s="327"/>
      <c r="AA68" s="327"/>
      <c r="AB68" s="327"/>
      <c r="AC68" s="327"/>
      <c r="AD68" s="327"/>
      <c r="AE68" s="327"/>
      <c r="AF68" s="327"/>
      <c r="AG68" s="327"/>
      <c r="AH68" s="327"/>
      <c r="AI68" s="327"/>
      <c r="AJ68" s="327"/>
      <c r="AK68" s="327"/>
      <c r="AL68" s="327"/>
      <c r="AM68" s="327"/>
      <c r="AN68" s="327"/>
      <c r="AO68" s="327"/>
      <c r="AP68" s="327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27"/>
      <c r="BH68" s="327"/>
      <c r="BI68" s="327"/>
      <c r="BJ68" s="327"/>
      <c r="BK68" s="327"/>
      <c r="BL68" s="327"/>
      <c r="BM68" s="327"/>
      <c r="BN68" s="327"/>
      <c r="BO68" s="327"/>
      <c r="BP68" s="327"/>
      <c r="BQ68" s="327"/>
      <c r="BR68" s="327"/>
      <c r="BS68" s="327"/>
      <c r="BT68" s="327"/>
      <c r="BU68" s="327"/>
      <c r="BV68" s="327"/>
      <c r="BW68" s="327"/>
      <c r="BX68" s="327"/>
      <c r="BY68" s="327"/>
      <c r="BZ68" s="327"/>
      <c r="CA68" s="327"/>
      <c r="CB68" s="327"/>
      <c r="CC68" s="327"/>
      <c r="CD68" s="327"/>
      <c r="CE68" s="327"/>
      <c r="CF68" s="327"/>
      <c r="CG68" s="327"/>
      <c r="CH68" s="327"/>
      <c r="CI68" s="327"/>
      <c r="CJ68" s="327"/>
      <c r="CK68" s="327"/>
      <c r="CL68" s="327"/>
      <c r="CM68" s="327"/>
      <c r="CN68" s="327"/>
      <c r="CO68" s="327"/>
      <c r="CP68" s="327"/>
      <c r="CQ68" s="327"/>
      <c r="CR68" s="327"/>
      <c r="CS68" s="327"/>
      <c r="CT68" s="327"/>
      <c r="CU68" s="327"/>
      <c r="CV68" s="327"/>
      <c r="CW68" s="327"/>
      <c r="CX68" s="327"/>
      <c r="CY68" s="327"/>
      <c r="CZ68" s="327"/>
      <c r="DA68" s="327"/>
      <c r="DB68" s="327"/>
      <c r="DC68" s="327"/>
      <c r="DD68" s="327"/>
      <c r="DE68" s="327"/>
      <c r="DF68" s="327"/>
      <c r="DG68" s="327"/>
      <c r="DH68" s="327"/>
      <c r="DI68" s="327"/>
      <c r="DJ68" s="327"/>
      <c r="DK68" s="327"/>
      <c r="DL68" s="327"/>
      <c r="DM68" s="327"/>
      <c r="DN68" s="327"/>
      <c r="DO68" s="327"/>
      <c r="DP68" s="327"/>
      <c r="DQ68" s="327"/>
      <c r="DR68" s="327"/>
      <c r="DS68" s="327"/>
      <c r="DT68" s="327"/>
      <c r="DU68" s="327"/>
      <c r="DV68" s="327"/>
      <c r="DW68" s="327"/>
      <c r="DX68" s="327"/>
      <c r="DY68" s="327"/>
      <c r="DZ68" s="327"/>
      <c r="EA68" s="327"/>
      <c r="EB68" s="327"/>
      <c r="EC68" s="327"/>
      <c r="ED68" s="327"/>
      <c r="EE68" s="327"/>
      <c r="EF68" s="327"/>
      <c r="EG68" s="327"/>
      <c r="EH68" s="327"/>
      <c r="EI68" s="327"/>
      <c r="EJ68" s="327"/>
      <c r="EK68" s="327"/>
      <c r="EL68" s="327"/>
      <c r="EM68" s="327"/>
      <c r="EN68" s="327"/>
      <c r="EO68" s="327"/>
      <c r="EP68" s="327"/>
      <c r="EQ68" s="327"/>
    </row>
    <row r="69" spans="23:147" ht="7.15" customHeight="1" x14ac:dyDescent="0.25"/>
  </sheetData>
  <mergeCells count="61">
    <mergeCell ref="A43:J45"/>
    <mergeCell ref="K43:V45"/>
    <mergeCell ref="X46:Y46"/>
    <mergeCell ref="X53:Y53"/>
    <mergeCell ref="W61:EQ68"/>
    <mergeCell ref="B15:C15"/>
    <mergeCell ref="B16:C16"/>
    <mergeCell ref="E33:F33"/>
    <mergeCell ref="E34:F34"/>
    <mergeCell ref="A36:J37"/>
    <mergeCell ref="E21:F21"/>
    <mergeCell ref="E22:F22"/>
    <mergeCell ref="E23:F23"/>
    <mergeCell ref="E24:F24"/>
    <mergeCell ref="E25:F25"/>
    <mergeCell ref="E26:F26"/>
    <mergeCell ref="D15:D16"/>
    <mergeCell ref="E15:F16"/>
    <mergeCell ref="E17:F17"/>
    <mergeCell ref="E18:F18"/>
    <mergeCell ref="E19:F19"/>
    <mergeCell ref="K36:V37"/>
    <mergeCell ref="A38:J42"/>
    <mergeCell ref="K38:V42"/>
    <mergeCell ref="E27:F27"/>
    <mergeCell ref="E28:F28"/>
    <mergeCell ref="E29:F29"/>
    <mergeCell ref="E30:F30"/>
    <mergeCell ref="E31:F31"/>
    <mergeCell ref="E32:F32"/>
    <mergeCell ref="E20:F20"/>
    <mergeCell ref="D12:F12"/>
    <mergeCell ref="G12:J12"/>
    <mergeCell ref="K12:M12"/>
    <mergeCell ref="N12:Q12"/>
    <mergeCell ref="R12:V12"/>
    <mergeCell ref="D13:F13"/>
    <mergeCell ref="K13:M13"/>
    <mergeCell ref="N13:Q13"/>
    <mergeCell ref="R13:V13"/>
    <mergeCell ref="D11:F11"/>
    <mergeCell ref="G11:J11"/>
    <mergeCell ref="K11:M11"/>
    <mergeCell ref="N11:V11"/>
    <mergeCell ref="A4:E4"/>
    <mergeCell ref="F4:I4"/>
    <mergeCell ref="J4:M4"/>
    <mergeCell ref="N4:R4"/>
    <mergeCell ref="T4:V4"/>
    <mergeCell ref="A5:V5"/>
    <mergeCell ref="A6:E6"/>
    <mergeCell ref="F6:V6"/>
    <mergeCell ref="A7:E7"/>
    <mergeCell ref="F7:V7"/>
    <mergeCell ref="A9:V9"/>
    <mergeCell ref="C1:V1"/>
    <mergeCell ref="A2:D2"/>
    <mergeCell ref="E2:L2"/>
    <mergeCell ref="M2:V2"/>
    <mergeCell ref="A3:D3"/>
    <mergeCell ref="E3:V3"/>
  </mergeCells>
  <printOptions horizontalCentered="1"/>
  <pageMargins left="0.31496062992125984" right="0.11811023622047245" top="0.74803149606299213" bottom="0.21" header="0.31496062992125984" footer="0.63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10" workbookViewId="0">
      <selection activeCell="R26" sqref="R26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13"/>
      <c r="B1" s="388" t="s">
        <v>26</v>
      </c>
      <c r="C1" s="389"/>
      <c r="D1" s="389"/>
      <c r="E1" s="389"/>
      <c r="F1" s="389"/>
      <c r="G1" s="389"/>
      <c r="H1" s="389"/>
      <c r="I1" s="389"/>
      <c r="J1" s="389"/>
      <c r="K1" s="389"/>
      <c r="L1" s="390"/>
      <c r="M1" s="391"/>
      <c r="N1" s="392"/>
      <c r="O1" s="393"/>
      <c r="P1" s="394"/>
    </row>
    <row r="2" spans="1:18" ht="16.899999999999999" customHeight="1" x14ac:dyDescent="0.25">
      <c r="A2" s="395" t="s">
        <v>27</v>
      </c>
      <c r="B2" s="397" t="s">
        <v>28</v>
      </c>
      <c r="C2" s="398"/>
      <c r="D2" s="398"/>
      <c r="E2" s="398"/>
      <c r="F2" s="398"/>
      <c r="G2" s="398"/>
      <c r="H2" s="398"/>
      <c r="I2" s="398"/>
      <c r="J2" s="398"/>
      <c r="K2" s="398"/>
      <c r="L2" s="399"/>
      <c r="M2" s="28"/>
      <c r="N2" s="334" t="s">
        <v>27</v>
      </c>
      <c r="O2" s="334"/>
      <c r="P2" s="29"/>
    </row>
    <row r="3" spans="1:18" ht="14.45" customHeight="1" x14ac:dyDescent="0.25">
      <c r="A3" s="395"/>
      <c r="B3" s="397" t="s">
        <v>29</v>
      </c>
      <c r="C3" s="398"/>
      <c r="D3" s="398"/>
      <c r="E3" s="398"/>
      <c r="F3" s="398"/>
      <c r="G3" s="398"/>
      <c r="H3" s="398"/>
      <c r="I3" s="398"/>
      <c r="J3" s="398"/>
      <c r="K3" s="398"/>
      <c r="L3" s="399"/>
      <c r="M3" s="28"/>
      <c r="N3" s="334"/>
      <c r="O3" s="334"/>
      <c r="P3" s="29"/>
    </row>
    <row r="4" spans="1:18" ht="15.75" thickBot="1" x14ac:dyDescent="0.3">
      <c r="A4" s="396"/>
      <c r="B4" s="400" t="s">
        <v>30</v>
      </c>
      <c r="C4" s="401"/>
      <c r="D4" s="401"/>
      <c r="E4" s="401"/>
      <c r="F4" s="401"/>
      <c r="G4" s="401"/>
      <c r="H4" s="401"/>
      <c r="I4" s="401"/>
      <c r="J4" s="401"/>
      <c r="K4" s="401"/>
      <c r="L4" s="402"/>
      <c r="M4" s="30"/>
      <c r="N4" s="335"/>
      <c r="O4" s="335"/>
      <c r="P4" s="31"/>
    </row>
    <row r="5" spans="1:18" x14ac:dyDescent="0.25">
      <c r="A5" s="384"/>
      <c r="B5" s="384"/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</row>
    <row r="6" spans="1:18" ht="16.149999999999999" customHeight="1" x14ac:dyDescent="0.25">
      <c r="A6" s="32" t="s">
        <v>31</v>
      </c>
      <c r="B6" s="385">
        <v>43809</v>
      </c>
      <c r="C6" s="376"/>
      <c r="D6" s="376"/>
      <c r="E6" s="376"/>
      <c r="F6" s="376"/>
      <c r="G6" s="376"/>
      <c r="H6" s="386" t="s">
        <v>32</v>
      </c>
      <c r="I6" s="386"/>
      <c r="J6" s="386"/>
      <c r="K6" s="386"/>
      <c r="L6" s="386" t="s">
        <v>182</v>
      </c>
      <c r="M6" s="386"/>
      <c r="N6" s="386"/>
      <c r="O6" s="386"/>
      <c r="P6" s="387"/>
    </row>
    <row r="7" spans="1:18" x14ac:dyDescent="0.25">
      <c r="A7" s="33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14"/>
      <c r="R7" s="14"/>
    </row>
    <row r="8" spans="1:18" x14ac:dyDescent="0.25">
      <c r="A8" s="34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</row>
    <row r="9" spans="1:18" x14ac:dyDescent="0.25">
      <c r="A9" s="383" t="s">
        <v>33</v>
      </c>
      <c r="B9" s="379"/>
      <c r="C9" s="379"/>
      <c r="D9" s="379"/>
      <c r="E9" s="379"/>
      <c r="F9" s="379"/>
      <c r="G9" s="379"/>
      <c r="H9" s="379"/>
      <c r="I9" s="378"/>
      <c r="J9" s="378"/>
      <c r="K9" s="378"/>
      <c r="L9" s="378"/>
      <c r="M9" s="378"/>
      <c r="N9" s="378"/>
      <c r="O9" s="378"/>
      <c r="P9" s="378"/>
    </row>
    <row r="10" spans="1:18" ht="8.4499999999999993" customHeight="1" x14ac:dyDescent="0.25">
      <c r="A10" s="378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</row>
    <row r="11" spans="1:18" ht="18.75" x14ac:dyDescent="0.35">
      <c r="A11" s="35" t="s">
        <v>111</v>
      </c>
      <c r="B11" s="380">
        <v>400</v>
      </c>
      <c r="C11" s="381"/>
      <c r="D11" s="382"/>
      <c r="E11" s="373">
        <v>500</v>
      </c>
      <c r="F11" s="376"/>
      <c r="G11" s="374"/>
      <c r="H11" s="373">
        <v>630</v>
      </c>
      <c r="I11" s="376"/>
      <c r="J11" s="374"/>
      <c r="K11" s="373">
        <v>800</v>
      </c>
      <c r="L11" s="376"/>
      <c r="M11" s="374"/>
      <c r="N11" s="373">
        <v>1000</v>
      </c>
      <c r="O11" s="374"/>
      <c r="P11" s="36"/>
    </row>
    <row r="12" spans="1:18" x14ac:dyDescent="0.25">
      <c r="A12" s="37" t="s">
        <v>34</v>
      </c>
      <c r="B12" s="373">
        <v>20</v>
      </c>
      <c r="C12" s="376"/>
      <c r="D12" s="374"/>
      <c r="E12" s="373">
        <v>50</v>
      </c>
      <c r="F12" s="376"/>
      <c r="G12" s="374"/>
      <c r="H12" s="373">
        <v>100</v>
      </c>
      <c r="I12" s="376"/>
      <c r="J12" s="374"/>
      <c r="K12" s="373">
        <v>150</v>
      </c>
      <c r="L12" s="376"/>
      <c r="M12" s="374"/>
      <c r="N12" s="373">
        <v>200</v>
      </c>
      <c r="O12" s="374"/>
      <c r="P12" s="36"/>
    </row>
    <row r="13" spans="1:18" x14ac:dyDescent="0.25">
      <c r="A13" s="352"/>
      <c r="B13" s="352"/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6"/>
    </row>
    <row r="14" spans="1:18" ht="18.75" x14ac:dyDescent="0.35">
      <c r="A14" s="35" t="s">
        <v>112</v>
      </c>
      <c r="B14" s="37">
        <v>5</v>
      </c>
      <c r="C14" s="37" t="s">
        <v>35</v>
      </c>
      <c r="D14" s="37">
        <v>8</v>
      </c>
      <c r="E14" s="37">
        <v>10</v>
      </c>
      <c r="F14" s="37" t="s">
        <v>36</v>
      </c>
      <c r="G14" s="37">
        <v>16</v>
      </c>
      <c r="H14" s="37">
        <v>20</v>
      </c>
      <c r="I14" s="37">
        <v>25</v>
      </c>
      <c r="J14" s="37" t="s">
        <v>37</v>
      </c>
      <c r="K14" s="37">
        <v>40</v>
      </c>
      <c r="L14" s="37">
        <v>50</v>
      </c>
      <c r="M14" s="37">
        <v>63</v>
      </c>
      <c r="N14" s="37">
        <v>80</v>
      </c>
      <c r="O14" s="377" t="s">
        <v>113</v>
      </c>
      <c r="P14" s="377"/>
    </row>
    <row r="15" spans="1:18" ht="18" x14ac:dyDescent="0.25">
      <c r="A15" s="38" t="s">
        <v>34</v>
      </c>
      <c r="B15" s="37" t="s">
        <v>38</v>
      </c>
      <c r="C15" s="37" t="s">
        <v>39</v>
      </c>
      <c r="D15" s="37" t="s">
        <v>40</v>
      </c>
      <c r="E15" s="37" t="s">
        <v>41</v>
      </c>
      <c r="F15" s="37" t="s">
        <v>42</v>
      </c>
      <c r="G15" s="37">
        <v>2</v>
      </c>
      <c r="H15" s="37">
        <v>3</v>
      </c>
      <c r="I15" s="37">
        <v>5</v>
      </c>
      <c r="J15" s="37">
        <v>8</v>
      </c>
      <c r="K15" s="37">
        <v>12</v>
      </c>
      <c r="L15" s="37">
        <v>20</v>
      </c>
      <c r="M15" s="37">
        <v>30</v>
      </c>
      <c r="N15" s="37">
        <v>50</v>
      </c>
      <c r="O15" s="371" t="s">
        <v>114</v>
      </c>
      <c r="P15" s="371"/>
    </row>
    <row r="16" spans="1:18" x14ac:dyDescent="0.25">
      <c r="A16" s="352"/>
      <c r="B16" s="352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/>
    </row>
    <row r="17" spans="1:16" x14ac:dyDescent="0.25">
      <c r="A17" s="378"/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</row>
    <row r="18" spans="1:16" x14ac:dyDescent="0.25">
      <c r="A18" s="379" t="s">
        <v>115</v>
      </c>
      <c r="B18" s="379"/>
      <c r="C18" s="379"/>
      <c r="D18" s="379"/>
      <c r="E18" s="379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</row>
    <row r="19" spans="1:16" ht="10.9" customHeight="1" thickBot="1" x14ac:dyDescent="0.3">
      <c r="A19" s="375"/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</row>
    <row r="20" spans="1:16" x14ac:dyDescent="0.25">
      <c r="A20" s="365" t="s">
        <v>109</v>
      </c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7"/>
    </row>
    <row r="21" spans="1:16" x14ac:dyDescent="0.25">
      <c r="A21" s="368" t="s">
        <v>43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69"/>
    </row>
    <row r="22" spans="1:16" x14ac:dyDescent="0.25">
      <c r="A22" s="336"/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8"/>
    </row>
    <row r="23" spans="1:16" x14ac:dyDescent="0.25">
      <c r="A23" s="336"/>
      <c r="B23" s="337"/>
      <c r="C23" s="370"/>
      <c r="D23" s="38"/>
      <c r="E23" s="371" t="s">
        <v>44</v>
      </c>
      <c r="F23" s="371"/>
      <c r="G23" s="372"/>
      <c r="H23" s="337"/>
      <c r="I23" s="337"/>
      <c r="J23" s="337"/>
      <c r="K23" s="370"/>
      <c r="L23" s="39"/>
      <c r="M23" s="373" t="s">
        <v>45</v>
      </c>
      <c r="N23" s="374"/>
      <c r="O23" s="372"/>
      <c r="P23" s="338"/>
    </row>
    <row r="24" spans="1:16" x14ac:dyDescent="0.25">
      <c r="A24" s="353"/>
      <c r="B24" s="354"/>
      <c r="C24" s="354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5"/>
    </row>
    <row r="25" spans="1:16" x14ac:dyDescent="0.25">
      <c r="A25" s="40" t="s">
        <v>110</v>
      </c>
      <c r="B25" s="352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60"/>
    </row>
    <row r="26" spans="1:16" x14ac:dyDescent="0.25">
      <c r="A26" s="336"/>
      <c r="B26" s="337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8"/>
    </row>
    <row r="27" spans="1:16" ht="16.5" x14ac:dyDescent="0.3">
      <c r="A27" s="41" t="s">
        <v>46</v>
      </c>
      <c r="B27" s="364" t="s">
        <v>183</v>
      </c>
      <c r="C27" s="354"/>
      <c r="D27" s="354"/>
      <c r="E27" s="354"/>
      <c r="F27" s="354"/>
      <c r="G27" s="354"/>
      <c r="H27" s="354" t="s">
        <v>116</v>
      </c>
      <c r="I27" s="354"/>
      <c r="J27" s="354"/>
      <c r="K27" s="354"/>
      <c r="L27" s="354"/>
      <c r="M27" s="354">
        <v>35.700000000000003</v>
      </c>
      <c r="N27" s="354"/>
      <c r="O27" s="42">
        <v>35</v>
      </c>
      <c r="P27" s="42" t="s">
        <v>104</v>
      </c>
    </row>
    <row r="28" spans="1:16" ht="4.1500000000000004" customHeight="1" x14ac:dyDescent="0.25">
      <c r="A28" s="359"/>
      <c r="B28" s="352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60"/>
    </row>
    <row r="29" spans="1:16" x14ac:dyDescent="0.25">
      <c r="A29" s="361" t="s">
        <v>47</v>
      </c>
      <c r="B29" s="362"/>
      <c r="C29" s="362"/>
      <c r="D29" s="362"/>
      <c r="E29" s="362"/>
      <c r="F29" s="362"/>
      <c r="G29" s="362"/>
      <c r="H29" s="363" t="s">
        <v>48</v>
      </c>
      <c r="I29" s="363"/>
      <c r="J29" s="363"/>
      <c r="K29" s="363"/>
      <c r="L29" s="363"/>
      <c r="M29" s="337">
        <v>252.9</v>
      </c>
      <c r="N29" s="337"/>
      <c r="O29" s="43">
        <v>254.3</v>
      </c>
      <c r="P29" s="43" t="s">
        <v>105</v>
      </c>
    </row>
    <row r="30" spans="1:16" ht="2.4500000000000002" customHeight="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354"/>
      <c r="P30" s="355"/>
    </row>
    <row r="31" spans="1:16" ht="16.5" x14ac:dyDescent="0.3">
      <c r="A31" s="345" t="s">
        <v>49</v>
      </c>
      <c r="B31" s="346"/>
      <c r="C31" s="346"/>
      <c r="D31" s="346"/>
      <c r="E31" s="346"/>
      <c r="F31" s="346"/>
      <c r="G31" s="346"/>
      <c r="H31" s="352"/>
      <c r="I31" s="352"/>
      <c r="J31" s="352"/>
      <c r="K31" s="46" t="s">
        <v>117</v>
      </c>
      <c r="L31" s="46"/>
      <c r="M31" s="337">
        <v>230.8</v>
      </c>
      <c r="N31" s="337"/>
      <c r="O31" s="43">
        <v>232.6</v>
      </c>
      <c r="P31" s="43" t="s">
        <v>106</v>
      </c>
    </row>
    <row r="32" spans="1:16" ht="3.6" customHeight="1" x14ac:dyDescent="0.25">
      <c r="A32" s="353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5"/>
    </row>
    <row r="33" spans="1:20" x14ac:dyDescent="0.25">
      <c r="A33" s="356" t="s">
        <v>50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8"/>
    </row>
    <row r="34" spans="1:20" x14ac:dyDescent="0.25">
      <c r="A34" s="336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8"/>
    </row>
    <row r="35" spans="1:20" ht="16.5" x14ac:dyDescent="0.3">
      <c r="A35" s="345" t="s">
        <v>118</v>
      </c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7"/>
    </row>
    <row r="36" spans="1:20" ht="16.5" x14ac:dyDescent="0.3">
      <c r="A36" s="345" t="s">
        <v>119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7"/>
    </row>
    <row r="37" spans="1:20" x14ac:dyDescent="0.25">
      <c r="A37" s="336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8"/>
      <c r="S37" s="24">
        <f>(M29-M31)/(M31-M27)*100</f>
        <v>11.327524346488977</v>
      </c>
      <c r="T37" s="24">
        <f>(O29-O31)/(O31-O27)*100</f>
        <v>10.981781376518228</v>
      </c>
    </row>
    <row r="38" spans="1:20" x14ac:dyDescent="0.25">
      <c r="A38" s="336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8"/>
    </row>
    <row r="39" spans="1:20" x14ac:dyDescent="0.25">
      <c r="A39" s="336"/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8"/>
    </row>
    <row r="40" spans="1:20" ht="30.6" customHeight="1" x14ac:dyDescent="0.25">
      <c r="A40" s="336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8"/>
    </row>
    <row r="41" spans="1:20" x14ac:dyDescent="0.25">
      <c r="A41" s="348" t="s">
        <v>120</v>
      </c>
      <c r="B41" s="349"/>
      <c r="C41" s="349"/>
      <c r="D41" s="349"/>
      <c r="E41" s="349"/>
      <c r="F41" s="350">
        <f>AVERAGE(S37:T37)</f>
        <v>11.154652861503603</v>
      </c>
      <c r="G41" s="350"/>
      <c r="H41" s="350"/>
      <c r="I41" s="351" t="s">
        <v>51</v>
      </c>
      <c r="J41" s="351"/>
      <c r="K41" s="337"/>
      <c r="L41" s="337"/>
      <c r="M41" s="337"/>
      <c r="N41" s="337"/>
      <c r="O41" s="337"/>
      <c r="P41" s="338"/>
    </row>
    <row r="42" spans="1:20" ht="11.45" customHeight="1" x14ac:dyDescent="0.25">
      <c r="A42" s="336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8"/>
    </row>
    <row r="43" spans="1:20" ht="15.75" thickBot="1" x14ac:dyDescent="0.3">
      <c r="A43" s="339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41"/>
    </row>
    <row r="44" spans="1:20" ht="8.4499999999999993" customHeight="1" x14ac:dyDescent="0.25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</row>
    <row r="45" spans="1:20" ht="2.4500000000000002" customHeight="1" thickBot="1" x14ac:dyDescent="0.3">
      <c r="A45" s="337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</row>
    <row r="46" spans="1:20" x14ac:dyDescent="0.25">
      <c r="A46" s="342" t="s">
        <v>52</v>
      </c>
      <c r="B46" s="343"/>
      <c r="C46" s="343"/>
      <c r="D46" s="343"/>
      <c r="E46" s="343"/>
      <c r="F46" s="343"/>
      <c r="G46" s="343"/>
      <c r="H46" s="344"/>
      <c r="I46" s="342" t="s">
        <v>2</v>
      </c>
      <c r="J46" s="343"/>
      <c r="K46" s="343"/>
      <c r="L46" s="343"/>
      <c r="M46" s="343"/>
      <c r="N46" s="343"/>
      <c r="O46" s="343"/>
      <c r="P46" s="344"/>
    </row>
    <row r="47" spans="1:20" x14ac:dyDescent="0.25">
      <c r="A47" s="328"/>
      <c r="B47" s="329"/>
      <c r="C47" s="329"/>
      <c r="D47" s="329"/>
      <c r="E47" s="329"/>
      <c r="F47" s="329"/>
      <c r="G47" s="329"/>
      <c r="H47" s="330"/>
      <c r="I47" s="328"/>
      <c r="J47" s="329"/>
      <c r="K47" s="329"/>
      <c r="L47" s="329"/>
      <c r="M47" s="329"/>
      <c r="N47" s="329"/>
      <c r="O47" s="329"/>
      <c r="P47" s="330"/>
    </row>
    <row r="48" spans="1:20" x14ac:dyDescent="0.25">
      <c r="A48" s="328"/>
      <c r="B48" s="329"/>
      <c r="C48" s="329"/>
      <c r="D48" s="329"/>
      <c r="E48" s="329"/>
      <c r="F48" s="329"/>
      <c r="G48" s="329"/>
      <c r="H48" s="330"/>
      <c r="I48" s="328"/>
      <c r="J48" s="329"/>
      <c r="K48" s="329"/>
      <c r="L48" s="329"/>
      <c r="M48" s="329"/>
      <c r="N48" s="329"/>
      <c r="O48" s="329"/>
      <c r="P48" s="330"/>
    </row>
    <row r="49" spans="1:16" x14ac:dyDescent="0.25">
      <c r="A49" s="328"/>
      <c r="B49" s="329"/>
      <c r="C49" s="329"/>
      <c r="D49" s="329"/>
      <c r="E49" s="329"/>
      <c r="F49" s="329"/>
      <c r="G49" s="329"/>
      <c r="H49" s="330"/>
      <c r="I49" s="328"/>
      <c r="J49" s="329"/>
      <c r="K49" s="329"/>
      <c r="L49" s="329"/>
      <c r="M49" s="329"/>
      <c r="N49" s="329"/>
      <c r="O49" s="329"/>
      <c r="P49" s="330"/>
    </row>
    <row r="50" spans="1:16" ht="15.75" thickBot="1" x14ac:dyDescent="0.3">
      <c r="A50" s="331" t="s">
        <v>107</v>
      </c>
      <c r="B50" s="332"/>
      <c r="C50" s="332"/>
      <c r="D50" s="332"/>
      <c r="E50" s="332"/>
      <c r="F50" s="332"/>
      <c r="G50" s="332"/>
      <c r="H50" s="333"/>
      <c r="I50" s="331" t="s">
        <v>103</v>
      </c>
      <c r="J50" s="332"/>
      <c r="K50" s="332"/>
      <c r="L50" s="332"/>
      <c r="M50" s="332"/>
      <c r="N50" s="332"/>
      <c r="O50" s="332"/>
      <c r="P50" s="333"/>
    </row>
    <row r="51" spans="1:16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V57"/>
  <sheetViews>
    <sheetView topLeftCell="A19" workbookViewId="0">
      <selection activeCell="N32" sqref="N32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13"/>
      <c r="B1" s="388" t="s">
        <v>53</v>
      </c>
      <c r="C1" s="389"/>
      <c r="D1" s="389"/>
      <c r="E1" s="389"/>
      <c r="F1" s="389"/>
      <c r="G1" s="389"/>
      <c r="H1" s="389"/>
      <c r="I1" s="389"/>
      <c r="J1" s="389"/>
      <c r="K1" s="389"/>
      <c r="L1" s="391" t="s">
        <v>54</v>
      </c>
      <c r="M1" s="392"/>
      <c r="N1" s="393" t="s">
        <v>55</v>
      </c>
      <c r="O1" s="394"/>
    </row>
    <row r="2" spans="1:15" ht="15" customHeight="1" x14ac:dyDescent="0.25">
      <c r="A2" s="395" t="s">
        <v>27</v>
      </c>
      <c r="B2" s="397" t="s">
        <v>102</v>
      </c>
      <c r="C2" s="398"/>
      <c r="D2" s="398"/>
      <c r="E2" s="398"/>
      <c r="F2" s="398"/>
      <c r="G2" s="398"/>
      <c r="H2" s="398"/>
      <c r="I2" s="398"/>
      <c r="J2" s="398"/>
      <c r="K2" s="398"/>
      <c r="L2" s="326" t="s">
        <v>56</v>
      </c>
      <c r="M2" s="491"/>
      <c r="N2" s="492" t="s">
        <v>57</v>
      </c>
      <c r="O2" s="492"/>
    </row>
    <row r="3" spans="1:15" ht="25.15" customHeight="1" x14ac:dyDescent="0.25">
      <c r="A3" s="395"/>
      <c r="B3" s="397"/>
      <c r="C3" s="398"/>
      <c r="D3" s="398"/>
      <c r="E3" s="398"/>
      <c r="F3" s="398"/>
      <c r="G3" s="398"/>
      <c r="H3" s="398"/>
      <c r="I3" s="398"/>
      <c r="J3" s="398"/>
      <c r="K3" s="398"/>
      <c r="L3" s="326" t="s">
        <v>58</v>
      </c>
      <c r="M3" s="491"/>
      <c r="N3" s="492" t="s">
        <v>59</v>
      </c>
      <c r="O3" s="492"/>
    </row>
    <row r="4" spans="1:15" ht="16.899999999999999" customHeight="1" thickBot="1" x14ac:dyDescent="0.3">
      <c r="A4" s="396"/>
      <c r="B4" s="400" t="s">
        <v>60</v>
      </c>
      <c r="C4" s="401"/>
      <c r="D4" s="401"/>
      <c r="E4" s="401"/>
      <c r="F4" s="401"/>
      <c r="G4" s="401"/>
      <c r="H4" s="401"/>
      <c r="I4" s="401"/>
      <c r="J4" s="401"/>
      <c r="K4" s="401"/>
      <c r="L4" s="494" t="s">
        <v>61</v>
      </c>
      <c r="M4" s="495"/>
      <c r="N4" s="496" t="s">
        <v>62</v>
      </c>
      <c r="O4" s="497"/>
    </row>
    <row r="5" spans="1:15" ht="4.9000000000000004" customHeight="1" x14ac:dyDescent="0.25">
      <c r="A5" s="498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</row>
    <row r="6" spans="1:15" ht="15.75" x14ac:dyDescent="0.25">
      <c r="A6" s="32" t="s">
        <v>31</v>
      </c>
      <c r="B6" s="385">
        <v>43811</v>
      </c>
      <c r="C6" s="385"/>
      <c r="D6" s="385"/>
      <c r="E6" s="385"/>
      <c r="F6" s="376" t="s">
        <v>32</v>
      </c>
      <c r="G6" s="376"/>
      <c r="H6" s="376"/>
      <c r="I6" s="376"/>
      <c r="J6" s="376"/>
      <c r="K6" s="473" t="s">
        <v>181</v>
      </c>
      <c r="L6" s="473"/>
      <c r="M6" s="473"/>
      <c r="N6" s="473"/>
      <c r="O6" s="474"/>
    </row>
    <row r="7" spans="1:15" ht="8.4499999999999993" customHeight="1" x14ac:dyDescent="0.25">
      <c r="A7" s="352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</row>
    <row r="8" spans="1:15" ht="4.9000000000000004" hidden="1" customHeight="1" x14ac:dyDescent="0.25">
      <c r="A8" s="378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</row>
    <row r="9" spans="1:15" x14ac:dyDescent="0.25">
      <c r="A9" s="383" t="s">
        <v>33</v>
      </c>
      <c r="B9" s="379"/>
      <c r="C9" s="379"/>
      <c r="D9" s="379"/>
      <c r="E9" s="379"/>
      <c r="F9" s="379"/>
      <c r="G9" s="379"/>
      <c r="H9" s="379"/>
      <c r="I9" s="493"/>
      <c r="J9" s="493"/>
      <c r="K9" s="493"/>
      <c r="L9" s="378"/>
      <c r="M9" s="378"/>
      <c r="N9" s="378"/>
      <c r="O9" s="378"/>
    </row>
    <row r="10" spans="1:15" ht="2.4500000000000002" customHeight="1" x14ac:dyDescent="0.25">
      <c r="A10" s="337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</row>
    <row r="11" spans="1:15" ht="2.4500000000000002" customHeight="1" x14ac:dyDescent="0.25">
      <c r="A11" s="337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6"/>
    </row>
    <row r="12" spans="1:15" ht="17.25" x14ac:dyDescent="0.3">
      <c r="A12" s="84" t="s">
        <v>121</v>
      </c>
      <c r="B12" s="85">
        <v>5</v>
      </c>
      <c r="C12" s="85" t="s">
        <v>35</v>
      </c>
      <c r="D12" s="85">
        <v>8</v>
      </c>
      <c r="E12" s="85">
        <v>10</v>
      </c>
      <c r="F12" s="85" t="s">
        <v>36</v>
      </c>
      <c r="G12" s="85">
        <v>16</v>
      </c>
      <c r="H12" s="85">
        <v>20</v>
      </c>
      <c r="I12" s="85">
        <v>25</v>
      </c>
      <c r="J12" s="85" t="s">
        <v>37</v>
      </c>
      <c r="K12" s="85">
        <v>40</v>
      </c>
      <c r="L12" s="85">
        <v>63</v>
      </c>
      <c r="M12" s="85">
        <v>80</v>
      </c>
      <c r="N12" s="475" t="s">
        <v>122</v>
      </c>
      <c r="O12" s="475"/>
    </row>
    <row r="13" spans="1:15" ht="17.25" x14ac:dyDescent="0.25">
      <c r="A13" s="86" t="s">
        <v>34</v>
      </c>
      <c r="B13" s="85" t="s">
        <v>38</v>
      </c>
      <c r="C13" s="85" t="s">
        <v>39</v>
      </c>
      <c r="D13" s="85" t="s">
        <v>40</v>
      </c>
      <c r="E13" s="85" t="s">
        <v>41</v>
      </c>
      <c r="F13" s="85" t="s">
        <v>42</v>
      </c>
      <c r="G13" s="85">
        <v>2</v>
      </c>
      <c r="H13" s="85">
        <v>3</v>
      </c>
      <c r="I13" s="85">
        <v>5</v>
      </c>
      <c r="J13" s="85">
        <v>8</v>
      </c>
      <c r="K13" s="85">
        <v>12</v>
      </c>
      <c r="L13" s="85">
        <v>30</v>
      </c>
      <c r="M13" s="85">
        <v>50</v>
      </c>
      <c r="N13" s="418" t="s">
        <v>123</v>
      </c>
      <c r="O13" s="418"/>
    </row>
    <row r="14" spans="1:15" ht="13.15" customHeight="1" x14ac:dyDescent="0.25">
      <c r="A14" s="476"/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477"/>
    </row>
    <row r="15" spans="1:15" ht="14.45" customHeight="1" x14ac:dyDescent="0.25">
      <c r="A15" s="478" t="s">
        <v>63</v>
      </c>
      <c r="B15" s="480" t="s">
        <v>64</v>
      </c>
      <c r="C15" s="480"/>
      <c r="D15" s="480"/>
      <c r="E15" s="471" t="s">
        <v>22</v>
      </c>
      <c r="F15" s="472"/>
      <c r="G15" s="472"/>
      <c r="H15" s="481" t="s">
        <v>65</v>
      </c>
      <c r="I15" s="481"/>
      <c r="J15" s="481"/>
      <c r="K15" s="481"/>
      <c r="L15" s="482" t="s">
        <v>66</v>
      </c>
      <c r="M15" s="483"/>
      <c r="N15" s="488" t="s">
        <v>67</v>
      </c>
      <c r="O15" s="488"/>
    </row>
    <row r="16" spans="1:15" ht="11.45" customHeight="1" x14ac:dyDescent="0.25">
      <c r="A16" s="479"/>
      <c r="B16" s="453"/>
      <c r="C16" s="453"/>
      <c r="D16" s="453"/>
      <c r="E16" s="471"/>
      <c r="F16" s="472"/>
      <c r="G16" s="472"/>
      <c r="H16" s="481"/>
      <c r="I16" s="481"/>
      <c r="J16" s="481"/>
      <c r="K16" s="481"/>
      <c r="L16" s="484"/>
      <c r="M16" s="485"/>
      <c r="N16" s="488"/>
      <c r="O16" s="488"/>
    </row>
    <row r="17" spans="1:19" x14ac:dyDescent="0.25">
      <c r="A17" s="489" t="s">
        <v>124</v>
      </c>
      <c r="B17" s="461" t="s">
        <v>68</v>
      </c>
      <c r="C17" s="375">
        <v>300</v>
      </c>
      <c r="D17" s="470" t="s">
        <v>69</v>
      </c>
      <c r="E17" s="471" t="s">
        <v>1</v>
      </c>
      <c r="F17" s="472" t="s">
        <v>70</v>
      </c>
      <c r="G17" s="472"/>
      <c r="H17" s="472" t="s">
        <v>71</v>
      </c>
      <c r="I17" s="472"/>
      <c r="J17" s="472" t="s">
        <v>72</v>
      </c>
      <c r="K17" s="472"/>
      <c r="L17" s="484"/>
      <c r="M17" s="485"/>
      <c r="N17" s="490" t="s">
        <v>73</v>
      </c>
      <c r="O17" s="490" t="s">
        <v>74</v>
      </c>
    </row>
    <row r="18" spans="1:19" ht="7.9" customHeight="1" x14ac:dyDescent="0.25">
      <c r="A18" s="489"/>
      <c r="B18" s="461"/>
      <c r="C18" s="375"/>
      <c r="D18" s="470"/>
      <c r="E18" s="471"/>
      <c r="F18" s="472"/>
      <c r="G18" s="472"/>
      <c r="H18" s="472"/>
      <c r="I18" s="472"/>
      <c r="J18" s="472"/>
      <c r="K18" s="472"/>
      <c r="L18" s="486"/>
      <c r="M18" s="487"/>
      <c r="N18" s="490"/>
      <c r="O18" s="490"/>
    </row>
    <row r="19" spans="1:19" ht="14.45" customHeight="1" x14ac:dyDescent="0.25">
      <c r="A19" s="464" t="s">
        <v>125</v>
      </c>
      <c r="B19" s="465"/>
      <c r="C19" s="465"/>
      <c r="D19" s="468" t="s">
        <v>75</v>
      </c>
      <c r="E19" s="87">
        <v>100</v>
      </c>
      <c r="F19" s="418"/>
      <c r="G19" s="418"/>
      <c r="H19" s="371"/>
      <c r="I19" s="371"/>
      <c r="J19" s="415"/>
      <c r="K19" s="415"/>
      <c r="L19" s="371"/>
      <c r="M19" s="371"/>
      <c r="N19" s="38"/>
      <c r="O19" s="38"/>
      <c r="Q19" s="17"/>
      <c r="R19" s="17"/>
      <c r="S19" s="17"/>
    </row>
    <row r="20" spans="1:19" x14ac:dyDescent="0.25">
      <c r="A20" s="466"/>
      <c r="B20" s="467"/>
      <c r="C20" s="467"/>
      <c r="D20" s="469"/>
      <c r="E20" s="87">
        <v>80</v>
      </c>
      <c r="F20" s="418"/>
      <c r="G20" s="418"/>
      <c r="H20" s="371"/>
      <c r="I20" s="371"/>
      <c r="J20" s="415"/>
      <c r="K20" s="415"/>
      <c r="L20" s="371"/>
      <c r="M20" s="371"/>
      <c r="N20" s="38"/>
      <c r="O20" s="38"/>
      <c r="Q20" s="17"/>
      <c r="R20" s="17"/>
      <c r="S20" s="17"/>
    </row>
    <row r="21" spans="1:19" ht="14.45" customHeight="1" x14ac:dyDescent="0.3">
      <c r="A21" s="461" t="s">
        <v>126</v>
      </c>
      <c r="B21" s="458"/>
      <c r="C21" s="458"/>
      <c r="D21" s="462"/>
      <c r="E21" s="87">
        <v>63</v>
      </c>
      <c r="F21" s="418"/>
      <c r="G21" s="418"/>
      <c r="H21" s="371"/>
      <c r="I21" s="371"/>
      <c r="J21" s="415"/>
      <c r="K21" s="415"/>
      <c r="L21" s="371"/>
      <c r="M21" s="371"/>
      <c r="N21" s="38"/>
      <c r="O21" s="38"/>
    </row>
    <row r="22" spans="1:19" ht="15" customHeight="1" x14ac:dyDescent="0.25">
      <c r="A22" s="88" t="s">
        <v>76</v>
      </c>
      <c r="B22" s="463"/>
      <c r="C22" s="463"/>
      <c r="D22" s="89" t="s">
        <v>77</v>
      </c>
      <c r="E22" s="87">
        <v>50</v>
      </c>
      <c r="F22" s="418"/>
      <c r="G22" s="418"/>
      <c r="H22" s="371"/>
      <c r="I22" s="371"/>
      <c r="J22" s="415"/>
      <c r="K22" s="415"/>
      <c r="L22" s="371"/>
      <c r="M22" s="371"/>
      <c r="N22" s="38"/>
      <c r="O22" s="38"/>
    </row>
    <row r="23" spans="1:19" ht="14.45" customHeight="1" x14ac:dyDescent="0.3">
      <c r="A23" s="457" t="s">
        <v>127</v>
      </c>
      <c r="B23" s="458"/>
      <c r="C23" s="458"/>
      <c r="D23" s="459"/>
      <c r="E23" s="86">
        <v>40</v>
      </c>
      <c r="F23" s="418"/>
      <c r="G23" s="418"/>
      <c r="H23" s="371"/>
      <c r="I23" s="371"/>
      <c r="J23" s="415"/>
      <c r="K23" s="415"/>
      <c r="L23" s="373">
        <f>J23</f>
        <v>0</v>
      </c>
      <c r="M23" s="374"/>
      <c r="N23" s="37">
        <f>L23/C17*100</f>
        <v>0</v>
      </c>
      <c r="O23" s="37">
        <f>100-N23</f>
        <v>100</v>
      </c>
    </row>
    <row r="24" spans="1:19" ht="15" customHeight="1" x14ac:dyDescent="0.25">
      <c r="A24" s="90" t="s">
        <v>78</v>
      </c>
      <c r="B24" s="460"/>
      <c r="C24" s="460"/>
      <c r="D24" s="91" t="s">
        <v>77</v>
      </c>
      <c r="E24" s="86">
        <v>31.5</v>
      </c>
      <c r="F24" s="418"/>
      <c r="G24" s="418"/>
      <c r="H24" s="371"/>
      <c r="I24" s="371"/>
      <c r="J24" s="415"/>
      <c r="K24" s="415"/>
      <c r="L24" s="371">
        <f>L23+J24</f>
        <v>0</v>
      </c>
      <c r="M24" s="371"/>
      <c r="N24" s="37">
        <f>L24/C17*100</f>
        <v>0</v>
      </c>
      <c r="O24" s="92">
        <f>100-N24</f>
        <v>100</v>
      </c>
    </row>
    <row r="25" spans="1:19" x14ac:dyDescent="0.25">
      <c r="A25" s="453" t="s">
        <v>128</v>
      </c>
      <c r="B25" s="411" t="s">
        <v>79</v>
      </c>
      <c r="C25" s="357"/>
      <c r="D25" s="456"/>
      <c r="E25" s="86">
        <v>25</v>
      </c>
      <c r="F25" s="418"/>
      <c r="G25" s="418"/>
      <c r="H25" s="371"/>
      <c r="I25" s="371"/>
      <c r="J25" s="415"/>
      <c r="K25" s="415"/>
      <c r="L25" s="371"/>
      <c r="M25" s="371"/>
      <c r="N25" s="37"/>
      <c r="O25" s="92"/>
    </row>
    <row r="26" spans="1:19" ht="17.25" x14ac:dyDescent="0.3">
      <c r="A26" s="454"/>
      <c r="B26" s="93" t="s">
        <v>129</v>
      </c>
      <c r="C26" s="94"/>
      <c r="D26" s="95" t="s">
        <v>80</v>
      </c>
      <c r="E26" s="86">
        <v>20</v>
      </c>
      <c r="F26" s="418"/>
      <c r="G26" s="418"/>
      <c r="H26" s="371"/>
      <c r="I26" s="371"/>
      <c r="J26" s="415"/>
      <c r="K26" s="415"/>
      <c r="L26" s="371">
        <f>J26+L24</f>
        <v>0</v>
      </c>
      <c r="M26" s="371"/>
      <c r="N26" s="37">
        <f>L26/C17*100</f>
        <v>0</v>
      </c>
      <c r="O26" s="92">
        <f>100-N26</f>
        <v>100</v>
      </c>
    </row>
    <row r="27" spans="1:19" x14ac:dyDescent="0.25">
      <c r="A27" s="454"/>
      <c r="B27" s="411" t="s">
        <v>81</v>
      </c>
      <c r="C27" s="357"/>
      <c r="D27" s="456"/>
      <c r="E27" s="86">
        <v>16</v>
      </c>
      <c r="F27" s="418"/>
      <c r="G27" s="418"/>
      <c r="H27" s="371"/>
      <c r="I27" s="371"/>
      <c r="J27" s="415"/>
      <c r="K27" s="415"/>
      <c r="L27" s="371"/>
      <c r="M27" s="371"/>
      <c r="N27" s="37"/>
      <c r="O27" s="92"/>
    </row>
    <row r="28" spans="1:19" x14ac:dyDescent="0.25">
      <c r="A28" s="455"/>
      <c r="B28" s="96" t="s">
        <v>82</v>
      </c>
      <c r="C28" s="96"/>
      <c r="D28" s="97" t="s">
        <v>83</v>
      </c>
      <c r="E28" s="86">
        <v>12.5</v>
      </c>
      <c r="F28" s="418"/>
      <c r="G28" s="418"/>
      <c r="H28" s="371"/>
      <c r="I28" s="371"/>
      <c r="J28" s="415"/>
      <c r="K28" s="415"/>
      <c r="L28" s="371"/>
      <c r="M28" s="371"/>
      <c r="N28" s="37"/>
      <c r="O28" s="92"/>
    </row>
    <row r="29" spans="1:19" x14ac:dyDescent="0.25">
      <c r="A29" s="453" t="s">
        <v>130</v>
      </c>
      <c r="B29" s="411" t="s">
        <v>79</v>
      </c>
      <c r="C29" s="357"/>
      <c r="D29" s="456"/>
      <c r="E29" s="86">
        <v>10</v>
      </c>
      <c r="F29" s="418"/>
      <c r="G29" s="418"/>
      <c r="H29" s="371"/>
      <c r="I29" s="371"/>
      <c r="J29" s="415">
        <v>24.8</v>
      </c>
      <c r="K29" s="415"/>
      <c r="L29" s="371">
        <f>J29+L26</f>
        <v>24.8</v>
      </c>
      <c r="M29" s="371"/>
      <c r="N29" s="101">
        <f>L29/C17*100</f>
        <v>8.2666666666666657</v>
      </c>
      <c r="O29" s="92">
        <f>100-N29</f>
        <v>91.733333333333334</v>
      </c>
    </row>
    <row r="30" spans="1:19" x14ac:dyDescent="0.25">
      <c r="A30" s="454"/>
      <c r="B30" s="98" t="s">
        <v>84</v>
      </c>
      <c r="C30" s="96"/>
      <c r="D30" s="97" t="s">
        <v>80</v>
      </c>
      <c r="E30" s="86">
        <v>8</v>
      </c>
      <c r="F30" s="418"/>
      <c r="G30" s="418"/>
      <c r="H30" s="371"/>
      <c r="I30" s="371"/>
      <c r="J30" s="415"/>
      <c r="K30" s="415"/>
      <c r="L30" s="371"/>
      <c r="M30" s="371"/>
      <c r="N30" s="37"/>
      <c r="O30" s="92"/>
    </row>
    <row r="31" spans="1:19" x14ac:dyDescent="0.25">
      <c r="A31" s="454"/>
      <c r="B31" s="412" t="s">
        <v>81</v>
      </c>
      <c r="C31" s="375"/>
      <c r="D31" s="413"/>
      <c r="E31" s="86">
        <v>6.3</v>
      </c>
      <c r="F31" s="418"/>
      <c r="G31" s="418"/>
      <c r="H31" s="371"/>
      <c r="I31" s="371"/>
      <c r="J31" s="415"/>
      <c r="K31" s="415"/>
      <c r="L31" s="371"/>
      <c r="M31" s="371"/>
      <c r="N31" s="37"/>
      <c r="O31" s="92"/>
    </row>
    <row r="32" spans="1:19" x14ac:dyDescent="0.25">
      <c r="A32" s="455"/>
      <c r="B32" s="98" t="s">
        <v>85</v>
      </c>
      <c r="C32" s="96"/>
      <c r="D32" s="97" t="s">
        <v>80</v>
      </c>
      <c r="E32" s="86">
        <v>5</v>
      </c>
      <c r="F32" s="418"/>
      <c r="G32" s="418"/>
      <c r="H32" s="371"/>
      <c r="I32" s="371"/>
      <c r="J32" s="415">
        <v>4.2</v>
      </c>
      <c r="K32" s="415"/>
      <c r="L32" s="371">
        <f>J32+L29</f>
        <v>29</v>
      </c>
      <c r="M32" s="371"/>
      <c r="N32" s="101">
        <f>L32/C17*100</f>
        <v>9.6666666666666661</v>
      </c>
      <c r="O32" s="92">
        <f>100-N32</f>
        <v>90.333333333333329</v>
      </c>
    </row>
    <row r="33" spans="1:22" x14ac:dyDescent="0.25">
      <c r="A33" s="433" t="s">
        <v>86</v>
      </c>
      <c r="B33" s="452"/>
      <c r="C33" s="452"/>
      <c r="D33" s="434"/>
      <c r="E33" s="86">
        <v>4</v>
      </c>
      <c r="F33" s="418"/>
      <c r="G33" s="418"/>
      <c r="H33" s="371"/>
      <c r="I33" s="371"/>
      <c r="J33" s="415"/>
      <c r="K33" s="415"/>
      <c r="L33" s="371"/>
      <c r="M33" s="371"/>
      <c r="N33" s="37"/>
      <c r="O33" s="37"/>
    </row>
    <row r="34" spans="1:22" ht="13.15" customHeight="1" x14ac:dyDescent="0.3">
      <c r="A34" s="416" t="s">
        <v>131</v>
      </c>
      <c r="B34" s="417"/>
      <c r="C34" s="96"/>
      <c r="D34" s="97" t="s">
        <v>80</v>
      </c>
      <c r="E34" s="86">
        <v>3.15</v>
      </c>
      <c r="F34" s="418"/>
      <c r="G34" s="418"/>
      <c r="H34" s="371"/>
      <c r="I34" s="371"/>
      <c r="J34" s="415"/>
      <c r="K34" s="415"/>
      <c r="L34" s="371"/>
      <c r="M34" s="371"/>
      <c r="N34" s="37"/>
      <c r="O34" s="37"/>
    </row>
    <row r="35" spans="1:22" x14ac:dyDescent="0.25">
      <c r="A35" s="435" t="s">
        <v>87</v>
      </c>
      <c r="B35" s="436"/>
      <c r="C35" s="436"/>
      <c r="D35" s="437"/>
      <c r="E35" s="86">
        <v>2.5</v>
      </c>
      <c r="F35" s="418"/>
      <c r="G35" s="418"/>
      <c r="H35" s="371"/>
      <c r="I35" s="371"/>
      <c r="J35" s="415"/>
      <c r="K35" s="415"/>
      <c r="L35" s="371"/>
      <c r="M35" s="371"/>
      <c r="N35" s="37"/>
      <c r="O35" s="37"/>
    </row>
    <row r="36" spans="1:22" x14ac:dyDescent="0.25">
      <c r="A36" s="438"/>
      <c r="B36" s="439"/>
      <c r="C36" s="439"/>
      <c r="D36" s="440"/>
      <c r="E36" s="86">
        <v>2</v>
      </c>
      <c r="F36" s="418"/>
      <c r="G36" s="418"/>
      <c r="H36" s="371"/>
      <c r="I36" s="371"/>
      <c r="J36" s="415">
        <v>3.7</v>
      </c>
      <c r="K36" s="415"/>
      <c r="L36" s="371">
        <f>J36+L32</f>
        <v>32.700000000000003</v>
      </c>
      <c r="M36" s="371"/>
      <c r="N36" s="101">
        <f>L36/C17*100</f>
        <v>10.900000000000002</v>
      </c>
      <c r="O36" s="92">
        <f>100-N36</f>
        <v>89.1</v>
      </c>
    </row>
    <row r="37" spans="1:22" x14ac:dyDescent="0.25">
      <c r="A37" s="441" t="s">
        <v>88</v>
      </c>
      <c r="B37" s="442"/>
      <c r="C37" s="99"/>
      <c r="D37" s="100" t="s">
        <v>89</v>
      </c>
      <c r="E37" s="86">
        <v>1.6</v>
      </c>
      <c r="F37" s="418"/>
      <c r="G37" s="418"/>
      <c r="H37" s="371"/>
      <c r="I37" s="371"/>
      <c r="J37" s="415"/>
      <c r="K37" s="415"/>
      <c r="L37" s="371"/>
      <c r="M37" s="371"/>
      <c r="N37" s="37"/>
      <c r="O37" s="37"/>
    </row>
    <row r="38" spans="1:22" ht="13.15" customHeight="1" x14ac:dyDescent="0.3">
      <c r="A38" s="443" t="s">
        <v>132</v>
      </c>
      <c r="B38" s="444"/>
      <c r="C38" s="444"/>
      <c r="D38" s="445"/>
      <c r="E38" s="86">
        <v>1.25</v>
      </c>
      <c r="F38" s="418"/>
      <c r="G38" s="418"/>
      <c r="H38" s="371"/>
      <c r="I38" s="371"/>
      <c r="J38" s="415"/>
      <c r="K38" s="415"/>
      <c r="L38" s="371"/>
      <c r="M38" s="371"/>
      <c r="N38" s="37"/>
      <c r="O38" s="92"/>
    </row>
    <row r="39" spans="1:22" ht="13.15" customHeight="1" x14ac:dyDescent="0.25">
      <c r="A39" s="446" t="s">
        <v>133</v>
      </c>
      <c r="B39" s="447"/>
      <c r="C39" s="449"/>
      <c r="D39" s="450" t="s">
        <v>80</v>
      </c>
      <c r="E39" s="86">
        <v>1</v>
      </c>
      <c r="F39" s="418"/>
      <c r="G39" s="418"/>
      <c r="H39" s="371"/>
      <c r="I39" s="371"/>
      <c r="J39" s="415">
        <v>5.2</v>
      </c>
      <c r="K39" s="415"/>
      <c r="L39" s="371">
        <f>J39+L36</f>
        <v>37.900000000000006</v>
      </c>
      <c r="M39" s="371"/>
      <c r="N39" s="101">
        <f>L39/C17*100</f>
        <v>12.633333333333335</v>
      </c>
      <c r="O39" s="92">
        <f>100-N39</f>
        <v>87.36666666666666</v>
      </c>
    </row>
    <row r="40" spans="1:22" ht="15" customHeight="1" x14ac:dyDescent="0.25">
      <c r="A40" s="431"/>
      <c r="B40" s="448"/>
      <c r="C40" s="329"/>
      <c r="D40" s="451"/>
      <c r="E40" s="102">
        <v>0.8</v>
      </c>
      <c r="F40" s="418">
        <v>800</v>
      </c>
      <c r="G40" s="418"/>
      <c r="H40" s="371"/>
      <c r="I40" s="371"/>
      <c r="J40" s="415"/>
      <c r="K40" s="415"/>
      <c r="L40" s="371"/>
      <c r="M40" s="371"/>
      <c r="N40" s="37"/>
      <c r="O40" s="92"/>
    </row>
    <row r="41" spans="1:22" ht="15.6" customHeight="1" x14ac:dyDescent="0.25">
      <c r="A41" s="435" t="s">
        <v>134</v>
      </c>
      <c r="B41" s="436"/>
      <c r="C41" s="436"/>
      <c r="D41" s="437"/>
      <c r="E41" s="103">
        <v>0.63</v>
      </c>
      <c r="F41" s="418">
        <v>630</v>
      </c>
      <c r="G41" s="418"/>
      <c r="H41" s="371"/>
      <c r="I41" s="371"/>
      <c r="J41" s="415"/>
      <c r="K41" s="415"/>
      <c r="L41" s="371"/>
      <c r="M41" s="371"/>
      <c r="N41" s="37"/>
      <c r="O41" s="92"/>
    </row>
    <row r="42" spans="1:22" x14ac:dyDescent="0.25">
      <c r="A42" s="438"/>
      <c r="B42" s="439"/>
      <c r="C42" s="439"/>
      <c r="D42" s="440"/>
      <c r="E42" s="103">
        <v>0.5</v>
      </c>
      <c r="F42" s="418">
        <v>500</v>
      </c>
      <c r="G42" s="418"/>
      <c r="H42" s="371"/>
      <c r="I42" s="371"/>
      <c r="J42" s="415"/>
      <c r="K42" s="415"/>
      <c r="L42" s="371"/>
      <c r="M42" s="371"/>
      <c r="N42" s="37"/>
      <c r="O42" s="92"/>
    </row>
    <row r="43" spans="1:22" ht="14.45" customHeight="1" x14ac:dyDescent="0.25">
      <c r="A43" s="425" t="s">
        <v>135</v>
      </c>
      <c r="B43" s="426"/>
      <c r="C43" s="429"/>
      <c r="D43" s="430" t="s">
        <v>90</v>
      </c>
      <c r="E43" s="103">
        <v>0.4</v>
      </c>
      <c r="F43" s="418">
        <v>400</v>
      </c>
      <c r="G43" s="418"/>
      <c r="H43" s="371"/>
      <c r="I43" s="371"/>
      <c r="J43" s="415">
        <v>47.9</v>
      </c>
      <c r="K43" s="415"/>
      <c r="L43" s="371">
        <f>J43+L39</f>
        <v>85.800000000000011</v>
      </c>
      <c r="M43" s="371"/>
      <c r="N43" s="101">
        <f>L43/C17*100</f>
        <v>28.6</v>
      </c>
      <c r="O43" s="92">
        <f>100-N43</f>
        <v>71.400000000000006</v>
      </c>
    </row>
    <row r="44" spans="1:22" x14ac:dyDescent="0.25">
      <c r="A44" s="427"/>
      <c r="B44" s="428"/>
      <c r="C44" s="429"/>
      <c r="D44" s="430"/>
      <c r="E44" s="103">
        <v>0.315</v>
      </c>
      <c r="F44" s="418">
        <v>315</v>
      </c>
      <c r="G44" s="418"/>
      <c r="H44" s="371"/>
      <c r="I44" s="371"/>
      <c r="J44" s="415"/>
      <c r="K44" s="415"/>
      <c r="L44" s="371"/>
      <c r="M44" s="371"/>
      <c r="N44" s="37"/>
      <c r="O44" s="92"/>
      <c r="U44" s="415">
        <v>60.4</v>
      </c>
      <c r="V44" s="415"/>
    </row>
    <row r="45" spans="1:22" ht="15" customHeight="1" x14ac:dyDescent="0.25">
      <c r="A45" s="423" t="s">
        <v>91</v>
      </c>
      <c r="B45" s="424"/>
      <c r="C45" s="104" t="s">
        <v>92</v>
      </c>
      <c r="D45" s="105"/>
      <c r="E45" s="103">
        <v>0.25</v>
      </c>
      <c r="F45" s="418">
        <v>250</v>
      </c>
      <c r="G45" s="418"/>
      <c r="H45" s="371"/>
      <c r="I45" s="371"/>
      <c r="J45" s="415"/>
      <c r="K45" s="415"/>
      <c r="L45" s="371"/>
      <c r="M45" s="371"/>
      <c r="N45" s="37"/>
      <c r="O45" s="92"/>
      <c r="U45" s="415">
        <v>128.69999999999999</v>
      </c>
      <c r="V45" s="415"/>
    </row>
    <row r="46" spans="1:22" ht="13.15" customHeight="1" x14ac:dyDescent="0.25">
      <c r="A46" s="425"/>
      <c r="B46" s="426"/>
      <c r="C46" s="431" t="s">
        <v>136</v>
      </c>
      <c r="D46" s="432"/>
      <c r="E46" s="103">
        <v>0.2</v>
      </c>
      <c r="F46" s="418">
        <v>200</v>
      </c>
      <c r="G46" s="418"/>
      <c r="H46" s="371"/>
      <c r="I46" s="371"/>
      <c r="J46" s="415">
        <v>76.7</v>
      </c>
      <c r="K46" s="415"/>
      <c r="L46" s="371">
        <f>J46+L43</f>
        <v>162.5</v>
      </c>
      <c r="M46" s="371"/>
      <c r="N46" s="101">
        <f>L46/C17*100</f>
        <v>54.166666666666664</v>
      </c>
      <c r="O46" s="92">
        <f>100-N46</f>
        <v>45.833333333333336</v>
      </c>
      <c r="U46" s="415">
        <v>81.400000000000006</v>
      </c>
      <c r="V46" s="415"/>
    </row>
    <row r="47" spans="1:22" x14ac:dyDescent="0.25">
      <c r="A47" s="425"/>
      <c r="B47" s="426"/>
      <c r="C47" s="433" t="s">
        <v>93</v>
      </c>
      <c r="D47" s="434"/>
      <c r="E47" s="103">
        <v>0.16</v>
      </c>
      <c r="F47" s="418">
        <v>160</v>
      </c>
      <c r="G47" s="418"/>
      <c r="H47" s="371"/>
      <c r="I47" s="371"/>
      <c r="J47" s="415"/>
      <c r="K47" s="415"/>
      <c r="L47" s="371"/>
      <c r="M47" s="371"/>
      <c r="N47" s="37"/>
      <c r="O47" s="92"/>
      <c r="U47" s="415">
        <v>11.9</v>
      </c>
      <c r="V47" s="415"/>
    </row>
    <row r="48" spans="1:22" ht="13.9" customHeight="1" x14ac:dyDescent="0.3">
      <c r="A48" s="427"/>
      <c r="B48" s="428"/>
      <c r="C48" s="414" t="s">
        <v>137</v>
      </c>
      <c r="D48" s="404"/>
      <c r="E48" s="103">
        <v>0.125</v>
      </c>
      <c r="F48" s="418">
        <v>125</v>
      </c>
      <c r="G48" s="418"/>
      <c r="H48" s="371"/>
      <c r="I48" s="371"/>
      <c r="J48" s="415"/>
      <c r="K48" s="415"/>
      <c r="L48" s="371"/>
      <c r="M48" s="371"/>
      <c r="N48" s="37"/>
      <c r="O48" s="92"/>
    </row>
    <row r="49" spans="1:15" ht="12.6" customHeight="1" x14ac:dyDescent="0.25">
      <c r="A49" s="420" t="s">
        <v>94</v>
      </c>
      <c r="B49" s="421"/>
      <c r="C49" s="421"/>
      <c r="D49" s="422"/>
      <c r="E49" s="102">
        <v>0.1</v>
      </c>
      <c r="F49" s="418">
        <v>100</v>
      </c>
      <c r="G49" s="418"/>
      <c r="H49" s="371"/>
      <c r="I49" s="371"/>
      <c r="J49" s="415">
        <v>65.099999999999994</v>
      </c>
      <c r="K49" s="415"/>
      <c r="L49" s="371">
        <f>J49+L46</f>
        <v>227.6</v>
      </c>
      <c r="M49" s="371"/>
      <c r="N49" s="101">
        <f>L49/C17*100</f>
        <v>75.86666666666666</v>
      </c>
      <c r="O49" s="92">
        <f>100-N49</f>
        <v>24.13333333333334</v>
      </c>
    </row>
    <row r="50" spans="1:15" ht="12.6" customHeight="1" x14ac:dyDescent="0.25">
      <c r="A50" s="416" t="s">
        <v>95</v>
      </c>
      <c r="B50" s="417"/>
      <c r="C50" s="42"/>
      <c r="D50" s="95" t="s">
        <v>96</v>
      </c>
      <c r="E50" s="106">
        <v>0.08</v>
      </c>
      <c r="F50" s="418">
        <v>80</v>
      </c>
      <c r="G50" s="418"/>
      <c r="H50" s="371"/>
      <c r="I50" s="371"/>
      <c r="J50" s="415">
        <v>8.1999999999999993</v>
      </c>
      <c r="K50" s="415"/>
      <c r="L50" s="373">
        <f>J50+L49</f>
        <v>235.79999999999998</v>
      </c>
      <c r="M50" s="374"/>
      <c r="N50" s="37">
        <f>L50/C17*100</f>
        <v>78.599999999999994</v>
      </c>
      <c r="O50" s="92">
        <f>100-N50</f>
        <v>21.400000000000006</v>
      </c>
    </row>
    <row r="51" spans="1:15" ht="34.9" customHeight="1" x14ac:dyDescent="0.25">
      <c r="A51" s="419" t="s">
        <v>97</v>
      </c>
      <c r="B51" s="419"/>
      <c r="C51" s="419"/>
      <c r="D51" s="419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</row>
    <row r="52" spans="1:15" ht="9.6" customHeight="1" x14ac:dyDescent="0.25">
      <c r="A52" s="352"/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</row>
    <row r="53" spans="1:15" ht="15" customHeight="1" x14ac:dyDescent="0.25">
      <c r="A53" s="405" t="s">
        <v>11</v>
      </c>
      <c r="B53" s="406"/>
      <c r="C53" s="406"/>
      <c r="D53" s="406"/>
      <c r="E53" s="406"/>
      <c r="F53" s="406"/>
      <c r="G53" s="411" t="s">
        <v>52</v>
      </c>
      <c r="H53" s="357"/>
      <c r="I53" s="357"/>
      <c r="J53" s="357"/>
      <c r="K53" s="357"/>
      <c r="L53" s="107"/>
      <c r="M53" s="107"/>
      <c r="N53" s="107"/>
      <c r="O53" s="108"/>
    </row>
    <row r="54" spans="1:15" ht="7.9" customHeight="1" x14ac:dyDescent="0.25">
      <c r="A54" s="407"/>
      <c r="B54" s="408"/>
      <c r="C54" s="408"/>
      <c r="D54" s="408"/>
      <c r="E54" s="408"/>
      <c r="F54" s="408"/>
      <c r="G54" s="111"/>
      <c r="H54" s="109"/>
      <c r="I54" s="375" t="s">
        <v>103</v>
      </c>
      <c r="J54" s="375"/>
      <c r="K54" s="375"/>
      <c r="L54" s="375"/>
      <c r="M54" s="375"/>
      <c r="N54" s="109"/>
      <c r="O54" s="110"/>
    </row>
    <row r="55" spans="1:15" ht="10.9" customHeight="1" x14ac:dyDescent="0.25">
      <c r="A55" s="407"/>
      <c r="B55" s="408"/>
      <c r="C55" s="408"/>
      <c r="D55" s="408"/>
      <c r="E55" s="408"/>
      <c r="F55" s="408"/>
      <c r="G55" s="412" t="s">
        <v>98</v>
      </c>
      <c r="H55" s="375"/>
      <c r="I55" s="375"/>
      <c r="J55" s="375"/>
      <c r="K55" s="375"/>
      <c r="L55" s="375"/>
      <c r="M55" s="375"/>
      <c r="N55" s="109"/>
      <c r="O55" s="110"/>
    </row>
    <row r="56" spans="1:15" ht="2.4500000000000002" customHeight="1" x14ac:dyDescent="0.25">
      <c r="A56" s="407"/>
      <c r="B56" s="408"/>
      <c r="C56" s="408"/>
      <c r="D56" s="408"/>
      <c r="E56" s="408"/>
      <c r="F56" s="408"/>
      <c r="G56" s="412"/>
      <c r="H56" s="375"/>
      <c r="I56" s="375"/>
      <c r="J56" s="375"/>
      <c r="K56" s="375"/>
      <c r="L56" s="375"/>
      <c r="M56" s="375"/>
      <c r="N56" s="375"/>
      <c r="O56" s="413"/>
    </row>
    <row r="57" spans="1:15" ht="24.6" customHeight="1" x14ac:dyDescent="0.25">
      <c r="A57" s="409"/>
      <c r="B57" s="410"/>
      <c r="C57" s="410"/>
      <c r="D57" s="410"/>
      <c r="E57" s="410"/>
      <c r="F57" s="410"/>
      <c r="G57" s="414" t="s">
        <v>99</v>
      </c>
      <c r="H57" s="403"/>
      <c r="I57" s="403"/>
      <c r="J57" s="403"/>
      <c r="K57" s="403"/>
      <c r="L57" s="403"/>
      <c r="M57" s="403"/>
      <c r="N57" s="403"/>
      <c r="O57" s="404"/>
    </row>
  </sheetData>
  <mergeCells count="215">
    <mergeCell ref="U44:V44"/>
    <mergeCell ref="U45:V45"/>
    <mergeCell ref="U46:V46"/>
    <mergeCell ref="U47:V47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35"/>
  <sheetViews>
    <sheetView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13"/>
      <c r="B1" s="500" t="s">
        <v>100</v>
      </c>
      <c r="C1" s="501"/>
      <c r="D1" s="501"/>
      <c r="E1" s="501"/>
      <c r="F1" s="501"/>
      <c r="G1" s="501"/>
      <c r="H1" s="501"/>
      <c r="I1" s="501"/>
      <c r="J1" s="501"/>
      <c r="K1" s="501"/>
      <c r="L1" s="391" t="s">
        <v>54</v>
      </c>
      <c r="M1" s="392"/>
      <c r="N1" s="393" t="s">
        <v>55</v>
      </c>
      <c r="O1" s="394"/>
    </row>
    <row r="2" spans="1:15" x14ac:dyDescent="0.25">
      <c r="A2" s="395" t="s">
        <v>27</v>
      </c>
      <c r="B2" s="397" t="s">
        <v>138</v>
      </c>
      <c r="C2" s="398"/>
      <c r="D2" s="398"/>
      <c r="E2" s="398"/>
      <c r="F2" s="398"/>
      <c r="G2" s="398"/>
      <c r="H2" s="398"/>
      <c r="I2" s="398"/>
      <c r="J2" s="398"/>
      <c r="K2" s="398"/>
      <c r="L2" s="326" t="s">
        <v>56</v>
      </c>
      <c r="M2" s="491"/>
      <c r="N2" s="492" t="s">
        <v>57</v>
      </c>
      <c r="O2" s="492"/>
    </row>
    <row r="3" spans="1:15" x14ac:dyDescent="0.25">
      <c r="A3" s="395"/>
      <c r="B3" s="397"/>
      <c r="C3" s="398"/>
      <c r="D3" s="398"/>
      <c r="E3" s="398"/>
      <c r="F3" s="398"/>
      <c r="G3" s="398"/>
      <c r="H3" s="398"/>
      <c r="I3" s="398"/>
      <c r="J3" s="398"/>
      <c r="K3" s="398"/>
      <c r="L3" s="326" t="s">
        <v>58</v>
      </c>
      <c r="M3" s="491"/>
      <c r="N3" s="492" t="s">
        <v>59</v>
      </c>
      <c r="O3" s="492"/>
    </row>
    <row r="4" spans="1:15" ht="15.75" thickBot="1" x14ac:dyDescent="0.3">
      <c r="A4" s="396"/>
      <c r="B4" s="502" t="s">
        <v>101</v>
      </c>
      <c r="C4" s="503"/>
      <c r="D4" s="503"/>
      <c r="E4" s="503"/>
      <c r="F4" s="503"/>
      <c r="G4" s="503"/>
      <c r="H4" s="503"/>
      <c r="I4" s="503"/>
      <c r="J4" s="503"/>
      <c r="K4" s="503"/>
      <c r="L4" s="494" t="s">
        <v>61</v>
      </c>
      <c r="M4" s="495"/>
      <c r="N4" s="496" t="s">
        <v>62</v>
      </c>
      <c r="O4" s="497"/>
    </row>
    <row r="5" spans="1:15" x14ac:dyDescent="0.25">
      <c r="A5" s="498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</row>
    <row r="6" spans="1:15" x14ac:dyDescent="0.25">
      <c r="A6" s="32" t="s">
        <v>31</v>
      </c>
      <c r="B6" s="385">
        <f>'Granulo P1'!B6:E6</f>
        <v>43811</v>
      </c>
      <c r="C6" s="376"/>
      <c r="D6" s="376"/>
      <c r="E6" s="376"/>
      <c r="F6" s="376"/>
      <c r="G6" s="499" t="s">
        <v>32</v>
      </c>
      <c r="H6" s="499"/>
      <c r="I6" s="499"/>
      <c r="J6" s="499"/>
      <c r="K6" s="499"/>
      <c r="L6" s="376" t="str">
        <f>'Granulo P1'!K6</f>
        <v>Puit 2 - 2ème couche</v>
      </c>
      <c r="M6" s="376"/>
      <c r="N6" s="376"/>
      <c r="O6" s="374"/>
    </row>
    <row r="7" spans="1:15" ht="13.9" customHeight="1" x14ac:dyDescent="0.25">
      <c r="A7" s="352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</row>
    <row r="8" spans="1:15" ht="4.1500000000000004" hidden="1" customHeight="1" x14ac:dyDescent="0.25">
      <c r="A8" s="378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</row>
    <row r="9" spans="1:15" x14ac:dyDescent="0.25">
      <c r="A9" s="383" t="s">
        <v>33</v>
      </c>
      <c r="B9" s="379"/>
      <c r="C9" s="379"/>
      <c r="D9" s="379"/>
      <c r="E9" s="379"/>
      <c r="F9" s="379"/>
      <c r="G9" s="379"/>
      <c r="H9" s="379"/>
      <c r="I9" s="378"/>
      <c r="J9" s="378"/>
      <c r="K9" s="378"/>
      <c r="L9" s="378"/>
      <c r="M9" s="378"/>
      <c r="N9" s="378"/>
      <c r="O9" s="378"/>
    </row>
    <row r="10" spans="1:15" ht="7.15" customHeight="1" x14ac:dyDescent="0.25">
      <c r="A10" s="337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</row>
    <row r="11" spans="1:15" ht="3.6" hidden="1" customHeight="1" x14ac:dyDescent="0.25">
      <c r="A11" s="337"/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6"/>
    </row>
    <row r="12" spans="1:15" ht="17.25" x14ac:dyDescent="0.3">
      <c r="A12" s="84" t="s">
        <v>121</v>
      </c>
      <c r="B12" s="85">
        <v>5</v>
      </c>
      <c r="C12" s="85" t="s">
        <v>35</v>
      </c>
      <c r="D12" s="85">
        <v>8</v>
      </c>
      <c r="E12" s="85">
        <v>10</v>
      </c>
      <c r="F12" s="85" t="s">
        <v>36</v>
      </c>
      <c r="G12" s="85">
        <v>16</v>
      </c>
      <c r="H12" s="85">
        <v>20</v>
      </c>
      <c r="I12" s="85">
        <v>25</v>
      </c>
      <c r="J12" s="85" t="s">
        <v>37</v>
      </c>
      <c r="K12" s="85">
        <v>40</v>
      </c>
      <c r="L12" s="85">
        <v>63</v>
      </c>
      <c r="M12" s="85">
        <v>80</v>
      </c>
      <c r="N12" s="475" t="s">
        <v>122</v>
      </c>
      <c r="O12" s="475"/>
    </row>
    <row r="13" spans="1:15" ht="17.25" x14ac:dyDescent="0.25">
      <c r="A13" s="86" t="s">
        <v>34</v>
      </c>
      <c r="B13" s="85" t="s">
        <v>38</v>
      </c>
      <c r="C13" s="85" t="s">
        <v>39</v>
      </c>
      <c r="D13" s="85" t="s">
        <v>40</v>
      </c>
      <c r="E13" s="85" t="s">
        <v>41</v>
      </c>
      <c r="F13" s="85" t="s">
        <v>42</v>
      </c>
      <c r="G13" s="85">
        <v>2</v>
      </c>
      <c r="H13" s="85">
        <v>3</v>
      </c>
      <c r="I13" s="85">
        <v>5</v>
      </c>
      <c r="J13" s="85">
        <v>8</v>
      </c>
      <c r="K13" s="85">
        <v>12</v>
      </c>
      <c r="L13" s="85">
        <v>30</v>
      </c>
      <c r="M13" s="85">
        <v>50</v>
      </c>
      <c r="N13" s="418" t="s">
        <v>123</v>
      </c>
      <c r="O13" s="418"/>
    </row>
    <row r="14" spans="1:15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</row>
    <row r="17" spans="1:24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24" ht="15.75" thickBo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1:24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T19" s="18">
        <v>40</v>
      </c>
      <c r="U19" s="19">
        <f>'Granulo P1'!O23</f>
        <v>100</v>
      </c>
    </row>
    <row r="20" spans="1:2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T20" s="20">
        <v>31.5</v>
      </c>
      <c r="U20" s="21">
        <f>'Granulo P1'!O24</f>
        <v>100</v>
      </c>
    </row>
    <row r="21" spans="1:24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T21" s="20">
        <v>20</v>
      </c>
      <c r="U21" s="21">
        <f>'Granulo P1'!O26</f>
        <v>100</v>
      </c>
    </row>
    <row r="22" spans="1:24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T22" s="20">
        <v>10</v>
      </c>
      <c r="U22" s="21">
        <f>'Granulo P1'!O29</f>
        <v>91.733333333333334</v>
      </c>
    </row>
    <row r="23" spans="1:24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T23" s="20">
        <v>5</v>
      </c>
      <c r="U23" s="21">
        <f>'Granulo P1'!O32</f>
        <v>90.333333333333329</v>
      </c>
    </row>
    <row r="24" spans="1:24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T24" s="20">
        <v>2</v>
      </c>
      <c r="U24" s="21">
        <f>'Granulo P1'!O36</f>
        <v>89.1</v>
      </c>
    </row>
    <row r="25" spans="1:2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T25" s="20">
        <v>1</v>
      </c>
      <c r="U25" s="21">
        <f>'Granulo P1'!O39</f>
        <v>87.36666666666666</v>
      </c>
      <c r="X25" s="92">
        <v>100</v>
      </c>
    </row>
    <row r="26" spans="1:24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T26" s="20">
        <v>0.4</v>
      </c>
      <c r="U26" s="21">
        <f>'Granulo P1'!O43</f>
        <v>71.400000000000006</v>
      </c>
      <c r="X26" s="92">
        <v>81.966666666666669</v>
      </c>
    </row>
    <row r="27" spans="1:24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T27" s="20">
        <v>0.2</v>
      </c>
      <c r="U27" s="21">
        <f>'Granulo P1'!O46</f>
        <v>45.833333333333336</v>
      </c>
      <c r="X27" s="92">
        <v>39.06666666666667</v>
      </c>
    </row>
    <row r="28" spans="1:24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T28" s="20">
        <v>0.1</v>
      </c>
      <c r="U28" s="21">
        <f>'Granulo P1'!O49</f>
        <v>24.13333333333334</v>
      </c>
      <c r="X28" s="92">
        <v>11.933333333333337</v>
      </c>
    </row>
    <row r="29" spans="1:24" ht="15.75" thickBot="1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T29" s="22">
        <v>0.08</v>
      </c>
      <c r="U29" s="23">
        <f>'Granulo P1'!O50</f>
        <v>21.400000000000006</v>
      </c>
      <c r="X29" s="92">
        <v>7.9666666666666828</v>
      </c>
    </row>
    <row r="30" spans="1:2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T30" s="1"/>
      <c r="U30" s="1"/>
    </row>
    <row r="31" spans="1:24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T31" s="1"/>
      <c r="U31" s="1"/>
    </row>
    <row r="32" spans="1:24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T32" s="1"/>
      <c r="U32" s="1"/>
    </row>
    <row r="33" spans="1:2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T33" s="1"/>
      <c r="U33" s="1"/>
    </row>
    <row r="34" spans="1:2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2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99" zoomScaleNormal="99" workbookViewId="0">
      <selection activeCell="K8" sqref="K8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391"/>
      <c r="B1" s="392"/>
      <c r="C1" s="392"/>
      <c r="D1" s="392"/>
      <c r="E1" s="392"/>
      <c r="F1" s="392"/>
      <c r="G1" s="392"/>
      <c r="H1" s="392"/>
      <c r="I1" s="507"/>
    </row>
    <row r="2" spans="1:9" x14ac:dyDescent="0.25">
      <c r="A2" s="326"/>
      <c r="B2" s="491"/>
      <c r="C2" s="491"/>
      <c r="D2" s="491"/>
      <c r="E2" s="491"/>
      <c r="F2" s="491"/>
      <c r="G2" s="491"/>
      <c r="H2" s="491"/>
      <c r="I2" s="508"/>
    </row>
    <row r="3" spans="1:9" x14ac:dyDescent="0.25">
      <c r="A3" s="326"/>
      <c r="B3" s="491"/>
      <c r="C3" s="491"/>
      <c r="D3" s="491"/>
      <c r="E3" s="491"/>
      <c r="F3" s="491"/>
      <c r="G3" s="491"/>
      <c r="H3" s="491"/>
      <c r="I3" s="508"/>
    </row>
    <row r="4" spans="1:9" x14ac:dyDescent="0.25">
      <c r="A4" s="326"/>
      <c r="B4" s="491"/>
      <c r="C4" s="491"/>
      <c r="D4" s="491"/>
      <c r="E4" s="491"/>
      <c r="F4" s="491"/>
      <c r="G4" s="491"/>
      <c r="H4" s="491"/>
      <c r="I4" s="508"/>
    </row>
    <row r="5" spans="1:9" x14ac:dyDescent="0.25">
      <c r="A5" s="326"/>
      <c r="B5" s="491"/>
      <c r="C5" s="491"/>
      <c r="D5" s="491"/>
      <c r="E5" s="491"/>
      <c r="F5" s="491"/>
      <c r="G5" s="491"/>
      <c r="H5" s="491"/>
      <c r="I5" s="508"/>
    </row>
    <row r="6" spans="1:9" x14ac:dyDescent="0.25">
      <c r="A6" s="326"/>
      <c r="B6" s="491"/>
      <c r="C6" s="491"/>
      <c r="D6" s="491"/>
      <c r="E6" s="491"/>
      <c r="F6" s="491"/>
      <c r="G6" s="491"/>
      <c r="H6" s="491"/>
      <c r="I6" s="508"/>
    </row>
    <row r="7" spans="1:9" x14ac:dyDescent="0.25">
      <c r="A7" s="326"/>
      <c r="B7" s="491"/>
      <c r="C7" s="491"/>
      <c r="D7" s="491"/>
      <c r="E7" s="491"/>
      <c r="F7" s="491"/>
      <c r="G7" s="491"/>
      <c r="H7" s="491"/>
      <c r="I7" s="508"/>
    </row>
    <row r="8" spans="1:9" x14ac:dyDescent="0.25">
      <c r="A8" s="326"/>
      <c r="B8" s="491"/>
      <c r="C8" s="491"/>
      <c r="D8" s="491"/>
      <c r="E8" s="491"/>
      <c r="F8" s="491"/>
      <c r="G8" s="491"/>
      <c r="H8" s="491"/>
      <c r="I8" s="508"/>
    </row>
    <row r="9" spans="1:9" x14ac:dyDescent="0.25">
      <c r="A9" s="326"/>
      <c r="B9" s="491"/>
      <c r="C9" s="491"/>
      <c r="D9" s="491"/>
      <c r="E9" s="491"/>
      <c r="F9" s="491"/>
      <c r="G9" s="491"/>
      <c r="H9" s="491"/>
      <c r="I9" s="508"/>
    </row>
    <row r="10" spans="1:9" x14ac:dyDescent="0.25">
      <c r="A10" s="326"/>
      <c r="B10" s="491"/>
      <c r="C10" s="491"/>
      <c r="D10" s="491"/>
      <c r="E10" s="491"/>
      <c r="F10" s="491"/>
      <c r="G10" s="491"/>
      <c r="H10" s="491"/>
      <c r="I10" s="508"/>
    </row>
    <row r="11" spans="1:9" ht="27" x14ac:dyDescent="0.5">
      <c r="A11" s="509" t="s">
        <v>185</v>
      </c>
      <c r="B11" s="510"/>
      <c r="C11" s="510"/>
      <c r="D11" s="510"/>
      <c r="E11" s="510"/>
      <c r="F11" s="510"/>
      <c r="G11" s="510"/>
      <c r="H11" s="510"/>
      <c r="I11" s="511"/>
    </row>
    <row r="12" spans="1:9" x14ac:dyDescent="0.25">
      <c r="A12" s="512"/>
      <c r="B12" s="513"/>
      <c r="C12" s="513"/>
      <c r="D12" s="513"/>
      <c r="E12" s="513"/>
      <c r="F12" s="513"/>
      <c r="G12" s="513"/>
      <c r="H12" s="513"/>
      <c r="I12" s="514"/>
    </row>
    <row r="13" spans="1:9" x14ac:dyDescent="0.25">
      <c r="A13" s="504"/>
      <c r="B13" s="505"/>
      <c r="C13" s="505"/>
      <c r="D13" s="505"/>
      <c r="E13" s="505"/>
      <c r="F13" s="505"/>
      <c r="G13" s="515" t="s">
        <v>202</v>
      </c>
      <c r="H13" s="515"/>
      <c r="I13" s="516"/>
    </row>
    <row r="14" spans="1:9" x14ac:dyDescent="0.25">
      <c r="A14" s="504"/>
      <c r="B14" s="505"/>
      <c r="C14" s="505"/>
      <c r="D14" s="505"/>
      <c r="E14" s="505"/>
      <c r="F14" s="505"/>
      <c r="G14" s="505"/>
      <c r="H14" s="505"/>
      <c r="I14" s="506"/>
    </row>
    <row r="15" spans="1:9" x14ac:dyDescent="0.25">
      <c r="A15" s="504"/>
      <c r="B15" s="505"/>
      <c r="C15" s="505"/>
      <c r="D15" s="505"/>
      <c r="E15" s="515" t="s">
        <v>201</v>
      </c>
      <c r="F15" s="515"/>
      <c r="G15" s="515"/>
      <c r="H15" s="515"/>
      <c r="I15" s="516"/>
    </row>
    <row r="16" spans="1:9" x14ac:dyDescent="0.25">
      <c r="A16" s="517" t="s">
        <v>203</v>
      </c>
      <c r="B16" s="518"/>
      <c r="C16" s="518"/>
      <c r="D16" s="518"/>
      <c r="E16" s="518"/>
      <c r="F16" s="518"/>
      <c r="G16" s="518"/>
      <c r="H16" s="518"/>
      <c r="I16" s="519"/>
    </row>
    <row r="17" spans="1:9" ht="31.9" customHeight="1" x14ac:dyDescent="0.25">
      <c r="A17" s="520" t="s">
        <v>186</v>
      </c>
      <c r="B17" s="521"/>
      <c r="C17" s="521"/>
      <c r="D17" s="521"/>
      <c r="E17" s="521"/>
      <c r="F17" s="522"/>
      <c r="G17" s="194">
        <v>8</v>
      </c>
      <c r="H17" s="195">
        <v>4</v>
      </c>
      <c r="I17" s="196"/>
    </row>
    <row r="18" spans="1:9" x14ac:dyDescent="0.25">
      <c r="A18" s="523" t="s">
        <v>187</v>
      </c>
      <c r="B18" s="524"/>
      <c r="C18" s="524"/>
      <c r="D18" s="524"/>
      <c r="E18" s="524"/>
      <c r="F18" s="525"/>
      <c r="G18" s="526">
        <v>259.39999999999998</v>
      </c>
      <c r="H18" s="526">
        <v>289</v>
      </c>
      <c r="I18" s="528"/>
    </row>
    <row r="19" spans="1:9" x14ac:dyDescent="0.25">
      <c r="A19" s="523"/>
      <c r="B19" s="524"/>
      <c r="C19" s="524"/>
      <c r="D19" s="524"/>
      <c r="E19" s="524"/>
      <c r="F19" s="525"/>
      <c r="G19" s="527"/>
      <c r="H19" s="527"/>
      <c r="I19" s="529"/>
    </row>
    <row r="20" spans="1:9" x14ac:dyDescent="0.25">
      <c r="A20" s="523" t="s">
        <v>188</v>
      </c>
      <c r="B20" s="524"/>
      <c r="C20" s="524"/>
      <c r="D20" s="524"/>
      <c r="E20" s="524"/>
      <c r="F20" s="525"/>
      <c r="G20" s="526">
        <v>610.1</v>
      </c>
      <c r="H20" s="526">
        <v>639.9</v>
      </c>
      <c r="I20" s="528"/>
    </row>
    <row r="21" spans="1:9" x14ac:dyDescent="0.25">
      <c r="A21" s="523"/>
      <c r="B21" s="524"/>
      <c r="C21" s="524"/>
      <c r="D21" s="524"/>
      <c r="E21" s="524"/>
      <c r="F21" s="525"/>
      <c r="G21" s="527"/>
      <c r="H21" s="527"/>
      <c r="I21" s="529"/>
    </row>
    <row r="22" spans="1:9" x14ac:dyDescent="0.25">
      <c r="A22" s="523" t="s">
        <v>189</v>
      </c>
      <c r="B22" s="524"/>
      <c r="C22" s="524"/>
      <c r="D22" s="524"/>
      <c r="E22" s="524"/>
      <c r="F22" s="525"/>
      <c r="G22" s="526">
        <v>1005.5</v>
      </c>
      <c r="H22" s="526">
        <v>1026.2</v>
      </c>
      <c r="I22" s="528"/>
    </row>
    <row r="23" spans="1:9" x14ac:dyDescent="0.25">
      <c r="A23" s="523"/>
      <c r="B23" s="524"/>
      <c r="C23" s="524"/>
      <c r="D23" s="524"/>
      <c r="E23" s="524"/>
      <c r="F23" s="525"/>
      <c r="G23" s="527"/>
      <c r="H23" s="527"/>
      <c r="I23" s="529"/>
    </row>
    <row r="24" spans="1:9" x14ac:dyDescent="0.25">
      <c r="A24" s="523" t="s">
        <v>190</v>
      </c>
      <c r="B24" s="524"/>
      <c r="C24" s="524"/>
      <c r="D24" s="524"/>
      <c r="E24" s="524"/>
      <c r="F24" s="525"/>
      <c r="G24" s="526">
        <v>793.5</v>
      </c>
      <c r="H24" s="526">
        <v>814.2</v>
      </c>
      <c r="I24" s="528"/>
    </row>
    <row r="25" spans="1:9" x14ac:dyDescent="0.25">
      <c r="A25" s="523"/>
      <c r="B25" s="524"/>
      <c r="C25" s="524"/>
      <c r="D25" s="524"/>
      <c r="E25" s="524"/>
      <c r="F25" s="525"/>
      <c r="G25" s="527"/>
      <c r="H25" s="527"/>
      <c r="I25" s="529"/>
    </row>
    <row r="26" spans="1:9" ht="31.9" customHeight="1" x14ac:dyDescent="0.25">
      <c r="A26" s="523"/>
      <c r="B26" s="524"/>
      <c r="C26" s="524"/>
      <c r="D26" s="524"/>
      <c r="E26" s="524"/>
      <c r="F26" s="525"/>
      <c r="G26" s="530"/>
      <c r="H26" s="531"/>
      <c r="I26" s="532"/>
    </row>
    <row r="27" spans="1:9" x14ac:dyDescent="0.25">
      <c r="A27" s="523"/>
      <c r="B27" s="524"/>
      <c r="C27" s="524"/>
      <c r="D27" s="524"/>
      <c r="E27" s="524"/>
      <c r="F27" s="525"/>
      <c r="G27" s="533"/>
      <c r="H27" s="534"/>
      <c r="I27" s="535"/>
    </row>
    <row r="28" spans="1:9" x14ac:dyDescent="0.25">
      <c r="A28" s="523" t="s">
        <v>191</v>
      </c>
      <c r="B28" s="524"/>
      <c r="C28" s="524"/>
      <c r="D28" s="524"/>
      <c r="E28" s="524"/>
      <c r="F28" s="525"/>
      <c r="G28" s="526">
        <f>G24-G18</f>
        <v>534.1</v>
      </c>
      <c r="H28" s="526">
        <f>H24-H18</f>
        <v>525.20000000000005</v>
      </c>
      <c r="I28" s="536"/>
    </row>
    <row r="29" spans="1:9" x14ac:dyDescent="0.25">
      <c r="A29" s="523"/>
      <c r="B29" s="524"/>
      <c r="C29" s="524"/>
      <c r="D29" s="524"/>
      <c r="E29" s="524"/>
      <c r="F29" s="525"/>
      <c r="G29" s="527"/>
      <c r="H29" s="527"/>
      <c r="I29" s="537"/>
    </row>
    <row r="30" spans="1:9" x14ac:dyDescent="0.25">
      <c r="A30" s="523" t="s">
        <v>192</v>
      </c>
      <c r="B30" s="524"/>
      <c r="C30" s="524"/>
      <c r="D30" s="524"/>
      <c r="E30" s="524"/>
      <c r="F30" s="525"/>
      <c r="G30" s="526">
        <f>G20-G18</f>
        <v>350.70000000000005</v>
      </c>
      <c r="H30" s="538">
        <f>H20-H18</f>
        <v>350.9</v>
      </c>
      <c r="I30" s="528"/>
    </row>
    <row r="31" spans="1:9" x14ac:dyDescent="0.25">
      <c r="A31" s="523"/>
      <c r="B31" s="524"/>
      <c r="C31" s="524"/>
      <c r="D31" s="524"/>
      <c r="E31" s="524"/>
      <c r="F31" s="525"/>
      <c r="G31" s="527"/>
      <c r="H31" s="539"/>
      <c r="I31" s="529"/>
    </row>
    <row r="32" spans="1:9" x14ac:dyDescent="0.25">
      <c r="A32" s="523" t="s">
        <v>193</v>
      </c>
      <c r="B32" s="524"/>
      <c r="C32" s="524"/>
      <c r="D32" s="524"/>
      <c r="E32" s="524"/>
      <c r="F32" s="525"/>
      <c r="G32" s="526">
        <f>G22-G20</f>
        <v>395.4</v>
      </c>
      <c r="H32" s="526">
        <f>H22-H20</f>
        <v>386.30000000000007</v>
      </c>
      <c r="I32" s="528"/>
    </row>
    <row r="33" spans="1:9" x14ac:dyDescent="0.25">
      <c r="A33" s="523"/>
      <c r="B33" s="524"/>
      <c r="C33" s="524"/>
      <c r="D33" s="524"/>
      <c r="E33" s="524"/>
      <c r="F33" s="525"/>
      <c r="G33" s="527"/>
      <c r="H33" s="527"/>
      <c r="I33" s="529"/>
    </row>
    <row r="34" spans="1:9" x14ac:dyDescent="0.25">
      <c r="A34" s="523" t="s">
        <v>194</v>
      </c>
      <c r="B34" s="524"/>
      <c r="C34" s="524"/>
      <c r="D34" s="524"/>
      <c r="E34" s="524"/>
      <c r="F34" s="525"/>
      <c r="G34" s="526">
        <f>G28-G32</f>
        <v>138.70000000000005</v>
      </c>
      <c r="H34" s="526">
        <f>H28-H32</f>
        <v>138.89999999999998</v>
      </c>
      <c r="I34" s="528"/>
    </row>
    <row r="35" spans="1:9" x14ac:dyDescent="0.25">
      <c r="A35" s="523"/>
      <c r="B35" s="524"/>
      <c r="C35" s="524"/>
      <c r="D35" s="524"/>
      <c r="E35" s="524"/>
      <c r="F35" s="525"/>
      <c r="G35" s="527"/>
      <c r="H35" s="527"/>
      <c r="I35" s="529"/>
    </row>
    <row r="36" spans="1:9" ht="38.450000000000003" customHeight="1" x14ac:dyDescent="0.25">
      <c r="A36" s="523" t="s">
        <v>195</v>
      </c>
      <c r="B36" s="524"/>
      <c r="C36" s="524"/>
      <c r="D36" s="524"/>
      <c r="E36" s="524"/>
      <c r="F36" s="525"/>
      <c r="G36" s="530"/>
      <c r="H36" s="531"/>
      <c r="I36" s="532"/>
    </row>
    <row r="37" spans="1:9" x14ac:dyDescent="0.25">
      <c r="A37" s="523"/>
      <c r="B37" s="524"/>
      <c r="C37" s="524"/>
      <c r="D37" s="524"/>
      <c r="E37" s="524"/>
      <c r="F37" s="525"/>
      <c r="G37" s="533"/>
      <c r="H37" s="534"/>
      <c r="I37" s="535"/>
    </row>
    <row r="38" spans="1:9" x14ac:dyDescent="0.25">
      <c r="A38" s="552" t="s">
        <v>196</v>
      </c>
      <c r="B38" s="553"/>
      <c r="C38" s="553"/>
      <c r="D38" s="553"/>
      <c r="E38" s="553"/>
      <c r="F38" s="554"/>
      <c r="G38" s="555">
        <f>G30/G34</f>
        <v>2.5284787310742605</v>
      </c>
      <c r="H38" s="555">
        <f>H30/H34</f>
        <v>2.5262778977681788</v>
      </c>
      <c r="I38" s="557"/>
    </row>
    <row r="39" spans="1:9" x14ac:dyDescent="0.25">
      <c r="A39" s="552"/>
      <c r="B39" s="553"/>
      <c r="C39" s="553"/>
      <c r="D39" s="553"/>
      <c r="E39" s="553"/>
      <c r="F39" s="554"/>
      <c r="G39" s="556"/>
      <c r="H39" s="556"/>
      <c r="I39" s="558"/>
    </row>
    <row r="40" spans="1:9" ht="40.9" customHeight="1" x14ac:dyDescent="0.25">
      <c r="A40" s="523"/>
      <c r="B40" s="524"/>
      <c r="C40" s="524"/>
      <c r="D40" s="524"/>
      <c r="E40" s="524"/>
      <c r="F40" s="525"/>
      <c r="G40" s="530"/>
      <c r="H40" s="531"/>
      <c r="I40" s="532"/>
    </row>
    <row r="41" spans="1:9" x14ac:dyDescent="0.25">
      <c r="A41" s="523"/>
      <c r="B41" s="524"/>
      <c r="C41" s="524"/>
      <c r="D41" s="524"/>
      <c r="E41" s="524"/>
      <c r="F41" s="525"/>
      <c r="G41" s="533"/>
      <c r="H41" s="534"/>
      <c r="I41" s="535"/>
    </row>
    <row r="42" spans="1:9" x14ac:dyDescent="0.25">
      <c r="A42" s="559" t="s">
        <v>197</v>
      </c>
      <c r="B42" s="560"/>
      <c r="C42" s="560"/>
      <c r="D42" s="560"/>
      <c r="E42" s="560"/>
      <c r="F42" s="561"/>
      <c r="G42" s="565">
        <f>AVERAGE(G38,H38,I38)</f>
        <v>2.5273783144212194</v>
      </c>
      <c r="H42" s="566"/>
      <c r="I42" s="567"/>
    </row>
    <row r="43" spans="1:9" x14ac:dyDescent="0.25">
      <c r="A43" s="562"/>
      <c r="B43" s="563"/>
      <c r="C43" s="563"/>
      <c r="D43" s="563"/>
      <c r="E43" s="563"/>
      <c r="F43" s="564"/>
      <c r="G43" s="568"/>
      <c r="H43" s="569"/>
      <c r="I43" s="570"/>
    </row>
    <row r="44" spans="1:9" x14ac:dyDescent="0.25">
      <c r="A44" s="571" t="s">
        <v>198</v>
      </c>
      <c r="B44" s="572"/>
      <c r="C44" s="572"/>
      <c r="D44" s="572"/>
      <c r="E44" s="572"/>
      <c r="F44" s="572"/>
      <c r="G44" s="572"/>
      <c r="H44" s="572"/>
      <c r="I44" s="573"/>
    </row>
    <row r="45" spans="1:9" ht="19.149999999999999" customHeight="1" thickBot="1" x14ac:dyDescent="0.3">
      <c r="A45" s="574"/>
      <c r="B45" s="575"/>
      <c r="C45" s="575"/>
      <c r="D45" s="575"/>
      <c r="E45" s="575"/>
      <c r="F45" s="575"/>
      <c r="G45" s="575"/>
      <c r="H45" s="575"/>
      <c r="I45" s="576"/>
    </row>
    <row r="46" spans="1:9" ht="14.45" customHeight="1" x14ac:dyDescent="0.25">
      <c r="A46" s="540" t="s">
        <v>199</v>
      </c>
      <c r="B46" s="541"/>
      <c r="C46" s="541"/>
      <c r="D46" s="542"/>
      <c r="E46" s="546" t="s">
        <v>200</v>
      </c>
      <c r="F46" s="547"/>
      <c r="G46" s="547"/>
      <c r="H46" s="547"/>
      <c r="I46" s="548"/>
    </row>
    <row r="47" spans="1:9" ht="36" customHeight="1" thickBot="1" x14ac:dyDescent="0.3">
      <c r="A47" s="543"/>
      <c r="B47" s="544"/>
      <c r="C47" s="544"/>
      <c r="D47" s="545"/>
      <c r="E47" s="549"/>
      <c r="F47" s="550"/>
      <c r="G47" s="550"/>
      <c r="H47" s="550"/>
      <c r="I47" s="551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55"/>
  <sheetViews>
    <sheetView showGridLines="0" showWhiteSpace="0" topLeftCell="A22" zoomScale="130" zoomScaleNormal="130" workbookViewId="0">
      <selection activeCell="N31" sqref="N31"/>
    </sheetView>
  </sheetViews>
  <sheetFormatPr baseColWidth="10" defaultColWidth="8" defaultRowHeight="18" customHeight="1" x14ac:dyDescent="0.2"/>
  <cols>
    <col min="1" max="1" width="2.7109375" style="120" customWidth="1"/>
    <col min="2" max="2" width="13.140625" style="120" customWidth="1"/>
    <col min="3" max="3" width="13.28515625" style="120" customWidth="1"/>
    <col min="4" max="4" width="14.28515625" style="190" customWidth="1"/>
    <col min="5" max="5" width="8.85546875" style="190" customWidth="1"/>
    <col min="6" max="6" width="7.140625" style="190" customWidth="1"/>
    <col min="7" max="7" width="8.85546875" style="190" customWidth="1"/>
    <col min="8" max="8" width="7.28515625" style="190" customWidth="1"/>
    <col min="9" max="9" width="4.140625" style="190" customWidth="1"/>
    <col min="10" max="11" width="4.28515625" style="120" customWidth="1"/>
    <col min="12" max="12" width="5" style="120" customWidth="1"/>
    <col min="13" max="256" width="8" style="120"/>
    <col min="257" max="257" width="2.7109375" style="120" customWidth="1"/>
    <col min="258" max="258" width="13.140625" style="120" customWidth="1"/>
    <col min="259" max="259" width="13.28515625" style="120" customWidth="1"/>
    <col min="260" max="260" width="14.28515625" style="120" customWidth="1"/>
    <col min="261" max="261" width="8.85546875" style="120" customWidth="1"/>
    <col min="262" max="262" width="7.140625" style="120" customWidth="1"/>
    <col min="263" max="263" width="8.85546875" style="120" customWidth="1"/>
    <col min="264" max="264" width="7.28515625" style="120" customWidth="1"/>
    <col min="265" max="265" width="4.140625" style="120" customWidth="1"/>
    <col min="266" max="267" width="4.28515625" style="120" customWidth="1"/>
    <col min="268" max="268" width="5" style="120" customWidth="1"/>
    <col min="269" max="512" width="8" style="120"/>
    <col min="513" max="513" width="2.7109375" style="120" customWidth="1"/>
    <col min="514" max="514" width="13.140625" style="120" customWidth="1"/>
    <col min="515" max="515" width="13.28515625" style="120" customWidth="1"/>
    <col min="516" max="516" width="14.28515625" style="120" customWidth="1"/>
    <col min="517" max="517" width="8.85546875" style="120" customWidth="1"/>
    <col min="518" max="518" width="7.140625" style="120" customWidth="1"/>
    <col min="519" max="519" width="8.85546875" style="120" customWidth="1"/>
    <col min="520" max="520" width="7.28515625" style="120" customWidth="1"/>
    <col min="521" max="521" width="4.140625" style="120" customWidth="1"/>
    <col min="522" max="523" width="4.28515625" style="120" customWidth="1"/>
    <col min="524" max="524" width="5" style="120" customWidth="1"/>
    <col min="525" max="768" width="8" style="120"/>
    <col min="769" max="769" width="2.7109375" style="120" customWidth="1"/>
    <col min="770" max="770" width="13.140625" style="120" customWidth="1"/>
    <col min="771" max="771" width="13.28515625" style="120" customWidth="1"/>
    <col min="772" max="772" width="14.28515625" style="120" customWidth="1"/>
    <col min="773" max="773" width="8.85546875" style="120" customWidth="1"/>
    <col min="774" max="774" width="7.140625" style="120" customWidth="1"/>
    <col min="775" max="775" width="8.85546875" style="120" customWidth="1"/>
    <col min="776" max="776" width="7.28515625" style="120" customWidth="1"/>
    <col min="777" max="777" width="4.140625" style="120" customWidth="1"/>
    <col min="778" max="779" width="4.28515625" style="120" customWidth="1"/>
    <col min="780" max="780" width="5" style="120" customWidth="1"/>
    <col min="781" max="1024" width="8" style="120"/>
    <col min="1025" max="1025" width="2.7109375" style="120" customWidth="1"/>
    <col min="1026" max="1026" width="13.140625" style="120" customWidth="1"/>
    <col min="1027" max="1027" width="13.28515625" style="120" customWidth="1"/>
    <col min="1028" max="1028" width="14.28515625" style="120" customWidth="1"/>
    <col min="1029" max="1029" width="8.85546875" style="120" customWidth="1"/>
    <col min="1030" max="1030" width="7.140625" style="120" customWidth="1"/>
    <col min="1031" max="1031" width="8.85546875" style="120" customWidth="1"/>
    <col min="1032" max="1032" width="7.28515625" style="120" customWidth="1"/>
    <col min="1033" max="1033" width="4.140625" style="120" customWidth="1"/>
    <col min="1034" max="1035" width="4.28515625" style="120" customWidth="1"/>
    <col min="1036" max="1036" width="5" style="120" customWidth="1"/>
    <col min="1037" max="1280" width="8" style="120"/>
    <col min="1281" max="1281" width="2.7109375" style="120" customWidth="1"/>
    <col min="1282" max="1282" width="13.140625" style="120" customWidth="1"/>
    <col min="1283" max="1283" width="13.28515625" style="120" customWidth="1"/>
    <col min="1284" max="1284" width="14.28515625" style="120" customWidth="1"/>
    <col min="1285" max="1285" width="8.85546875" style="120" customWidth="1"/>
    <col min="1286" max="1286" width="7.140625" style="120" customWidth="1"/>
    <col min="1287" max="1287" width="8.85546875" style="120" customWidth="1"/>
    <col min="1288" max="1288" width="7.28515625" style="120" customWidth="1"/>
    <col min="1289" max="1289" width="4.140625" style="120" customWidth="1"/>
    <col min="1290" max="1291" width="4.28515625" style="120" customWidth="1"/>
    <col min="1292" max="1292" width="5" style="120" customWidth="1"/>
    <col min="1293" max="1536" width="8" style="120"/>
    <col min="1537" max="1537" width="2.7109375" style="120" customWidth="1"/>
    <col min="1538" max="1538" width="13.140625" style="120" customWidth="1"/>
    <col min="1539" max="1539" width="13.28515625" style="120" customWidth="1"/>
    <col min="1540" max="1540" width="14.28515625" style="120" customWidth="1"/>
    <col min="1541" max="1541" width="8.85546875" style="120" customWidth="1"/>
    <col min="1542" max="1542" width="7.140625" style="120" customWidth="1"/>
    <col min="1543" max="1543" width="8.85546875" style="120" customWidth="1"/>
    <col min="1544" max="1544" width="7.28515625" style="120" customWidth="1"/>
    <col min="1545" max="1545" width="4.140625" style="120" customWidth="1"/>
    <col min="1546" max="1547" width="4.28515625" style="120" customWidth="1"/>
    <col min="1548" max="1548" width="5" style="120" customWidth="1"/>
    <col min="1549" max="1792" width="8" style="120"/>
    <col min="1793" max="1793" width="2.7109375" style="120" customWidth="1"/>
    <col min="1794" max="1794" width="13.140625" style="120" customWidth="1"/>
    <col min="1795" max="1795" width="13.28515625" style="120" customWidth="1"/>
    <col min="1796" max="1796" width="14.28515625" style="120" customWidth="1"/>
    <col min="1797" max="1797" width="8.85546875" style="120" customWidth="1"/>
    <col min="1798" max="1798" width="7.140625" style="120" customWidth="1"/>
    <col min="1799" max="1799" width="8.85546875" style="120" customWidth="1"/>
    <col min="1800" max="1800" width="7.28515625" style="120" customWidth="1"/>
    <col min="1801" max="1801" width="4.140625" style="120" customWidth="1"/>
    <col min="1802" max="1803" width="4.28515625" style="120" customWidth="1"/>
    <col min="1804" max="1804" width="5" style="120" customWidth="1"/>
    <col min="1805" max="2048" width="8" style="120"/>
    <col min="2049" max="2049" width="2.7109375" style="120" customWidth="1"/>
    <col min="2050" max="2050" width="13.140625" style="120" customWidth="1"/>
    <col min="2051" max="2051" width="13.28515625" style="120" customWidth="1"/>
    <col min="2052" max="2052" width="14.28515625" style="120" customWidth="1"/>
    <col min="2053" max="2053" width="8.85546875" style="120" customWidth="1"/>
    <col min="2054" max="2054" width="7.140625" style="120" customWidth="1"/>
    <col min="2055" max="2055" width="8.85546875" style="120" customWidth="1"/>
    <col min="2056" max="2056" width="7.28515625" style="120" customWidth="1"/>
    <col min="2057" max="2057" width="4.140625" style="120" customWidth="1"/>
    <col min="2058" max="2059" width="4.28515625" style="120" customWidth="1"/>
    <col min="2060" max="2060" width="5" style="120" customWidth="1"/>
    <col min="2061" max="2304" width="8" style="120"/>
    <col min="2305" max="2305" width="2.7109375" style="120" customWidth="1"/>
    <col min="2306" max="2306" width="13.140625" style="120" customWidth="1"/>
    <col min="2307" max="2307" width="13.28515625" style="120" customWidth="1"/>
    <col min="2308" max="2308" width="14.28515625" style="120" customWidth="1"/>
    <col min="2309" max="2309" width="8.85546875" style="120" customWidth="1"/>
    <col min="2310" max="2310" width="7.140625" style="120" customWidth="1"/>
    <col min="2311" max="2311" width="8.85546875" style="120" customWidth="1"/>
    <col min="2312" max="2312" width="7.28515625" style="120" customWidth="1"/>
    <col min="2313" max="2313" width="4.140625" style="120" customWidth="1"/>
    <col min="2314" max="2315" width="4.28515625" style="120" customWidth="1"/>
    <col min="2316" max="2316" width="5" style="120" customWidth="1"/>
    <col min="2317" max="2560" width="8" style="120"/>
    <col min="2561" max="2561" width="2.7109375" style="120" customWidth="1"/>
    <col min="2562" max="2562" width="13.140625" style="120" customWidth="1"/>
    <col min="2563" max="2563" width="13.28515625" style="120" customWidth="1"/>
    <col min="2564" max="2564" width="14.28515625" style="120" customWidth="1"/>
    <col min="2565" max="2565" width="8.85546875" style="120" customWidth="1"/>
    <col min="2566" max="2566" width="7.140625" style="120" customWidth="1"/>
    <col min="2567" max="2567" width="8.85546875" style="120" customWidth="1"/>
    <col min="2568" max="2568" width="7.28515625" style="120" customWidth="1"/>
    <col min="2569" max="2569" width="4.140625" style="120" customWidth="1"/>
    <col min="2570" max="2571" width="4.28515625" style="120" customWidth="1"/>
    <col min="2572" max="2572" width="5" style="120" customWidth="1"/>
    <col min="2573" max="2816" width="8" style="120"/>
    <col min="2817" max="2817" width="2.7109375" style="120" customWidth="1"/>
    <col min="2818" max="2818" width="13.140625" style="120" customWidth="1"/>
    <col min="2819" max="2819" width="13.28515625" style="120" customWidth="1"/>
    <col min="2820" max="2820" width="14.28515625" style="120" customWidth="1"/>
    <col min="2821" max="2821" width="8.85546875" style="120" customWidth="1"/>
    <col min="2822" max="2822" width="7.140625" style="120" customWidth="1"/>
    <col min="2823" max="2823" width="8.85546875" style="120" customWidth="1"/>
    <col min="2824" max="2824" width="7.28515625" style="120" customWidth="1"/>
    <col min="2825" max="2825" width="4.140625" style="120" customWidth="1"/>
    <col min="2826" max="2827" width="4.28515625" style="120" customWidth="1"/>
    <col min="2828" max="2828" width="5" style="120" customWidth="1"/>
    <col min="2829" max="3072" width="8" style="120"/>
    <col min="3073" max="3073" width="2.7109375" style="120" customWidth="1"/>
    <col min="3074" max="3074" width="13.140625" style="120" customWidth="1"/>
    <col min="3075" max="3075" width="13.28515625" style="120" customWidth="1"/>
    <col min="3076" max="3076" width="14.28515625" style="120" customWidth="1"/>
    <col min="3077" max="3077" width="8.85546875" style="120" customWidth="1"/>
    <col min="3078" max="3078" width="7.140625" style="120" customWidth="1"/>
    <col min="3079" max="3079" width="8.85546875" style="120" customWidth="1"/>
    <col min="3080" max="3080" width="7.28515625" style="120" customWidth="1"/>
    <col min="3081" max="3081" width="4.140625" style="120" customWidth="1"/>
    <col min="3082" max="3083" width="4.28515625" style="120" customWidth="1"/>
    <col min="3084" max="3084" width="5" style="120" customWidth="1"/>
    <col min="3085" max="3328" width="8" style="120"/>
    <col min="3329" max="3329" width="2.7109375" style="120" customWidth="1"/>
    <col min="3330" max="3330" width="13.140625" style="120" customWidth="1"/>
    <col min="3331" max="3331" width="13.28515625" style="120" customWidth="1"/>
    <col min="3332" max="3332" width="14.28515625" style="120" customWidth="1"/>
    <col min="3333" max="3333" width="8.85546875" style="120" customWidth="1"/>
    <col min="3334" max="3334" width="7.140625" style="120" customWidth="1"/>
    <col min="3335" max="3335" width="8.85546875" style="120" customWidth="1"/>
    <col min="3336" max="3336" width="7.28515625" style="120" customWidth="1"/>
    <col min="3337" max="3337" width="4.140625" style="120" customWidth="1"/>
    <col min="3338" max="3339" width="4.28515625" style="120" customWidth="1"/>
    <col min="3340" max="3340" width="5" style="120" customWidth="1"/>
    <col min="3341" max="3584" width="8" style="120"/>
    <col min="3585" max="3585" width="2.7109375" style="120" customWidth="1"/>
    <col min="3586" max="3586" width="13.140625" style="120" customWidth="1"/>
    <col min="3587" max="3587" width="13.28515625" style="120" customWidth="1"/>
    <col min="3588" max="3588" width="14.28515625" style="120" customWidth="1"/>
    <col min="3589" max="3589" width="8.85546875" style="120" customWidth="1"/>
    <col min="3590" max="3590" width="7.140625" style="120" customWidth="1"/>
    <col min="3591" max="3591" width="8.85546875" style="120" customWidth="1"/>
    <col min="3592" max="3592" width="7.28515625" style="120" customWidth="1"/>
    <col min="3593" max="3593" width="4.140625" style="120" customWidth="1"/>
    <col min="3594" max="3595" width="4.28515625" style="120" customWidth="1"/>
    <col min="3596" max="3596" width="5" style="120" customWidth="1"/>
    <col min="3597" max="3840" width="8" style="120"/>
    <col min="3841" max="3841" width="2.7109375" style="120" customWidth="1"/>
    <col min="3842" max="3842" width="13.140625" style="120" customWidth="1"/>
    <col min="3843" max="3843" width="13.28515625" style="120" customWidth="1"/>
    <col min="3844" max="3844" width="14.28515625" style="120" customWidth="1"/>
    <col min="3845" max="3845" width="8.85546875" style="120" customWidth="1"/>
    <col min="3846" max="3846" width="7.140625" style="120" customWidth="1"/>
    <col min="3847" max="3847" width="8.85546875" style="120" customWidth="1"/>
    <col min="3848" max="3848" width="7.28515625" style="120" customWidth="1"/>
    <col min="3849" max="3849" width="4.140625" style="120" customWidth="1"/>
    <col min="3850" max="3851" width="4.28515625" style="120" customWidth="1"/>
    <col min="3852" max="3852" width="5" style="120" customWidth="1"/>
    <col min="3853" max="4096" width="8" style="120"/>
    <col min="4097" max="4097" width="2.7109375" style="120" customWidth="1"/>
    <col min="4098" max="4098" width="13.140625" style="120" customWidth="1"/>
    <col min="4099" max="4099" width="13.28515625" style="120" customWidth="1"/>
    <col min="4100" max="4100" width="14.28515625" style="120" customWidth="1"/>
    <col min="4101" max="4101" width="8.85546875" style="120" customWidth="1"/>
    <col min="4102" max="4102" width="7.140625" style="120" customWidth="1"/>
    <col min="4103" max="4103" width="8.85546875" style="120" customWidth="1"/>
    <col min="4104" max="4104" width="7.28515625" style="120" customWidth="1"/>
    <col min="4105" max="4105" width="4.140625" style="120" customWidth="1"/>
    <col min="4106" max="4107" width="4.28515625" style="120" customWidth="1"/>
    <col min="4108" max="4108" width="5" style="120" customWidth="1"/>
    <col min="4109" max="4352" width="8" style="120"/>
    <col min="4353" max="4353" width="2.7109375" style="120" customWidth="1"/>
    <col min="4354" max="4354" width="13.140625" style="120" customWidth="1"/>
    <col min="4355" max="4355" width="13.28515625" style="120" customWidth="1"/>
    <col min="4356" max="4356" width="14.28515625" style="120" customWidth="1"/>
    <col min="4357" max="4357" width="8.85546875" style="120" customWidth="1"/>
    <col min="4358" max="4358" width="7.140625" style="120" customWidth="1"/>
    <col min="4359" max="4359" width="8.85546875" style="120" customWidth="1"/>
    <col min="4360" max="4360" width="7.28515625" style="120" customWidth="1"/>
    <col min="4361" max="4361" width="4.140625" style="120" customWidth="1"/>
    <col min="4362" max="4363" width="4.28515625" style="120" customWidth="1"/>
    <col min="4364" max="4364" width="5" style="120" customWidth="1"/>
    <col min="4365" max="4608" width="8" style="120"/>
    <col min="4609" max="4609" width="2.7109375" style="120" customWidth="1"/>
    <col min="4610" max="4610" width="13.140625" style="120" customWidth="1"/>
    <col min="4611" max="4611" width="13.28515625" style="120" customWidth="1"/>
    <col min="4612" max="4612" width="14.28515625" style="120" customWidth="1"/>
    <col min="4613" max="4613" width="8.85546875" style="120" customWidth="1"/>
    <col min="4614" max="4614" width="7.140625" style="120" customWidth="1"/>
    <col min="4615" max="4615" width="8.85546875" style="120" customWidth="1"/>
    <col min="4616" max="4616" width="7.28515625" style="120" customWidth="1"/>
    <col min="4617" max="4617" width="4.140625" style="120" customWidth="1"/>
    <col min="4618" max="4619" width="4.28515625" style="120" customWidth="1"/>
    <col min="4620" max="4620" width="5" style="120" customWidth="1"/>
    <col min="4621" max="4864" width="8" style="120"/>
    <col min="4865" max="4865" width="2.7109375" style="120" customWidth="1"/>
    <col min="4866" max="4866" width="13.140625" style="120" customWidth="1"/>
    <col min="4867" max="4867" width="13.28515625" style="120" customWidth="1"/>
    <col min="4868" max="4868" width="14.28515625" style="120" customWidth="1"/>
    <col min="4869" max="4869" width="8.85546875" style="120" customWidth="1"/>
    <col min="4870" max="4870" width="7.140625" style="120" customWidth="1"/>
    <col min="4871" max="4871" width="8.85546875" style="120" customWidth="1"/>
    <col min="4872" max="4872" width="7.28515625" style="120" customWidth="1"/>
    <col min="4873" max="4873" width="4.140625" style="120" customWidth="1"/>
    <col min="4874" max="4875" width="4.28515625" style="120" customWidth="1"/>
    <col min="4876" max="4876" width="5" style="120" customWidth="1"/>
    <col min="4877" max="5120" width="8" style="120"/>
    <col min="5121" max="5121" width="2.7109375" style="120" customWidth="1"/>
    <col min="5122" max="5122" width="13.140625" style="120" customWidth="1"/>
    <col min="5123" max="5123" width="13.28515625" style="120" customWidth="1"/>
    <col min="5124" max="5124" width="14.28515625" style="120" customWidth="1"/>
    <col min="5125" max="5125" width="8.85546875" style="120" customWidth="1"/>
    <col min="5126" max="5126" width="7.140625" style="120" customWidth="1"/>
    <col min="5127" max="5127" width="8.85546875" style="120" customWidth="1"/>
    <col min="5128" max="5128" width="7.28515625" style="120" customWidth="1"/>
    <col min="5129" max="5129" width="4.140625" style="120" customWidth="1"/>
    <col min="5130" max="5131" width="4.28515625" style="120" customWidth="1"/>
    <col min="5132" max="5132" width="5" style="120" customWidth="1"/>
    <col min="5133" max="5376" width="8" style="120"/>
    <col min="5377" max="5377" width="2.7109375" style="120" customWidth="1"/>
    <col min="5378" max="5378" width="13.140625" style="120" customWidth="1"/>
    <col min="5379" max="5379" width="13.28515625" style="120" customWidth="1"/>
    <col min="5380" max="5380" width="14.28515625" style="120" customWidth="1"/>
    <col min="5381" max="5381" width="8.85546875" style="120" customWidth="1"/>
    <col min="5382" max="5382" width="7.140625" style="120" customWidth="1"/>
    <col min="5383" max="5383" width="8.85546875" style="120" customWidth="1"/>
    <col min="5384" max="5384" width="7.28515625" style="120" customWidth="1"/>
    <col min="5385" max="5385" width="4.140625" style="120" customWidth="1"/>
    <col min="5386" max="5387" width="4.28515625" style="120" customWidth="1"/>
    <col min="5388" max="5388" width="5" style="120" customWidth="1"/>
    <col min="5389" max="5632" width="8" style="120"/>
    <col min="5633" max="5633" width="2.7109375" style="120" customWidth="1"/>
    <col min="5634" max="5634" width="13.140625" style="120" customWidth="1"/>
    <col min="5635" max="5635" width="13.28515625" style="120" customWidth="1"/>
    <col min="5636" max="5636" width="14.28515625" style="120" customWidth="1"/>
    <col min="5637" max="5637" width="8.85546875" style="120" customWidth="1"/>
    <col min="5638" max="5638" width="7.140625" style="120" customWidth="1"/>
    <col min="5639" max="5639" width="8.85546875" style="120" customWidth="1"/>
    <col min="5640" max="5640" width="7.28515625" style="120" customWidth="1"/>
    <col min="5641" max="5641" width="4.140625" style="120" customWidth="1"/>
    <col min="5642" max="5643" width="4.28515625" style="120" customWidth="1"/>
    <col min="5644" max="5644" width="5" style="120" customWidth="1"/>
    <col min="5645" max="5888" width="8" style="120"/>
    <col min="5889" max="5889" width="2.7109375" style="120" customWidth="1"/>
    <col min="5890" max="5890" width="13.140625" style="120" customWidth="1"/>
    <col min="5891" max="5891" width="13.28515625" style="120" customWidth="1"/>
    <col min="5892" max="5892" width="14.28515625" style="120" customWidth="1"/>
    <col min="5893" max="5893" width="8.85546875" style="120" customWidth="1"/>
    <col min="5894" max="5894" width="7.140625" style="120" customWidth="1"/>
    <col min="5895" max="5895" width="8.85546875" style="120" customWidth="1"/>
    <col min="5896" max="5896" width="7.28515625" style="120" customWidth="1"/>
    <col min="5897" max="5897" width="4.140625" style="120" customWidth="1"/>
    <col min="5898" max="5899" width="4.28515625" style="120" customWidth="1"/>
    <col min="5900" max="5900" width="5" style="120" customWidth="1"/>
    <col min="5901" max="6144" width="8" style="120"/>
    <col min="6145" max="6145" width="2.7109375" style="120" customWidth="1"/>
    <col min="6146" max="6146" width="13.140625" style="120" customWidth="1"/>
    <col min="6147" max="6147" width="13.28515625" style="120" customWidth="1"/>
    <col min="6148" max="6148" width="14.28515625" style="120" customWidth="1"/>
    <col min="6149" max="6149" width="8.85546875" style="120" customWidth="1"/>
    <col min="6150" max="6150" width="7.140625" style="120" customWidth="1"/>
    <col min="6151" max="6151" width="8.85546875" style="120" customWidth="1"/>
    <col min="6152" max="6152" width="7.28515625" style="120" customWidth="1"/>
    <col min="6153" max="6153" width="4.140625" style="120" customWidth="1"/>
    <col min="6154" max="6155" width="4.28515625" style="120" customWidth="1"/>
    <col min="6156" max="6156" width="5" style="120" customWidth="1"/>
    <col min="6157" max="6400" width="8" style="120"/>
    <col min="6401" max="6401" width="2.7109375" style="120" customWidth="1"/>
    <col min="6402" max="6402" width="13.140625" style="120" customWidth="1"/>
    <col min="6403" max="6403" width="13.28515625" style="120" customWidth="1"/>
    <col min="6404" max="6404" width="14.28515625" style="120" customWidth="1"/>
    <col min="6405" max="6405" width="8.85546875" style="120" customWidth="1"/>
    <col min="6406" max="6406" width="7.140625" style="120" customWidth="1"/>
    <col min="6407" max="6407" width="8.85546875" style="120" customWidth="1"/>
    <col min="6408" max="6408" width="7.28515625" style="120" customWidth="1"/>
    <col min="6409" max="6409" width="4.140625" style="120" customWidth="1"/>
    <col min="6410" max="6411" width="4.28515625" style="120" customWidth="1"/>
    <col min="6412" max="6412" width="5" style="120" customWidth="1"/>
    <col min="6413" max="6656" width="8" style="120"/>
    <col min="6657" max="6657" width="2.7109375" style="120" customWidth="1"/>
    <col min="6658" max="6658" width="13.140625" style="120" customWidth="1"/>
    <col min="6659" max="6659" width="13.28515625" style="120" customWidth="1"/>
    <col min="6660" max="6660" width="14.28515625" style="120" customWidth="1"/>
    <col min="6661" max="6661" width="8.85546875" style="120" customWidth="1"/>
    <col min="6662" max="6662" width="7.140625" style="120" customWidth="1"/>
    <col min="6663" max="6663" width="8.85546875" style="120" customWidth="1"/>
    <col min="6664" max="6664" width="7.28515625" style="120" customWidth="1"/>
    <col min="6665" max="6665" width="4.140625" style="120" customWidth="1"/>
    <col min="6666" max="6667" width="4.28515625" style="120" customWidth="1"/>
    <col min="6668" max="6668" width="5" style="120" customWidth="1"/>
    <col min="6669" max="6912" width="8" style="120"/>
    <col min="6913" max="6913" width="2.7109375" style="120" customWidth="1"/>
    <col min="6914" max="6914" width="13.140625" style="120" customWidth="1"/>
    <col min="6915" max="6915" width="13.28515625" style="120" customWidth="1"/>
    <col min="6916" max="6916" width="14.28515625" style="120" customWidth="1"/>
    <col min="6917" max="6917" width="8.85546875" style="120" customWidth="1"/>
    <col min="6918" max="6918" width="7.140625" style="120" customWidth="1"/>
    <col min="6919" max="6919" width="8.85546875" style="120" customWidth="1"/>
    <col min="6920" max="6920" width="7.28515625" style="120" customWidth="1"/>
    <col min="6921" max="6921" width="4.140625" style="120" customWidth="1"/>
    <col min="6922" max="6923" width="4.28515625" style="120" customWidth="1"/>
    <col min="6924" max="6924" width="5" style="120" customWidth="1"/>
    <col min="6925" max="7168" width="8" style="120"/>
    <col min="7169" max="7169" width="2.7109375" style="120" customWidth="1"/>
    <col min="7170" max="7170" width="13.140625" style="120" customWidth="1"/>
    <col min="7171" max="7171" width="13.28515625" style="120" customWidth="1"/>
    <col min="7172" max="7172" width="14.28515625" style="120" customWidth="1"/>
    <col min="7173" max="7173" width="8.85546875" style="120" customWidth="1"/>
    <col min="7174" max="7174" width="7.140625" style="120" customWidth="1"/>
    <col min="7175" max="7175" width="8.85546875" style="120" customWidth="1"/>
    <col min="7176" max="7176" width="7.28515625" style="120" customWidth="1"/>
    <col min="7177" max="7177" width="4.140625" style="120" customWidth="1"/>
    <col min="7178" max="7179" width="4.28515625" style="120" customWidth="1"/>
    <col min="7180" max="7180" width="5" style="120" customWidth="1"/>
    <col min="7181" max="7424" width="8" style="120"/>
    <col min="7425" max="7425" width="2.7109375" style="120" customWidth="1"/>
    <col min="7426" max="7426" width="13.140625" style="120" customWidth="1"/>
    <col min="7427" max="7427" width="13.28515625" style="120" customWidth="1"/>
    <col min="7428" max="7428" width="14.28515625" style="120" customWidth="1"/>
    <col min="7429" max="7429" width="8.85546875" style="120" customWidth="1"/>
    <col min="7430" max="7430" width="7.140625" style="120" customWidth="1"/>
    <col min="7431" max="7431" width="8.85546875" style="120" customWidth="1"/>
    <col min="7432" max="7432" width="7.28515625" style="120" customWidth="1"/>
    <col min="7433" max="7433" width="4.140625" style="120" customWidth="1"/>
    <col min="7434" max="7435" width="4.28515625" style="120" customWidth="1"/>
    <col min="7436" max="7436" width="5" style="120" customWidth="1"/>
    <col min="7437" max="7680" width="8" style="120"/>
    <col min="7681" max="7681" width="2.7109375" style="120" customWidth="1"/>
    <col min="7682" max="7682" width="13.140625" style="120" customWidth="1"/>
    <col min="7683" max="7683" width="13.28515625" style="120" customWidth="1"/>
    <col min="7684" max="7684" width="14.28515625" style="120" customWidth="1"/>
    <col min="7685" max="7685" width="8.85546875" style="120" customWidth="1"/>
    <col min="7686" max="7686" width="7.140625" style="120" customWidth="1"/>
    <col min="7687" max="7687" width="8.85546875" style="120" customWidth="1"/>
    <col min="7688" max="7688" width="7.28515625" style="120" customWidth="1"/>
    <col min="7689" max="7689" width="4.140625" style="120" customWidth="1"/>
    <col min="7690" max="7691" width="4.28515625" style="120" customWidth="1"/>
    <col min="7692" max="7692" width="5" style="120" customWidth="1"/>
    <col min="7693" max="7936" width="8" style="120"/>
    <col min="7937" max="7937" width="2.7109375" style="120" customWidth="1"/>
    <col min="7938" max="7938" width="13.140625" style="120" customWidth="1"/>
    <col min="7939" max="7939" width="13.28515625" style="120" customWidth="1"/>
    <col min="7940" max="7940" width="14.28515625" style="120" customWidth="1"/>
    <col min="7941" max="7941" width="8.85546875" style="120" customWidth="1"/>
    <col min="7942" max="7942" width="7.140625" style="120" customWidth="1"/>
    <col min="7943" max="7943" width="8.85546875" style="120" customWidth="1"/>
    <col min="7944" max="7944" width="7.28515625" style="120" customWidth="1"/>
    <col min="7945" max="7945" width="4.140625" style="120" customWidth="1"/>
    <col min="7946" max="7947" width="4.28515625" style="120" customWidth="1"/>
    <col min="7948" max="7948" width="5" style="120" customWidth="1"/>
    <col min="7949" max="8192" width="8" style="120"/>
    <col min="8193" max="8193" width="2.7109375" style="120" customWidth="1"/>
    <col min="8194" max="8194" width="13.140625" style="120" customWidth="1"/>
    <col min="8195" max="8195" width="13.28515625" style="120" customWidth="1"/>
    <col min="8196" max="8196" width="14.28515625" style="120" customWidth="1"/>
    <col min="8197" max="8197" width="8.85546875" style="120" customWidth="1"/>
    <col min="8198" max="8198" width="7.140625" style="120" customWidth="1"/>
    <col min="8199" max="8199" width="8.85546875" style="120" customWidth="1"/>
    <col min="8200" max="8200" width="7.28515625" style="120" customWidth="1"/>
    <col min="8201" max="8201" width="4.140625" style="120" customWidth="1"/>
    <col min="8202" max="8203" width="4.28515625" style="120" customWidth="1"/>
    <col min="8204" max="8204" width="5" style="120" customWidth="1"/>
    <col min="8205" max="8448" width="8" style="120"/>
    <col min="8449" max="8449" width="2.7109375" style="120" customWidth="1"/>
    <col min="8450" max="8450" width="13.140625" style="120" customWidth="1"/>
    <col min="8451" max="8451" width="13.28515625" style="120" customWidth="1"/>
    <col min="8452" max="8452" width="14.28515625" style="120" customWidth="1"/>
    <col min="8453" max="8453" width="8.85546875" style="120" customWidth="1"/>
    <col min="8454" max="8454" width="7.140625" style="120" customWidth="1"/>
    <col min="8455" max="8455" width="8.85546875" style="120" customWidth="1"/>
    <col min="8456" max="8456" width="7.28515625" style="120" customWidth="1"/>
    <col min="8457" max="8457" width="4.140625" style="120" customWidth="1"/>
    <col min="8458" max="8459" width="4.28515625" style="120" customWidth="1"/>
    <col min="8460" max="8460" width="5" style="120" customWidth="1"/>
    <col min="8461" max="8704" width="8" style="120"/>
    <col min="8705" max="8705" width="2.7109375" style="120" customWidth="1"/>
    <col min="8706" max="8706" width="13.140625" style="120" customWidth="1"/>
    <col min="8707" max="8707" width="13.28515625" style="120" customWidth="1"/>
    <col min="8708" max="8708" width="14.28515625" style="120" customWidth="1"/>
    <col min="8709" max="8709" width="8.85546875" style="120" customWidth="1"/>
    <col min="8710" max="8710" width="7.140625" style="120" customWidth="1"/>
    <col min="8711" max="8711" width="8.85546875" style="120" customWidth="1"/>
    <col min="8712" max="8712" width="7.28515625" style="120" customWidth="1"/>
    <col min="8713" max="8713" width="4.140625" style="120" customWidth="1"/>
    <col min="8714" max="8715" width="4.28515625" style="120" customWidth="1"/>
    <col min="8716" max="8716" width="5" style="120" customWidth="1"/>
    <col min="8717" max="8960" width="8" style="120"/>
    <col min="8961" max="8961" width="2.7109375" style="120" customWidth="1"/>
    <col min="8962" max="8962" width="13.140625" style="120" customWidth="1"/>
    <col min="8963" max="8963" width="13.28515625" style="120" customWidth="1"/>
    <col min="8964" max="8964" width="14.28515625" style="120" customWidth="1"/>
    <col min="8965" max="8965" width="8.85546875" style="120" customWidth="1"/>
    <col min="8966" max="8966" width="7.140625" style="120" customWidth="1"/>
    <col min="8967" max="8967" width="8.85546875" style="120" customWidth="1"/>
    <col min="8968" max="8968" width="7.28515625" style="120" customWidth="1"/>
    <col min="8969" max="8969" width="4.140625" style="120" customWidth="1"/>
    <col min="8970" max="8971" width="4.28515625" style="120" customWidth="1"/>
    <col min="8972" max="8972" width="5" style="120" customWidth="1"/>
    <col min="8973" max="9216" width="8" style="120"/>
    <col min="9217" max="9217" width="2.7109375" style="120" customWidth="1"/>
    <col min="9218" max="9218" width="13.140625" style="120" customWidth="1"/>
    <col min="9219" max="9219" width="13.28515625" style="120" customWidth="1"/>
    <col min="9220" max="9220" width="14.28515625" style="120" customWidth="1"/>
    <col min="9221" max="9221" width="8.85546875" style="120" customWidth="1"/>
    <col min="9222" max="9222" width="7.140625" style="120" customWidth="1"/>
    <col min="9223" max="9223" width="8.85546875" style="120" customWidth="1"/>
    <col min="9224" max="9224" width="7.28515625" style="120" customWidth="1"/>
    <col min="9225" max="9225" width="4.140625" style="120" customWidth="1"/>
    <col min="9226" max="9227" width="4.28515625" style="120" customWidth="1"/>
    <col min="9228" max="9228" width="5" style="120" customWidth="1"/>
    <col min="9229" max="9472" width="8" style="120"/>
    <col min="9473" max="9473" width="2.7109375" style="120" customWidth="1"/>
    <col min="9474" max="9474" width="13.140625" style="120" customWidth="1"/>
    <col min="9475" max="9475" width="13.28515625" style="120" customWidth="1"/>
    <col min="9476" max="9476" width="14.28515625" style="120" customWidth="1"/>
    <col min="9477" max="9477" width="8.85546875" style="120" customWidth="1"/>
    <col min="9478" max="9478" width="7.140625" style="120" customWidth="1"/>
    <col min="9479" max="9479" width="8.85546875" style="120" customWidth="1"/>
    <col min="9480" max="9480" width="7.28515625" style="120" customWidth="1"/>
    <col min="9481" max="9481" width="4.140625" style="120" customWidth="1"/>
    <col min="9482" max="9483" width="4.28515625" style="120" customWidth="1"/>
    <col min="9484" max="9484" width="5" style="120" customWidth="1"/>
    <col min="9485" max="9728" width="8" style="120"/>
    <col min="9729" max="9729" width="2.7109375" style="120" customWidth="1"/>
    <col min="9730" max="9730" width="13.140625" style="120" customWidth="1"/>
    <col min="9731" max="9731" width="13.28515625" style="120" customWidth="1"/>
    <col min="9732" max="9732" width="14.28515625" style="120" customWidth="1"/>
    <col min="9733" max="9733" width="8.85546875" style="120" customWidth="1"/>
    <col min="9734" max="9734" width="7.140625" style="120" customWidth="1"/>
    <col min="9735" max="9735" width="8.85546875" style="120" customWidth="1"/>
    <col min="9736" max="9736" width="7.28515625" style="120" customWidth="1"/>
    <col min="9737" max="9737" width="4.140625" style="120" customWidth="1"/>
    <col min="9738" max="9739" width="4.28515625" style="120" customWidth="1"/>
    <col min="9740" max="9740" width="5" style="120" customWidth="1"/>
    <col min="9741" max="9984" width="8" style="120"/>
    <col min="9985" max="9985" width="2.7109375" style="120" customWidth="1"/>
    <col min="9986" max="9986" width="13.140625" style="120" customWidth="1"/>
    <col min="9987" max="9987" width="13.28515625" style="120" customWidth="1"/>
    <col min="9988" max="9988" width="14.28515625" style="120" customWidth="1"/>
    <col min="9989" max="9989" width="8.85546875" style="120" customWidth="1"/>
    <col min="9990" max="9990" width="7.140625" style="120" customWidth="1"/>
    <col min="9991" max="9991" width="8.85546875" style="120" customWidth="1"/>
    <col min="9992" max="9992" width="7.28515625" style="120" customWidth="1"/>
    <col min="9993" max="9993" width="4.140625" style="120" customWidth="1"/>
    <col min="9994" max="9995" width="4.28515625" style="120" customWidth="1"/>
    <col min="9996" max="9996" width="5" style="120" customWidth="1"/>
    <col min="9997" max="10240" width="8" style="120"/>
    <col min="10241" max="10241" width="2.7109375" style="120" customWidth="1"/>
    <col min="10242" max="10242" width="13.140625" style="120" customWidth="1"/>
    <col min="10243" max="10243" width="13.28515625" style="120" customWidth="1"/>
    <col min="10244" max="10244" width="14.28515625" style="120" customWidth="1"/>
    <col min="10245" max="10245" width="8.85546875" style="120" customWidth="1"/>
    <col min="10246" max="10246" width="7.140625" style="120" customWidth="1"/>
    <col min="10247" max="10247" width="8.85546875" style="120" customWidth="1"/>
    <col min="10248" max="10248" width="7.28515625" style="120" customWidth="1"/>
    <col min="10249" max="10249" width="4.140625" style="120" customWidth="1"/>
    <col min="10250" max="10251" width="4.28515625" style="120" customWidth="1"/>
    <col min="10252" max="10252" width="5" style="120" customWidth="1"/>
    <col min="10253" max="10496" width="8" style="120"/>
    <col min="10497" max="10497" width="2.7109375" style="120" customWidth="1"/>
    <col min="10498" max="10498" width="13.140625" style="120" customWidth="1"/>
    <col min="10499" max="10499" width="13.28515625" style="120" customWidth="1"/>
    <col min="10500" max="10500" width="14.28515625" style="120" customWidth="1"/>
    <col min="10501" max="10501" width="8.85546875" style="120" customWidth="1"/>
    <col min="10502" max="10502" width="7.140625" style="120" customWidth="1"/>
    <col min="10503" max="10503" width="8.85546875" style="120" customWidth="1"/>
    <col min="10504" max="10504" width="7.28515625" style="120" customWidth="1"/>
    <col min="10505" max="10505" width="4.140625" style="120" customWidth="1"/>
    <col min="10506" max="10507" width="4.28515625" style="120" customWidth="1"/>
    <col min="10508" max="10508" width="5" style="120" customWidth="1"/>
    <col min="10509" max="10752" width="8" style="120"/>
    <col min="10753" max="10753" width="2.7109375" style="120" customWidth="1"/>
    <col min="10754" max="10754" width="13.140625" style="120" customWidth="1"/>
    <col min="10755" max="10755" width="13.28515625" style="120" customWidth="1"/>
    <col min="10756" max="10756" width="14.28515625" style="120" customWidth="1"/>
    <col min="10757" max="10757" width="8.85546875" style="120" customWidth="1"/>
    <col min="10758" max="10758" width="7.140625" style="120" customWidth="1"/>
    <col min="10759" max="10759" width="8.85546875" style="120" customWidth="1"/>
    <col min="10760" max="10760" width="7.28515625" style="120" customWidth="1"/>
    <col min="10761" max="10761" width="4.140625" style="120" customWidth="1"/>
    <col min="10762" max="10763" width="4.28515625" style="120" customWidth="1"/>
    <col min="10764" max="10764" width="5" style="120" customWidth="1"/>
    <col min="10765" max="11008" width="8" style="120"/>
    <col min="11009" max="11009" width="2.7109375" style="120" customWidth="1"/>
    <col min="11010" max="11010" width="13.140625" style="120" customWidth="1"/>
    <col min="11011" max="11011" width="13.28515625" style="120" customWidth="1"/>
    <col min="11012" max="11012" width="14.28515625" style="120" customWidth="1"/>
    <col min="11013" max="11013" width="8.85546875" style="120" customWidth="1"/>
    <col min="11014" max="11014" width="7.140625" style="120" customWidth="1"/>
    <col min="11015" max="11015" width="8.85546875" style="120" customWidth="1"/>
    <col min="11016" max="11016" width="7.28515625" style="120" customWidth="1"/>
    <col min="11017" max="11017" width="4.140625" style="120" customWidth="1"/>
    <col min="11018" max="11019" width="4.28515625" style="120" customWidth="1"/>
    <col min="11020" max="11020" width="5" style="120" customWidth="1"/>
    <col min="11021" max="11264" width="8" style="120"/>
    <col min="11265" max="11265" width="2.7109375" style="120" customWidth="1"/>
    <col min="11266" max="11266" width="13.140625" style="120" customWidth="1"/>
    <col min="11267" max="11267" width="13.28515625" style="120" customWidth="1"/>
    <col min="11268" max="11268" width="14.28515625" style="120" customWidth="1"/>
    <col min="11269" max="11269" width="8.85546875" style="120" customWidth="1"/>
    <col min="11270" max="11270" width="7.140625" style="120" customWidth="1"/>
    <col min="11271" max="11271" width="8.85546875" style="120" customWidth="1"/>
    <col min="11272" max="11272" width="7.28515625" style="120" customWidth="1"/>
    <col min="11273" max="11273" width="4.140625" style="120" customWidth="1"/>
    <col min="11274" max="11275" width="4.28515625" style="120" customWidth="1"/>
    <col min="11276" max="11276" width="5" style="120" customWidth="1"/>
    <col min="11277" max="11520" width="8" style="120"/>
    <col min="11521" max="11521" width="2.7109375" style="120" customWidth="1"/>
    <col min="11522" max="11522" width="13.140625" style="120" customWidth="1"/>
    <col min="11523" max="11523" width="13.28515625" style="120" customWidth="1"/>
    <col min="11524" max="11524" width="14.28515625" style="120" customWidth="1"/>
    <col min="11525" max="11525" width="8.85546875" style="120" customWidth="1"/>
    <col min="11526" max="11526" width="7.140625" style="120" customWidth="1"/>
    <col min="11527" max="11527" width="8.85546875" style="120" customWidth="1"/>
    <col min="11528" max="11528" width="7.28515625" style="120" customWidth="1"/>
    <col min="11529" max="11529" width="4.140625" style="120" customWidth="1"/>
    <col min="11530" max="11531" width="4.28515625" style="120" customWidth="1"/>
    <col min="11532" max="11532" width="5" style="120" customWidth="1"/>
    <col min="11533" max="11776" width="8" style="120"/>
    <col min="11777" max="11777" width="2.7109375" style="120" customWidth="1"/>
    <col min="11778" max="11778" width="13.140625" style="120" customWidth="1"/>
    <col min="11779" max="11779" width="13.28515625" style="120" customWidth="1"/>
    <col min="11780" max="11780" width="14.28515625" style="120" customWidth="1"/>
    <col min="11781" max="11781" width="8.85546875" style="120" customWidth="1"/>
    <col min="11782" max="11782" width="7.140625" style="120" customWidth="1"/>
    <col min="11783" max="11783" width="8.85546875" style="120" customWidth="1"/>
    <col min="11784" max="11784" width="7.28515625" style="120" customWidth="1"/>
    <col min="11785" max="11785" width="4.140625" style="120" customWidth="1"/>
    <col min="11786" max="11787" width="4.28515625" style="120" customWidth="1"/>
    <col min="11788" max="11788" width="5" style="120" customWidth="1"/>
    <col min="11789" max="12032" width="8" style="120"/>
    <col min="12033" max="12033" width="2.7109375" style="120" customWidth="1"/>
    <col min="12034" max="12034" width="13.140625" style="120" customWidth="1"/>
    <col min="12035" max="12035" width="13.28515625" style="120" customWidth="1"/>
    <col min="12036" max="12036" width="14.28515625" style="120" customWidth="1"/>
    <col min="12037" max="12037" width="8.85546875" style="120" customWidth="1"/>
    <col min="12038" max="12038" width="7.140625" style="120" customWidth="1"/>
    <col min="12039" max="12039" width="8.85546875" style="120" customWidth="1"/>
    <col min="12040" max="12040" width="7.28515625" style="120" customWidth="1"/>
    <col min="12041" max="12041" width="4.140625" style="120" customWidth="1"/>
    <col min="12042" max="12043" width="4.28515625" style="120" customWidth="1"/>
    <col min="12044" max="12044" width="5" style="120" customWidth="1"/>
    <col min="12045" max="12288" width="8" style="120"/>
    <col min="12289" max="12289" width="2.7109375" style="120" customWidth="1"/>
    <col min="12290" max="12290" width="13.140625" style="120" customWidth="1"/>
    <col min="12291" max="12291" width="13.28515625" style="120" customWidth="1"/>
    <col min="12292" max="12292" width="14.28515625" style="120" customWidth="1"/>
    <col min="12293" max="12293" width="8.85546875" style="120" customWidth="1"/>
    <col min="12294" max="12294" width="7.140625" style="120" customWidth="1"/>
    <col min="12295" max="12295" width="8.85546875" style="120" customWidth="1"/>
    <col min="12296" max="12296" width="7.28515625" style="120" customWidth="1"/>
    <col min="12297" max="12297" width="4.140625" style="120" customWidth="1"/>
    <col min="12298" max="12299" width="4.28515625" style="120" customWidth="1"/>
    <col min="12300" max="12300" width="5" style="120" customWidth="1"/>
    <col min="12301" max="12544" width="8" style="120"/>
    <col min="12545" max="12545" width="2.7109375" style="120" customWidth="1"/>
    <col min="12546" max="12546" width="13.140625" style="120" customWidth="1"/>
    <col min="12547" max="12547" width="13.28515625" style="120" customWidth="1"/>
    <col min="12548" max="12548" width="14.28515625" style="120" customWidth="1"/>
    <col min="12549" max="12549" width="8.85546875" style="120" customWidth="1"/>
    <col min="12550" max="12550" width="7.140625" style="120" customWidth="1"/>
    <col min="12551" max="12551" width="8.85546875" style="120" customWidth="1"/>
    <col min="12552" max="12552" width="7.28515625" style="120" customWidth="1"/>
    <col min="12553" max="12553" width="4.140625" style="120" customWidth="1"/>
    <col min="12554" max="12555" width="4.28515625" style="120" customWidth="1"/>
    <col min="12556" max="12556" width="5" style="120" customWidth="1"/>
    <col min="12557" max="12800" width="8" style="120"/>
    <col min="12801" max="12801" width="2.7109375" style="120" customWidth="1"/>
    <col min="12802" max="12802" width="13.140625" style="120" customWidth="1"/>
    <col min="12803" max="12803" width="13.28515625" style="120" customWidth="1"/>
    <col min="12804" max="12804" width="14.28515625" style="120" customWidth="1"/>
    <col min="12805" max="12805" width="8.85546875" style="120" customWidth="1"/>
    <col min="12806" max="12806" width="7.140625" style="120" customWidth="1"/>
    <col min="12807" max="12807" width="8.85546875" style="120" customWidth="1"/>
    <col min="12808" max="12808" width="7.28515625" style="120" customWidth="1"/>
    <col min="12809" max="12809" width="4.140625" style="120" customWidth="1"/>
    <col min="12810" max="12811" width="4.28515625" style="120" customWidth="1"/>
    <col min="12812" max="12812" width="5" style="120" customWidth="1"/>
    <col min="12813" max="13056" width="8" style="120"/>
    <col min="13057" max="13057" width="2.7109375" style="120" customWidth="1"/>
    <col min="13058" max="13058" width="13.140625" style="120" customWidth="1"/>
    <col min="13059" max="13059" width="13.28515625" style="120" customWidth="1"/>
    <col min="13060" max="13060" width="14.28515625" style="120" customWidth="1"/>
    <col min="13061" max="13061" width="8.85546875" style="120" customWidth="1"/>
    <col min="13062" max="13062" width="7.140625" style="120" customWidth="1"/>
    <col min="13063" max="13063" width="8.85546875" style="120" customWidth="1"/>
    <col min="13064" max="13064" width="7.28515625" style="120" customWidth="1"/>
    <col min="13065" max="13065" width="4.140625" style="120" customWidth="1"/>
    <col min="13066" max="13067" width="4.28515625" style="120" customWidth="1"/>
    <col min="13068" max="13068" width="5" style="120" customWidth="1"/>
    <col min="13069" max="13312" width="8" style="120"/>
    <col min="13313" max="13313" width="2.7109375" style="120" customWidth="1"/>
    <col min="13314" max="13314" width="13.140625" style="120" customWidth="1"/>
    <col min="13315" max="13315" width="13.28515625" style="120" customWidth="1"/>
    <col min="13316" max="13316" width="14.28515625" style="120" customWidth="1"/>
    <col min="13317" max="13317" width="8.85546875" style="120" customWidth="1"/>
    <col min="13318" max="13318" width="7.140625" style="120" customWidth="1"/>
    <col min="13319" max="13319" width="8.85546875" style="120" customWidth="1"/>
    <col min="13320" max="13320" width="7.28515625" style="120" customWidth="1"/>
    <col min="13321" max="13321" width="4.140625" style="120" customWidth="1"/>
    <col min="13322" max="13323" width="4.28515625" style="120" customWidth="1"/>
    <col min="13324" max="13324" width="5" style="120" customWidth="1"/>
    <col min="13325" max="13568" width="8" style="120"/>
    <col min="13569" max="13569" width="2.7109375" style="120" customWidth="1"/>
    <col min="13570" max="13570" width="13.140625" style="120" customWidth="1"/>
    <col min="13571" max="13571" width="13.28515625" style="120" customWidth="1"/>
    <col min="13572" max="13572" width="14.28515625" style="120" customWidth="1"/>
    <col min="13573" max="13573" width="8.85546875" style="120" customWidth="1"/>
    <col min="13574" max="13574" width="7.140625" style="120" customWidth="1"/>
    <col min="13575" max="13575" width="8.85546875" style="120" customWidth="1"/>
    <col min="13576" max="13576" width="7.28515625" style="120" customWidth="1"/>
    <col min="13577" max="13577" width="4.140625" style="120" customWidth="1"/>
    <col min="13578" max="13579" width="4.28515625" style="120" customWidth="1"/>
    <col min="13580" max="13580" width="5" style="120" customWidth="1"/>
    <col min="13581" max="13824" width="8" style="120"/>
    <col min="13825" max="13825" width="2.7109375" style="120" customWidth="1"/>
    <col min="13826" max="13826" width="13.140625" style="120" customWidth="1"/>
    <col min="13827" max="13827" width="13.28515625" style="120" customWidth="1"/>
    <col min="13828" max="13828" width="14.28515625" style="120" customWidth="1"/>
    <col min="13829" max="13829" width="8.85546875" style="120" customWidth="1"/>
    <col min="13830" max="13830" width="7.140625" style="120" customWidth="1"/>
    <col min="13831" max="13831" width="8.85546875" style="120" customWidth="1"/>
    <col min="13832" max="13832" width="7.28515625" style="120" customWidth="1"/>
    <col min="13833" max="13833" width="4.140625" style="120" customWidth="1"/>
    <col min="13834" max="13835" width="4.28515625" style="120" customWidth="1"/>
    <col min="13836" max="13836" width="5" style="120" customWidth="1"/>
    <col min="13837" max="14080" width="8" style="120"/>
    <col min="14081" max="14081" width="2.7109375" style="120" customWidth="1"/>
    <col min="14082" max="14082" width="13.140625" style="120" customWidth="1"/>
    <col min="14083" max="14083" width="13.28515625" style="120" customWidth="1"/>
    <col min="14084" max="14084" width="14.28515625" style="120" customWidth="1"/>
    <col min="14085" max="14085" width="8.85546875" style="120" customWidth="1"/>
    <col min="14086" max="14086" width="7.140625" style="120" customWidth="1"/>
    <col min="14087" max="14087" width="8.85546875" style="120" customWidth="1"/>
    <col min="14088" max="14088" width="7.28515625" style="120" customWidth="1"/>
    <col min="14089" max="14089" width="4.140625" style="120" customWidth="1"/>
    <col min="14090" max="14091" width="4.28515625" style="120" customWidth="1"/>
    <col min="14092" max="14092" width="5" style="120" customWidth="1"/>
    <col min="14093" max="14336" width="8" style="120"/>
    <col min="14337" max="14337" width="2.7109375" style="120" customWidth="1"/>
    <col min="14338" max="14338" width="13.140625" style="120" customWidth="1"/>
    <col min="14339" max="14339" width="13.28515625" style="120" customWidth="1"/>
    <col min="14340" max="14340" width="14.28515625" style="120" customWidth="1"/>
    <col min="14341" max="14341" width="8.85546875" style="120" customWidth="1"/>
    <col min="14342" max="14342" width="7.140625" style="120" customWidth="1"/>
    <col min="14343" max="14343" width="8.85546875" style="120" customWidth="1"/>
    <col min="14344" max="14344" width="7.28515625" style="120" customWidth="1"/>
    <col min="14345" max="14345" width="4.140625" style="120" customWidth="1"/>
    <col min="14346" max="14347" width="4.28515625" style="120" customWidth="1"/>
    <col min="14348" max="14348" width="5" style="120" customWidth="1"/>
    <col min="14349" max="14592" width="8" style="120"/>
    <col min="14593" max="14593" width="2.7109375" style="120" customWidth="1"/>
    <col min="14594" max="14594" width="13.140625" style="120" customWidth="1"/>
    <col min="14595" max="14595" width="13.28515625" style="120" customWidth="1"/>
    <col min="14596" max="14596" width="14.28515625" style="120" customWidth="1"/>
    <col min="14597" max="14597" width="8.85546875" style="120" customWidth="1"/>
    <col min="14598" max="14598" width="7.140625" style="120" customWidth="1"/>
    <col min="14599" max="14599" width="8.85546875" style="120" customWidth="1"/>
    <col min="14600" max="14600" width="7.28515625" style="120" customWidth="1"/>
    <col min="14601" max="14601" width="4.140625" style="120" customWidth="1"/>
    <col min="14602" max="14603" width="4.28515625" style="120" customWidth="1"/>
    <col min="14604" max="14604" width="5" style="120" customWidth="1"/>
    <col min="14605" max="14848" width="8" style="120"/>
    <col min="14849" max="14849" width="2.7109375" style="120" customWidth="1"/>
    <col min="14850" max="14850" width="13.140625" style="120" customWidth="1"/>
    <col min="14851" max="14851" width="13.28515625" style="120" customWidth="1"/>
    <col min="14852" max="14852" width="14.28515625" style="120" customWidth="1"/>
    <col min="14853" max="14853" width="8.85546875" style="120" customWidth="1"/>
    <col min="14854" max="14854" width="7.140625" style="120" customWidth="1"/>
    <col min="14855" max="14855" width="8.85546875" style="120" customWidth="1"/>
    <col min="14856" max="14856" width="7.28515625" style="120" customWidth="1"/>
    <col min="14857" max="14857" width="4.140625" style="120" customWidth="1"/>
    <col min="14858" max="14859" width="4.28515625" style="120" customWidth="1"/>
    <col min="14860" max="14860" width="5" style="120" customWidth="1"/>
    <col min="14861" max="15104" width="8" style="120"/>
    <col min="15105" max="15105" width="2.7109375" style="120" customWidth="1"/>
    <col min="15106" max="15106" width="13.140625" style="120" customWidth="1"/>
    <col min="15107" max="15107" width="13.28515625" style="120" customWidth="1"/>
    <col min="15108" max="15108" width="14.28515625" style="120" customWidth="1"/>
    <col min="15109" max="15109" width="8.85546875" style="120" customWidth="1"/>
    <col min="15110" max="15110" width="7.140625" style="120" customWidth="1"/>
    <col min="15111" max="15111" width="8.85546875" style="120" customWidth="1"/>
    <col min="15112" max="15112" width="7.28515625" style="120" customWidth="1"/>
    <col min="15113" max="15113" width="4.140625" style="120" customWidth="1"/>
    <col min="15114" max="15115" width="4.28515625" style="120" customWidth="1"/>
    <col min="15116" max="15116" width="5" style="120" customWidth="1"/>
    <col min="15117" max="15360" width="8" style="120"/>
    <col min="15361" max="15361" width="2.7109375" style="120" customWidth="1"/>
    <col min="15362" max="15362" width="13.140625" style="120" customWidth="1"/>
    <col min="15363" max="15363" width="13.28515625" style="120" customWidth="1"/>
    <col min="15364" max="15364" width="14.28515625" style="120" customWidth="1"/>
    <col min="15365" max="15365" width="8.85546875" style="120" customWidth="1"/>
    <col min="15366" max="15366" width="7.140625" style="120" customWidth="1"/>
    <col min="15367" max="15367" width="8.85546875" style="120" customWidth="1"/>
    <col min="15368" max="15368" width="7.28515625" style="120" customWidth="1"/>
    <col min="15369" max="15369" width="4.140625" style="120" customWidth="1"/>
    <col min="15370" max="15371" width="4.28515625" style="120" customWidth="1"/>
    <col min="15372" max="15372" width="5" style="120" customWidth="1"/>
    <col min="15373" max="15616" width="8" style="120"/>
    <col min="15617" max="15617" width="2.7109375" style="120" customWidth="1"/>
    <col min="15618" max="15618" width="13.140625" style="120" customWidth="1"/>
    <col min="15619" max="15619" width="13.28515625" style="120" customWidth="1"/>
    <col min="15620" max="15620" width="14.28515625" style="120" customWidth="1"/>
    <col min="15621" max="15621" width="8.85546875" style="120" customWidth="1"/>
    <col min="15622" max="15622" width="7.140625" style="120" customWidth="1"/>
    <col min="15623" max="15623" width="8.85546875" style="120" customWidth="1"/>
    <col min="15624" max="15624" width="7.28515625" style="120" customWidth="1"/>
    <col min="15625" max="15625" width="4.140625" style="120" customWidth="1"/>
    <col min="15626" max="15627" width="4.28515625" style="120" customWidth="1"/>
    <col min="15628" max="15628" width="5" style="120" customWidth="1"/>
    <col min="15629" max="15872" width="8" style="120"/>
    <col min="15873" max="15873" width="2.7109375" style="120" customWidth="1"/>
    <col min="15874" max="15874" width="13.140625" style="120" customWidth="1"/>
    <col min="15875" max="15875" width="13.28515625" style="120" customWidth="1"/>
    <col min="15876" max="15876" width="14.28515625" style="120" customWidth="1"/>
    <col min="15877" max="15877" width="8.85546875" style="120" customWidth="1"/>
    <col min="15878" max="15878" width="7.140625" style="120" customWidth="1"/>
    <col min="15879" max="15879" width="8.85546875" style="120" customWidth="1"/>
    <col min="15880" max="15880" width="7.28515625" style="120" customWidth="1"/>
    <col min="15881" max="15881" width="4.140625" style="120" customWidth="1"/>
    <col min="15882" max="15883" width="4.28515625" style="120" customWidth="1"/>
    <col min="15884" max="15884" width="5" style="120" customWidth="1"/>
    <col min="15885" max="16128" width="8" style="120"/>
    <col min="16129" max="16129" width="2.7109375" style="120" customWidth="1"/>
    <col min="16130" max="16130" width="13.140625" style="120" customWidth="1"/>
    <col min="16131" max="16131" width="13.28515625" style="120" customWidth="1"/>
    <col min="16132" max="16132" width="14.28515625" style="120" customWidth="1"/>
    <col min="16133" max="16133" width="8.85546875" style="120" customWidth="1"/>
    <col min="16134" max="16134" width="7.140625" style="120" customWidth="1"/>
    <col min="16135" max="16135" width="8.85546875" style="120" customWidth="1"/>
    <col min="16136" max="16136" width="7.28515625" style="120" customWidth="1"/>
    <col min="16137" max="16137" width="4.140625" style="120" customWidth="1"/>
    <col min="16138" max="16139" width="4.28515625" style="120" customWidth="1"/>
    <col min="16140" max="16140" width="5" style="120" customWidth="1"/>
    <col min="16141" max="16384" width="8" style="120"/>
  </cols>
  <sheetData>
    <row r="1" spans="1:12" ht="18" customHeight="1" x14ac:dyDescent="0.3">
      <c r="A1" s="113"/>
      <c r="B1" s="114"/>
      <c r="C1" s="580" t="s">
        <v>139</v>
      </c>
      <c r="D1" s="581"/>
      <c r="E1" s="581"/>
      <c r="F1" s="581"/>
      <c r="G1" s="582"/>
      <c r="H1" s="115"/>
      <c r="I1" s="116"/>
      <c r="J1" s="117"/>
      <c r="K1" s="118"/>
      <c r="L1" s="119"/>
    </row>
    <row r="2" spans="1:12" ht="18" customHeight="1" x14ac:dyDescent="0.2">
      <c r="A2" s="121"/>
      <c r="B2" s="119"/>
      <c r="C2" s="122" t="s">
        <v>140</v>
      </c>
      <c r="D2" s="123"/>
      <c r="E2" s="124"/>
      <c r="F2" s="125"/>
      <c r="G2" s="126"/>
      <c r="H2" s="127"/>
      <c r="I2" s="128"/>
      <c r="J2" s="129"/>
      <c r="K2" s="130"/>
      <c r="L2" s="119"/>
    </row>
    <row r="3" spans="1:12" ht="18" customHeight="1" x14ac:dyDescent="0.2">
      <c r="A3" s="121"/>
      <c r="B3" s="127"/>
      <c r="C3" s="583" t="s">
        <v>141</v>
      </c>
      <c r="D3" s="584"/>
      <c r="E3" s="584"/>
      <c r="F3" s="584"/>
      <c r="G3" s="585"/>
      <c r="H3" s="127"/>
      <c r="I3" s="128"/>
      <c r="J3" s="129"/>
      <c r="K3" s="130"/>
      <c r="L3" s="119"/>
    </row>
    <row r="4" spans="1:12" ht="18" customHeight="1" x14ac:dyDescent="0.2">
      <c r="A4" s="121"/>
      <c r="B4" s="127"/>
      <c r="C4" s="586" t="s">
        <v>142</v>
      </c>
      <c r="D4" s="587"/>
      <c r="E4" s="587"/>
      <c r="F4" s="587"/>
      <c r="G4" s="588"/>
      <c r="H4" s="127"/>
      <c r="I4" s="128"/>
      <c r="J4" s="129"/>
      <c r="K4" s="130"/>
      <c r="L4" s="119"/>
    </row>
    <row r="5" spans="1:12" ht="18" customHeight="1" x14ac:dyDescent="0.2">
      <c r="A5" s="131"/>
      <c r="B5" s="127"/>
      <c r="C5" s="132"/>
      <c r="D5" s="132"/>
      <c r="E5" s="132"/>
      <c r="F5" s="132"/>
      <c r="G5" s="132"/>
      <c r="H5" s="133"/>
      <c r="I5" s="134"/>
      <c r="J5" s="119"/>
      <c r="K5" s="119"/>
      <c r="L5" s="119"/>
    </row>
    <row r="6" spans="1:12" ht="18" customHeight="1" x14ac:dyDescent="0.35">
      <c r="A6" s="135"/>
      <c r="B6" s="136" t="s">
        <v>143</v>
      </c>
      <c r="C6" s="137"/>
      <c r="D6" s="138"/>
      <c r="E6" s="136" t="s">
        <v>144</v>
      </c>
      <c r="F6" s="139"/>
      <c r="G6" s="137"/>
      <c r="H6" s="138"/>
      <c r="I6" s="140"/>
      <c r="J6" s="141"/>
      <c r="K6" s="142"/>
      <c r="L6" s="119"/>
    </row>
    <row r="7" spans="1:12" ht="18" customHeight="1" x14ac:dyDescent="0.2">
      <c r="A7" s="143"/>
      <c r="B7" s="144"/>
      <c r="C7" s="144"/>
      <c r="D7" s="133"/>
      <c r="E7" s="133"/>
      <c r="F7" s="133"/>
      <c r="G7" s="133"/>
      <c r="H7" s="133"/>
      <c r="I7" s="134"/>
      <c r="J7" s="119"/>
      <c r="K7" s="119"/>
      <c r="L7" s="119"/>
    </row>
    <row r="8" spans="1:12" ht="18" customHeight="1" x14ac:dyDescent="0.2">
      <c r="A8" s="145"/>
      <c r="B8" s="577" t="s">
        <v>145</v>
      </c>
      <c r="C8" s="578"/>
      <c r="D8" s="579"/>
      <c r="E8" s="577"/>
      <c r="F8" s="578"/>
      <c r="G8" s="578"/>
      <c r="H8" s="579"/>
      <c r="I8" s="128"/>
      <c r="J8" s="129"/>
      <c r="K8" s="146"/>
      <c r="L8" s="119"/>
    </row>
    <row r="9" spans="1:12" ht="18" customHeight="1" x14ac:dyDescent="0.2">
      <c r="A9" s="145"/>
      <c r="B9" s="577" t="s">
        <v>146</v>
      </c>
      <c r="C9" s="578"/>
      <c r="D9" s="579"/>
      <c r="E9" s="577" t="s">
        <v>147</v>
      </c>
      <c r="F9" s="578"/>
      <c r="G9" s="578"/>
      <c r="H9" s="579"/>
      <c r="I9" s="128"/>
      <c r="J9" s="129"/>
      <c r="K9" s="146"/>
      <c r="L9" s="119"/>
    </row>
    <row r="10" spans="1:12" ht="18" customHeight="1" x14ac:dyDescent="0.2">
      <c r="A10" s="145"/>
      <c r="B10" s="592" t="s">
        <v>148</v>
      </c>
      <c r="C10" s="594"/>
      <c r="D10" s="593"/>
      <c r="E10" s="595" t="s">
        <v>69</v>
      </c>
      <c r="F10" s="596"/>
      <c r="G10" s="596"/>
      <c r="H10" s="597"/>
      <c r="I10" s="147"/>
      <c r="J10" s="148"/>
      <c r="K10" s="149"/>
      <c r="L10" s="119"/>
    </row>
    <row r="11" spans="1:12" ht="18" customHeight="1" x14ac:dyDescent="0.2">
      <c r="A11" s="145"/>
      <c r="B11" s="592" t="s">
        <v>149</v>
      </c>
      <c r="C11" s="594"/>
      <c r="D11" s="593"/>
      <c r="E11" s="577" t="s">
        <v>69</v>
      </c>
      <c r="F11" s="578"/>
      <c r="G11" s="578"/>
      <c r="H11" s="579"/>
      <c r="I11" s="150"/>
      <c r="J11" s="129"/>
      <c r="K11" s="129"/>
      <c r="L11" s="119"/>
    </row>
    <row r="12" spans="1:12" ht="18" customHeight="1" x14ac:dyDescent="0.2">
      <c r="A12" s="151"/>
      <c r="B12" s="592" t="s">
        <v>150</v>
      </c>
      <c r="C12" s="594"/>
      <c r="D12" s="593"/>
      <c r="E12" s="577" t="s">
        <v>69</v>
      </c>
      <c r="F12" s="578"/>
      <c r="G12" s="578"/>
      <c r="H12" s="579"/>
      <c r="I12" s="128"/>
      <c r="J12" s="129"/>
      <c r="K12" s="130"/>
      <c r="L12" s="119"/>
    </row>
    <row r="13" spans="1:12" ht="18" customHeight="1" x14ac:dyDescent="0.2">
      <c r="A13" s="143"/>
      <c r="B13" s="592" t="s">
        <v>151</v>
      </c>
      <c r="C13" s="594"/>
      <c r="D13" s="593"/>
      <c r="E13" s="577" t="s">
        <v>0</v>
      </c>
      <c r="F13" s="578"/>
      <c r="G13" s="578"/>
      <c r="H13" s="579"/>
      <c r="I13" s="134"/>
      <c r="J13" s="119"/>
      <c r="K13" s="119"/>
      <c r="L13" s="119"/>
    </row>
    <row r="14" spans="1:12" ht="18" customHeight="1" x14ac:dyDescent="0.2">
      <c r="A14" s="143"/>
      <c r="B14" s="144"/>
      <c r="C14" s="144"/>
      <c r="D14" s="133"/>
      <c r="E14" s="133"/>
      <c r="F14" s="133"/>
      <c r="G14" s="133"/>
      <c r="H14" s="133"/>
      <c r="I14" s="134"/>
      <c r="J14" s="119"/>
      <c r="K14" s="119"/>
      <c r="L14" s="119"/>
    </row>
    <row r="15" spans="1:12" ht="18" customHeight="1" x14ac:dyDescent="0.2">
      <c r="A15" s="152" t="s">
        <v>152</v>
      </c>
      <c r="B15" s="123"/>
      <c r="C15" s="144"/>
      <c r="D15" s="133"/>
      <c r="E15" s="133"/>
      <c r="F15" s="133"/>
      <c r="G15" s="133"/>
      <c r="H15" s="133"/>
      <c r="I15" s="134"/>
      <c r="J15" s="119"/>
      <c r="K15" s="119"/>
      <c r="L15" s="119"/>
    </row>
    <row r="16" spans="1:12" ht="18" customHeight="1" x14ac:dyDescent="0.2">
      <c r="A16" s="143"/>
      <c r="B16" s="144" t="s">
        <v>153</v>
      </c>
      <c r="C16" s="144"/>
      <c r="D16" s="133"/>
      <c r="E16" s="133"/>
      <c r="F16" s="133"/>
      <c r="G16" s="133"/>
      <c r="H16" s="133"/>
      <c r="I16" s="134"/>
      <c r="J16" s="119"/>
      <c r="K16" s="119"/>
      <c r="L16" s="119"/>
    </row>
    <row r="17" spans="1:12" ht="18" customHeight="1" x14ac:dyDescent="0.2">
      <c r="A17" s="143"/>
      <c r="B17" s="144" t="s">
        <v>154</v>
      </c>
      <c r="C17" s="144"/>
      <c r="D17" s="133"/>
      <c r="E17" s="133"/>
      <c r="F17" s="133"/>
      <c r="G17" s="133"/>
      <c r="H17" s="133"/>
      <c r="I17" s="134"/>
      <c r="J17" s="119"/>
      <c r="K17" s="119"/>
      <c r="L17" s="119"/>
    </row>
    <row r="18" spans="1:12" ht="18" customHeight="1" x14ac:dyDescent="0.2">
      <c r="A18" s="143"/>
      <c r="B18" s="144" t="s">
        <v>155</v>
      </c>
      <c r="C18" s="144"/>
      <c r="D18" s="133"/>
      <c r="E18" s="133"/>
      <c r="F18" s="133"/>
      <c r="G18" s="133"/>
      <c r="H18" s="133"/>
      <c r="I18" s="134"/>
      <c r="J18" s="119"/>
      <c r="K18" s="119"/>
      <c r="L18" s="119"/>
    </row>
    <row r="19" spans="1:12" ht="18" customHeight="1" x14ac:dyDescent="0.2">
      <c r="A19" s="143"/>
      <c r="B19" s="144" t="s">
        <v>154</v>
      </c>
      <c r="C19" s="144"/>
      <c r="D19" s="133"/>
      <c r="E19" s="133"/>
      <c r="F19" s="133"/>
      <c r="G19" s="133"/>
      <c r="H19" s="133"/>
      <c r="I19" s="134"/>
      <c r="J19" s="119"/>
      <c r="K19" s="119"/>
      <c r="L19" s="119"/>
    </row>
    <row r="20" spans="1:12" ht="18" customHeight="1" x14ac:dyDescent="0.2">
      <c r="A20" s="143"/>
      <c r="B20" s="144"/>
      <c r="C20" s="144"/>
      <c r="D20" s="133"/>
      <c r="E20" s="133"/>
      <c r="F20" s="133"/>
      <c r="G20" s="133"/>
      <c r="H20" s="133"/>
      <c r="I20" s="134"/>
      <c r="J20" s="119"/>
      <c r="K20" s="119"/>
      <c r="L20" s="119"/>
    </row>
    <row r="21" spans="1:12" ht="18" customHeight="1" x14ac:dyDescent="0.2">
      <c r="A21" s="143"/>
      <c r="B21" s="144"/>
      <c r="C21" s="144"/>
      <c r="D21" s="133"/>
      <c r="E21" s="133"/>
      <c r="F21" s="133"/>
      <c r="G21" s="133"/>
      <c r="H21" s="133"/>
      <c r="I21" s="134"/>
      <c r="J21" s="119"/>
      <c r="K21" s="119"/>
      <c r="L21" s="119"/>
    </row>
    <row r="22" spans="1:12" ht="18" customHeight="1" x14ac:dyDescent="0.2">
      <c r="A22" s="143"/>
      <c r="B22" s="598"/>
      <c r="C22" s="598"/>
      <c r="D22" s="598"/>
      <c r="E22" s="599" t="s">
        <v>156</v>
      </c>
      <c r="F22" s="600"/>
      <c r="G22" s="601" t="s">
        <v>157</v>
      </c>
      <c r="H22" s="601"/>
      <c r="I22" s="128"/>
      <c r="J22" s="129"/>
      <c r="K22" s="130"/>
      <c r="L22" s="119"/>
    </row>
    <row r="23" spans="1:12" ht="18" customHeight="1" x14ac:dyDescent="0.2">
      <c r="A23" s="143"/>
      <c r="B23" s="589" t="s">
        <v>158</v>
      </c>
      <c r="C23" s="590"/>
      <c r="D23" s="591"/>
      <c r="E23" s="592" t="s">
        <v>159</v>
      </c>
      <c r="F23" s="593"/>
      <c r="G23" s="592" t="s">
        <v>159</v>
      </c>
      <c r="H23" s="593"/>
      <c r="I23" s="128"/>
      <c r="J23" s="153"/>
      <c r="K23" s="154"/>
      <c r="L23" s="155">
        <v>2.7777777777777779E-3</v>
      </c>
    </row>
    <row r="24" spans="1:12" ht="18" customHeight="1" x14ac:dyDescent="0.2">
      <c r="A24" s="143"/>
      <c r="B24" s="156" t="s">
        <v>160</v>
      </c>
      <c r="C24" s="157"/>
      <c r="D24" s="158"/>
      <c r="E24" s="602">
        <v>10.199999999999999</v>
      </c>
      <c r="F24" s="603"/>
      <c r="G24" s="604">
        <v>9.9</v>
      </c>
      <c r="H24" s="604"/>
      <c r="I24" s="159"/>
      <c r="J24" s="153"/>
      <c r="K24" s="154"/>
      <c r="L24" s="155">
        <v>6.9444444444444441E-3</v>
      </c>
    </row>
    <row r="25" spans="1:12" ht="18" customHeight="1" x14ac:dyDescent="0.2">
      <c r="A25" s="143"/>
      <c r="B25" s="156" t="s">
        <v>161</v>
      </c>
      <c r="C25" s="157"/>
      <c r="D25" s="157"/>
      <c r="E25" s="602">
        <v>8.3000000000000007</v>
      </c>
      <c r="F25" s="603"/>
      <c r="G25" s="604">
        <v>8.1999999999999993</v>
      </c>
      <c r="H25" s="604"/>
      <c r="I25" s="159"/>
      <c r="J25" s="153"/>
      <c r="K25" s="154"/>
      <c r="L25" s="155">
        <v>2.0833333333333333E-3</v>
      </c>
    </row>
    <row r="26" spans="1:12" ht="18" customHeight="1" x14ac:dyDescent="0.2">
      <c r="A26" s="143"/>
      <c r="B26" s="605" t="s">
        <v>162</v>
      </c>
      <c r="C26" s="606"/>
      <c r="D26" s="607"/>
      <c r="E26" s="611">
        <f>E25/E24*100</f>
        <v>81.37254901960786</v>
      </c>
      <c r="F26" s="612"/>
      <c r="G26" s="611">
        <f>G25/G24*100</f>
        <v>82.828282828282823</v>
      </c>
      <c r="H26" s="612"/>
      <c r="I26" s="159"/>
      <c r="J26" s="129"/>
      <c r="K26" s="129"/>
      <c r="L26" s="155">
        <v>1.3888888888888888E-2</v>
      </c>
    </row>
    <row r="27" spans="1:12" ht="9.75" customHeight="1" x14ac:dyDescent="0.2">
      <c r="A27" s="143"/>
      <c r="B27" s="608"/>
      <c r="C27" s="609"/>
      <c r="D27" s="610"/>
      <c r="E27" s="613"/>
      <c r="F27" s="614"/>
      <c r="G27" s="613"/>
      <c r="H27" s="614"/>
      <c r="I27" s="159"/>
      <c r="J27" s="129"/>
      <c r="K27" s="129"/>
      <c r="L27" s="119"/>
    </row>
    <row r="28" spans="1:12" ht="18" customHeight="1" x14ac:dyDescent="0.2">
      <c r="A28" s="143"/>
      <c r="B28" s="160" t="s">
        <v>163</v>
      </c>
      <c r="C28" s="161"/>
      <c r="D28" s="161"/>
      <c r="E28" s="161"/>
      <c r="F28" s="161"/>
      <c r="G28" s="127"/>
      <c r="H28" s="162"/>
      <c r="I28" s="128"/>
      <c r="J28" s="129"/>
      <c r="K28" s="129"/>
      <c r="L28" s="119"/>
    </row>
    <row r="29" spans="1:12" ht="18" customHeight="1" x14ac:dyDescent="0.2">
      <c r="A29" s="143"/>
      <c r="B29" s="163" t="s">
        <v>164</v>
      </c>
      <c r="C29" s="164"/>
      <c r="D29" s="164"/>
      <c r="E29" s="164"/>
      <c r="F29" s="164"/>
      <c r="G29" s="164"/>
      <c r="H29" s="165"/>
      <c r="I29" s="128"/>
      <c r="J29" s="129"/>
      <c r="K29" s="129"/>
      <c r="L29" s="119"/>
    </row>
    <row r="30" spans="1:12" ht="18" customHeight="1" x14ac:dyDescent="0.2">
      <c r="A30" s="143"/>
      <c r="B30" s="160" t="s">
        <v>165</v>
      </c>
      <c r="C30" s="161"/>
      <c r="D30" s="161"/>
      <c r="E30" s="161"/>
      <c r="F30" s="161"/>
      <c r="G30" s="161"/>
      <c r="H30" s="162"/>
      <c r="I30" s="128"/>
      <c r="J30" s="166" t="e">
        <f>IF(#REF!="","",AVERAGE(E28:J28))%</f>
        <v>#REF!</v>
      </c>
      <c r="K30" s="166"/>
      <c r="L30" s="119"/>
    </row>
    <row r="31" spans="1:12" ht="18" customHeight="1" x14ac:dyDescent="0.2">
      <c r="A31" s="143"/>
      <c r="B31" s="163" t="s">
        <v>166</v>
      </c>
      <c r="C31" s="164"/>
      <c r="D31" s="164"/>
      <c r="E31" s="127"/>
      <c r="F31" s="127"/>
      <c r="G31" s="127"/>
      <c r="H31" s="165"/>
      <c r="I31" s="128"/>
      <c r="J31" s="167"/>
      <c r="K31" s="167"/>
      <c r="L31" s="119"/>
    </row>
    <row r="32" spans="1:12" ht="18" customHeight="1" x14ac:dyDescent="0.2">
      <c r="A32" s="143"/>
      <c r="B32" s="168" t="s">
        <v>167</v>
      </c>
      <c r="C32" s="169"/>
      <c r="D32" s="170"/>
      <c r="E32" s="168" t="s">
        <v>168</v>
      </c>
      <c r="F32" s="169"/>
      <c r="G32" s="169"/>
      <c r="H32" s="170"/>
      <c r="I32" s="150"/>
      <c r="J32" s="119"/>
      <c r="K32" s="119"/>
      <c r="L32" s="119"/>
    </row>
    <row r="33" spans="1:12" ht="18" customHeight="1" x14ac:dyDescent="0.2">
      <c r="A33" s="143"/>
      <c r="B33" s="171"/>
      <c r="C33" s="133"/>
      <c r="D33" s="172"/>
      <c r="E33" s="171"/>
      <c r="F33" s="133"/>
      <c r="G33" s="133"/>
      <c r="H33" s="172"/>
      <c r="I33" s="134"/>
      <c r="J33" s="119"/>
      <c r="K33" s="119"/>
      <c r="L33" s="119"/>
    </row>
    <row r="34" spans="1:12" ht="18" customHeight="1" x14ac:dyDescent="0.2">
      <c r="A34" s="143"/>
      <c r="B34" s="615" t="s">
        <v>169</v>
      </c>
      <c r="C34" s="616"/>
      <c r="D34" s="173">
        <f>AVERAGE(E26:H27)</f>
        <v>82.100415923945349</v>
      </c>
      <c r="E34" s="174"/>
      <c r="F34" s="175" t="s">
        <v>170</v>
      </c>
      <c r="G34" s="175"/>
      <c r="H34" s="176"/>
      <c r="I34" s="134"/>
      <c r="J34" s="146"/>
      <c r="K34" s="146"/>
      <c r="L34" s="119"/>
    </row>
    <row r="35" spans="1:12" ht="18" customHeight="1" x14ac:dyDescent="0.2">
      <c r="A35" s="143"/>
      <c r="B35" s="133"/>
      <c r="C35" s="133"/>
      <c r="D35" s="133"/>
      <c r="E35" s="133"/>
      <c r="F35" s="133"/>
      <c r="G35" s="133"/>
      <c r="H35" s="133"/>
      <c r="I35" s="134"/>
      <c r="J35" s="130"/>
      <c r="K35" s="130"/>
      <c r="L35" s="119"/>
    </row>
    <row r="36" spans="1:12" ht="18" customHeight="1" x14ac:dyDescent="0.2">
      <c r="A36" s="177"/>
      <c r="B36" s="178" t="s">
        <v>171</v>
      </c>
      <c r="C36" s="179"/>
      <c r="D36" s="180"/>
      <c r="E36" s="181"/>
      <c r="F36" s="179"/>
      <c r="G36" s="179"/>
      <c r="H36" s="180"/>
      <c r="I36" s="134"/>
      <c r="J36" s="130"/>
      <c r="K36" s="130"/>
      <c r="L36" s="119"/>
    </row>
    <row r="37" spans="1:12" ht="18" customHeight="1" x14ac:dyDescent="0.2">
      <c r="A37" s="182"/>
      <c r="B37" s="171"/>
      <c r="C37" s="133"/>
      <c r="D37" s="172"/>
      <c r="E37" s="617" t="s">
        <v>172</v>
      </c>
      <c r="F37" s="618"/>
      <c r="G37" s="618"/>
      <c r="H37" s="619"/>
      <c r="I37" s="134"/>
      <c r="J37" s="130"/>
      <c r="K37" s="130"/>
      <c r="L37" s="119"/>
    </row>
    <row r="38" spans="1:12" ht="18" customHeight="1" x14ac:dyDescent="0.2">
      <c r="A38" s="182"/>
      <c r="B38" s="171"/>
      <c r="C38" s="133"/>
      <c r="D38" s="172"/>
      <c r="E38" s="171"/>
      <c r="F38" s="133"/>
      <c r="G38" s="133"/>
      <c r="H38" s="172"/>
      <c r="I38" s="134"/>
      <c r="J38" s="130"/>
      <c r="K38" s="130"/>
      <c r="L38" s="119"/>
    </row>
    <row r="39" spans="1:12" ht="18" customHeight="1" x14ac:dyDescent="0.2">
      <c r="A39" s="182"/>
      <c r="B39" s="183"/>
      <c r="C39" s="144"/>
      <c r="D39" s="172"/>
      <c r="E39" s="617" t="s">
        <v>173</v>
      </c>
      <c r="F39" s="618"/>
      <c r="G39" s="618"/>
      <c r="H39" s="619"/>
      <c r="I39" s="134"/>
      <c r="J39" s="130"/>
      <c r="K39" s="130"/>
      <c r="L39" s="119"/>
    </row>
    <row r="40" spans="1:12" ht="18" customHeight="1" x14ac:dyDescent="0.2">
      <c r="A40" s="182"/>
      <c r="B40" s="183"/>
      <c r="C40" s="144"/>
      <c r="D40" s="172"/>
      <c r="E40" s="171"/>
      <c r="F40" s="133"/>
      <c r="G40" s="133"/>
      <c r="H40" s="172"/>
      <c r="I40" s="134"/>
      <c r="J40" s="130"/>
      <c r="K40" s="130"/>
      <c r="L40" s="119"/>
    </row>
    <row r="41" spans="1:12" ht="18" customHeight="1" thickBot="1" x14ac:dyDescent="0.25">
      <c r="A41" s="184"/>
      <c r="B41" s="174"/>
      <c r="C41" s="185"/>
      <c r="D41" s="176"/>
      <c r="E41" s="620" t="s">
        <v>174</v>
      </c>
      <c r="F41" s="621"/>
      <c r="G41" s="621"/>
      <c r="H41" s="622"/>
      <c r="I41" s="134"/>
      <c r="J41" s="119"/>
      <c r="K41" s="119"/>
      <c r="L41" s="119"/>
    </row>
    <row r="42" spans="1:12" ht="18" customHeight="1" x14ac:dyDescent="0.2">
      <c r="A42" s="186"/>
      <c r="B42" s="133"/>
      <c r="C42" s="144"/>
      <c r="D42" s="133"/>
      <c r="E42" s="133"/>
      <c r="F42" s="133"/>
      <c r="G42" s="133"/>
      <c r="H42" s="133"/>
      <c r="I42" s="134"/>
      <c r="J42" s="119"/>
      <c r="K42" s="119"/>
    </row>
    <row r="43" spans="1:12" ht="18" customHeight="1" thickBot="1" x14ac:dyDescent="0.25">
      <c r="A43" s="187"/>
      <c r="B43" s="188"/>
      <c r="C43" s="623"/>
      <c r="D43" s="623"/>
      <c r="E43" s="623"/>
      <c r="F43" s="623"/>
      <c r="G43" s="188"/>
      <c r="H43" s="188"/>
      <c r="I43" s="189"/>
      <c r="J43" s="130"/>
      <c r="K43" s="130"/>
    </row>
    <row r="44" spans="1:12" ht="18" customHeight="1" x14ac:dyDescent="0.2">
      <c r="A44" s="119"/>
      <c r="B44" s="119"/>
      <c r="C44" s="119"/>
      <c r="D44" s="130"/>
      <c r="E44" s="130"/>
      <c r="F44" s="130"/>
      <c r="G44" s="130"/>
      <c r="H44" s="130"/>
      <c r="I44" s="130"/>
      <c r="J44" s="130"/>
      <c r="K44" s="130"/>
    </row>
    <row r="45" spans="1:12" ht="18" customHeight="1" x14ac:dyDescent="0.2">
      <c r="A45" s="119"/>
      <c r="B45" s="119"/>
      <c r="C45" s="119"/>
      <c r="D45" s="130"/>
      <c r="E45" s="130"/>
      <c r="F45" s="130"/>
      <c r="G45" s="130"/>
      <c r="H45" s="130"/>
      <c r="I45" s="130"/>
      <c r="J45" s="130"/>
      <c r="K45" s="130"/>
    </row>
    <row r="46" spans="1:12" ht="18" customHeight="1" x14ac:dyDescent="0.2">
      <c r="A46" s="119"/>
      <c r="B46" s="119"/>
      <c r="C46" s="119"/>
      <c r="D46" s="130"/>
      <c r="E46" s="130"/>
      <c r="F46" s="130"/>
      <c r="G46" s="130"/>
      <c r="H46" s="130"/>
      <c r="I46" s="130"/>
      <c r="J46" s="119"/>
      <c r="K46" s="119"/>
    </row>
    <row r="47" spans="1:12" ht="18" customHeight="1" x14ac:dyDescent="0.2">
      <c r="A47" s="130"/>
      <c r="B47" s="119"/>
      <c r="C47" s="119"/>
      <c r="D47" s="130"/>
      <c r="E47" s="130"/>
      <c r="F47" s="130"/>
      <c r="G47" s="130"/>
      <c r="H47" s="130"/>
      <c r="I47" s="130"/>
      <c r="J47" s="119"/>
      <c r="K47" s="119"/>
    </row>
    <row r="48" spans="1:12" ht="18" customHeight="1" x14ac:dyDescent="0.2">
      <c r="A48" s="119"/>
      <c r="B48" s="119"/>
      <c r="C48" s="119"/>
      <c r="D48" s="130"/>
      <c r="E48" s="130"/>
      <c r="F48" s="130"/>
      <c r="G48" s="130"/>
      <c r="H48" s="130"/>
      <c r="I48" s="130"/>
      <c r="J48" s="119"/>
    </row>
    <row r="49" spans="1:10" ht="18" customHeight="1" x14ac:dyDescent="0.2">
      <c r="A49" s="119"/>
      <c r="B49" s="119"/>
      <c r="C49" s="119"/>
      <c r="D49" s="130"/>
      <c r="E49" s="130"/>
      <c r="F49" s="130"/>
      <c r="G49" s="130"/>
      <c r="H49" s="130"/>
      <c r="I49" s="130"/>
      <c r="J49" s="119"/>
    </row>
    <row r="50" spans="1:10" ht="18" customHeight="1" x14ac:dyDescent="0.2">
      <c r="A50" s="119"/>
      <c r="B50" s="119"/>
      <c r="C50" s="119"/>
      <c r="D50" s="130"/>
      <c r="E50" s="130"/>
      <c r="F50" s="130"/>
      <c r="G50" s="130"/>
      <c r="H50" s="130"/>
      <c r="I50" s="130"/>
      <c r="J50" s="119"/>
    </row>
    <row r="51" spans="1:10" ht="18" customHeight="1" x14ac:dyDescent="0.2">
      <c r="A51" s="119"/>
      <c r="B51" s="119"/>
      <c r="C51" s="119"/>
      <c r="D51" s="130"/>
      <c r="E51" s="130"/>
      <c r="F51" s="130"/>
      <c r="G51" s="130"/>
      <c r="H51" s="130"/>
      <c r="I51" s="130"/>
      <c r="J51" s="119"/>
    </row>
    <row r="52" spans="1:10" ht="18" customHeight="1" x14ac:dyDescent="0.2">
      <c r="A52" s="119"/>
      <c r="B52" s="119"/>
      <c r="C52" s="119"/>
      <c r="D52" s="130"/>
      <c r="E52" s="130"/>
      <c r="F52" s="130"/>
      <c r="G52" s="130"/>
      <c r="H52" s="130"/>
      <c r="I52" s="130"/>
    </row>
    <row r="53" spans="1:10" ht="18" customHeight="1" x14ac:dyDescent="0.2">
      <c r="A53" s="119"/>
      <c r="B53" s="119"/>
      <c r="C53" s="119"/>
      <c r="D53" s="130"/>
      <c r="E53" s="130"/>
      <c r="F53" s="130"/>
      <c r="G53" s="130"/>
      <c r="H53" s="130"/>
      <c r="I53" s="130"/>
    </row>
    <row r="54" spans="1:10" ht="18" customHeight="1" x14ac:dyDescent="0.2">
      <c r="B54" s="119"/>
      <c r="C54" s="119"/>
      <c r="D54" s="130"/>
      <c r="E54" s="130"/>
      <c r="F54" s="130"/>
      <c r="G54" s="130"/>
    </row>
    <row r="55" spans="1:10" ht="18" customHeight="1" x14ac:dyDescent="0.2">
      <c r="B55" s="119"/>
      <c r="C55" s="119"/>
      <c r="D55" s="130"/>
      <c r="E55" s="130"/>
      <c r="F55" s="130"/>
      <c r="G55" s="130"/>
    </row>
  </sheetData>
  <mergeCells count="34">
    <mergeCell ref="B34:C34"/>
    <mergeCell ref="E37:H37"/>
    <mergeCell ref="E39:H39"/>
    <mergeCell ref="E41:H41"/>
    <mergeCell ref="C43:D43"/>
    <mergeCell ref="E43:F43"/>
    <mergeCell ref="E24:F24"/>
    <mergeCell ref="G24:H24"/>
    <mergeCell ref="E25:F25"/>
    <mergeCell ref="G25:H25"/>
    <mergeCell ref="B26:D27"/>
    <mergeCell ref="E26:F27"/>
    <mergeCell ref="G26:H27"/>
    <mergeCell ref="B23:D23"/>
    <mergeCell ref="E23:F23"/>
    <mergeCell ref="G23:H23"/>
    <mergeCell ref="B10:D10"/>
    <mergeCell ref="E10:H10"/>
    <mergeCell ref="B11:D11"/>
    <mergeCell ref="E11:H11"/>
    <mergeCell ref="B12:D12"/>
    <mergeCell ref="E12:H12"/>
    <mergeCell ref="B13:D13"/>
    <mergeCell ref="E13:H13"/>
    <mergeCell ref="B22:D22"/>
    <mergeCell ref="E22:F22"/>
    <mergeCell ref="G22:H22"/>
    <mergeCell ref="B9:D9"/>
    <mergeCell ref="E9:H9"/>
    <mergeCell ref="C1:G1"/>
    <mergeCell ref="C3:G3"/>
    <mergeCell ref="C4:G4"/>
    <mergeCell ref="B8:D8"/>
    <mergeCell ref="E8:H8"/>
  </mergeCells>
  <printOptions horizontalCentered="1" verticalCentered="1"/>
  <pageMargins left="0.39" right="0.79" top="0.7" bottom="0.39370078740157483" header="0.31496062992125984" footer="0.31496062992125984"/>
  <pageSetup paperSize="9" orientation="portrait" r:id="rId1"/>
  <headerFooter alignWithMargins="0">
    <oddFooter>&amp;C&amp;8Construtora Andrade Gutierrez S.A.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PAGE RECAP  P1 (2)</vt:lpstr>
      <vt:lpstr>Teneur en eau 2 P1 </vt:lpstr>
      <vt:lpstr>Granulo P1</vt:lpstr>
      <vt:lpstr>Courbe P1 (2)</vt:lpstr>
      <vt:lpstr>PS</vt:lpstr>
      <vt:lpstr>EQUIVALENTE (2)</vt:lpstr>
      <vt:lpstr>'EQUIVALENTE (2)'!Zone_d_impression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BARYT</dc:creator>
  <cp:lastModifiedBy>Utilisateur Windows</cp:lastModifiedBy>
  <cp:lastPrinted>2020-01-10T05:56:12Z</cp:lastPrinted>
  <dcterms:created xsi:type="dcterms:W3CDTF">2018-08-30T08:30:49Z</dcterms:created>
  <dcterms:modified xsi:type="dcterms:W3CDTF">2020-01-10T05:56:53Z</dcterms:modified>
</cp:coreProperties>
</file>