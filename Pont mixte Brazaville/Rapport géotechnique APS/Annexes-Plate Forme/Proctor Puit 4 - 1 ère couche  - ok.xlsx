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Limite " sheetId="34" r:id="rId5"/>
    <sheet name="PS" sheetId="35" r:id="rId6"/>
    <sheet name="Proctor C01" sheetId="33" r:id="rId7"/>
    <sheet name=" CBR Poinc" sheetId="23" r:id="rId8"/>
    <sheet name="CBR Crb (2)" sheetId="24" r:id="rId9"/>
  </sheets>
  <externalReferences>
    <externalReference r:id="rId10"/>
  </externalReferences>
  <definedNames>
    <definedName name="a" localSheetId="4">#REF!</definedName>
    <definedName name="a" localSheetId="6">#REF!</definedName>
    <definedName name="a">#REF!</definedName>
    <definedName name="B" localSheetId="4">#REF!</definedName>
    <definedName name="B" localSheetId="6">#REF!</definedName>
    <definedName name="B">#REF!</definedName>
    <definedName name="Compactação" localSheetId="4">#REF!</definedName>
    <definedName name="Compactação" localSheetId="6">#REF!</definedName>
    <definedName name="Compactação">#REF!</definedName>
    <definedName name="d" localSheetId="4">#REF!</definedName>
    <definedName name="d" localSheetId="6">#REF!</definedName>
    <definedName name="d">#REF!</definedName>
    <definedName name="da" localSheetId="4">#REF!</definedName>
    <definedName name="da" localSheetId="6">#REF!</definedName>
    <definedName name="da">#REF!</definedName>
    <definedName name="dd" localSheetId="4">#REF!</definedName>
    <definedName name="dd" localSheetId="6">#REF!</definedName>
    <definedName name="dd">#REF!</definedName>
    <definedName name="f" localSheetId="4">#REF!</definedName>
    <definedName name="f" localSheetId="6">#REF!</definedName>
    <definedName name="f">#REF!</definedName>
    <definedName name="H" localSheetId="4">#REF!</definedName>
    <definedName name="H" localSheetId="6">#REF!</definedName>
    <definedName name="H">#REF!</definedName>
    <definedName name="k" localSheetId="4">#REF!</definedName>
    <definedName name="k" localSheetId="6">#REF!</definedName>
    <definedName name="k">#REF!</definedName>
    <definedName name="kk" localSheetId="4">#REF!</definedName>
    <definedName name="kk" localSheetId="6">#REF!</definedName>
    <definedName name="kk">#REF!</definedName>
    <definedName name="Liquidez" localSheetId="4">#REF!</definedName>
    <definedName name="Liquidez" localSheetId="6">#REF!</definedName>
    <definedName name="Liquidez">#REF!</definedName>
    <definedName name="non" localSheetId="4">#REF!</definedName>
    <definedName name="non" localSheetId="6">#REF!</definedName>
    <definedName name="non">#REF!</definedName>
    <definedName name="o" localSheetId="4">#REF!</definedName>
    <definedName name="o" localSheetId="6">#REF!</definedName>
    <definedName name="o">#REF!</definedName>
    <definedName name="oi" localSheetId="4">#REF!</definedName>
    <definedName name="oi" localSheetId="6">#REF!</definedName>
    <definedName name="oi">#REF!</definedName>
    <definedName name="ou" localSheetId="4">#REF!</definedName>
    <definedName name="ou" localSheetId="6">#REF!</definedName>
    <definedName name="ou">#REF!</definedName>
    <definedName name="oui" localSheetId="4">#REF!</definedName>
    <definedName name="oui" localSheetId="6">#REF!</definedName>
    <definedName name="oui">#REF!</definedName>
    <definedName name="p" localSheetId="4">#REF!</definedName>
    <definedName name="p" localSheetId="6">#REF!</definedName>
    <definedName name="p">#REF!</definedName>
    <definedName name="Plasticidade" localSheetId="4">#REF!</definedName>
    <definedName name="Plasticidade" localSheetId="6">#REF!</definedName>
    <definedName name="Plasticidade">#REF!</definedName>
    <definedName name="Platicidade" localSheetId="4">#REF!</definedName>
    <definedName name="Platicidade" localSheetId="6">#REF!</definedName>
    <definedName name="Platicidade">#REF!</definedName>
    <definedName name="q" localSheetId="4">#REF!</definedName>
    <definedName name="q" localSheetId="6">#REF!</definedName>
    <definedName name="q">#REF!</definedName>
    <definedName name="sa" localSheetId="4">#REF!</definedName>
    <definedName name="sa" localSheetId="6">#REF!</definedName>
    <definedName name="sa">#REF!</definedName>
    <definedName name="sandro" localSheetId="4">#REF!</definedName>
    <definedName name="sandro" localSheetId="6">#REF!</definedName>
    <definedName name="sandro">#REF!</definedName>
    <definedName name="sq" localSheetId="4">#REF!</definedName>
    <definedName name="sq" localSheetId="6">#REF!</definedName>
    <definedName name="sq">#REF!</definedName>
    <definedName name="ss" localSheetId="4">#REF!</definedName>
    <definedName name="ss" localSheetId="6">#REF!</definedName>
    <definedName name="ss">#REF!</definedName>
    <definedName name="w" localSheetId="4">#REF!</definedName>
    <definedName name="w" localSheetId="6">#REF!</definedName>
    <definedName name="w">#REF!</definedName>
    <definedName name="xa" localSheetId="4">#REF!</definedName>
    <definedName name="xa" localSheetId="6">#REF!</definedName>
    <definedName name="xa">#REF!</definedName>
    <definedName name="_xlnm.Print_Area" localSheetId="4">#REF!</definedName>
    <definedName name="_xlnm.Print_Area" localSheetId="6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35" l="1"/>
  <c r="G32" i="35"/>
  <c r="H30" i="35"/>
  <c r="G30" i="35"/>
  <c r="H28" i="35"/>
  <c r="G28" i="35"/>
  <c r="G34" i="35" s="1"/>
  <c r="G38" i="35" l="1"/>
  <c r="H34" i="35"/>
  <c r="H38" i="35" s="1"/>
  <c r="G42" i="35" s="1"/>
  <c r="K12" i="25" s="1"/>
  <c r="X47" i="25"/>
  <c r="B6" i="29"/>
  <c r="T31" i="24"/>
  <c r="N9" i="24"/>
  <c r="D8" i="24"/>
  <c r="D5" i="24"/>
  <c r="N6" i="24" l="1"/>
  <c r="K6" i="27"/>
  <c r="L6" i="29" s="1"/>
  <c r="D11" i="25" l="1"/>
  <c r="M21" i="34"/>
  <c r="K15" i="34"/>
  <c r="J15" i="34"/>
  <c r="I15" i="34"/>
  <c r="G15" i="34"/>
  <c r="F15" i="34"/>
  <c r="E15" i="34"/>
  <c r="D15" i="34"/>
  <c r="C15" i="34"/>
  <c r="K14" i="34"/>
  <c r="K16" i="34" s="1"/>
  <c r="J14" i="34"/>
  <c r="J16" i="34" s="1"/>
  <c r="I14" i="34"/>
  <c r="I16" i="34" s="1"/>
  <c r="G14" i="34"/>
  <c r="G16" i="34" s="1"/>
  <c r="F14" i="34"/>
  <c r="F16" i="34" s="1"/>
  <c r="E14" i="34"/>
  <c r="E16" i="34" s="1"/>
  <c r="D14" i="34"/>
  <c r="D16" i="34" s="1"/>
  <c r="C14" i="34"/>
  <c r="C16" i="34" s="1"/>
  <c r="K25" i="34" l="1"/>
  <c r="K26" i="34" s="1"/>
  <c r="D13" i="25" s="1"/>
  <c r="D12" i="25" l="1"/>
  <c r="B44" i="33"/>
  <c r="B43" i="33"/>
  <c r="K39" i="33"/>
  <c r="K40" i="33" s="1"/>
  <c r="J39" i="33"/>
  <c r="J40" i="33" s="1"/>
  <c r="I39" i="33"/>
  <c r="I40" i="33" s="1"/>
  <c r="H39" i="33"/>
  <c r="H40" i="33" s="1"/>
  <c r="G39" i="33"/>
  <c r="G40" i="33" s="1"/>
  <c r="F39" i="33"/>
  <c r="F40" i="33" s="1"/>
  <c r="E39" i="33"/>
  <c r="E40" i="33" s="1"/>
  <c r="D39" i="33"/>
  <c r="D40" i="33" s="1"/>
  <c r="C39" i="33"/>
  <c r="C40" i="33" s="1"/>
  <c r="B39" i="33"/>
  <c r="B40" i="33" s="1"/>
  <c r="J30" i="33"/>
  <c r="J32" i="33" s="1"/>
  <c r="H30" i="33"/>
  <c r="H32" i="33" s="1"/>
  <c r="F30" i="33"/>
  <c r="F32" i="33" s="1"/>
  <c r="D30" i="33"/>
  <c r="D32" i="33" s="1"/>
  <c r="B30" i="33"/>
  <c r="B32" i="33" s="1"/>
  <c r="I44" i="33" l="1"/>
  <c r="J13" i="23"/>
  <c r="X54" i="25"/>
  <c r="X55" i="25" s="1"/>
  <c r="I43" i="33"/>
  <c r="Y54" i="25"/>
  <c r="J12" i="23"/>
  <c r="J41" i="33"/>
  <c r="F43" i="25" s="1"/>
  <c r="B41" i="33"/>
  <c r="B43" i="25" s="1"/>
  <c r="H41" i="33"/>
  <c r="E43" i="25" s="1"/>
  <c r="F41" i="33"/>
  <c r="D43" i="25" s="1"/>
  <c r="D41" i="33"/>
  <c r="C43" i="25" s="1"/>
  <c r="B33" i="33"/>
  <c r="B44" i="25" s="1"/>
  <c r="J33" i="33"/>
  <c r="F44" i="25" s="1"/>
  <c r="H33" i="33"/>
  <c r="E44" i="25" s="1"/>
  <c r="F33" i="33" l="1"/>
  <c r="D44" i="25" s="1"/>
  <c r="D33" i="33"/>
  <c r="C44" i="25" s="1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29" i="24" l="1"/>
  <c r="R33" i="23" l="1"/>
  <c r="S40" i="25" s="1"/>
  <c r="O33" i="23"/>
  <c r="S39" i="25" s="1"/>
  <c r="L33" i="23"/>
  <c r="S38" i="25" s="1"/>
  <c r="H44" i="25" l="1"/>
  <c r="H43" i="25" l="1"/>
  <c r="T37" i="26"/>
  <c r="S37" i="26"/>
  <c r="L23" i="27"/>
  <c r="L24" i="27" l="1"/>
  <c r="C17" i="25"/>
  <c r="D17" i="25" s="1"/>
  <c r="E17" i="25" s="1"/>
  <c r="AD18" i="25" s="1"/>
  <c r="N23" i="27"/>
  <c r="O23" i="27" s="1"/>
  <c r="U19" i="29" s="1"/>
  <c r="C18" i="25"/>
  <c r="D18" i="25" s="1"/>
  <c r="E18" i="25" s="1"/>
  <c r="AD19" i="25" s="1"/>
  <c r="L26" i="27"/>
  <c r="N26" i="27" s="1"/>
  <c r="O26" i="27" s="1"/>
  <c r="U21" i="29" s="1"/>
  <c r="F41" i="26"/>
  <c r="K11" i="25" s="1"/>
  <c r="N24" i="27"/>
  <c r="O24" i="27" s="1"/>
  <c r="U20" i="29" s="1"/>
  <c r="C19" i="25" l="1"/>
  <c r="D19" i="25" s="1"/>
  <c r="E19" i="25" s="1"/>
  <c r="AD20" i="25" s="1"/>
  <c r="L29" i="27"/>
  <c r="N29" i="27" s="1"/>
  <c r="O29" i="27" s="1"/>
  <c r="U22" i="29" s="1"/>
  <c r="L32" i="27" l="1"/>
  <c r="N32" i="27" s="1"/>
  <c r="O32" i="27" s="1"/>
  <c r="U23" i="29" s="1"/>
  <c r="C20" i="25"/>
  <c r="D20" i="25" s="1"/>
  <c r="E20" i="25" s="1"/>
  <c r="AD21" i="25" s="1"/>
  <c r="L36" i="27" l="1"/>
  <c r="N36" i="27" s="1"/>
  <c r="O36" i="27" s="1"/>
  <c r="U24" i="29" s="1"/>
  <c r="C22" i="25"/>
  <c r="D22" i="25" s="1"/>
  <c r="E22" i="25" s="1"/>
  <c r="AD22" i="25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N46" i="27" s="1"/>
  <c r="O46" i="27" s="1"/>
  <c r="U27" i="29" s="1"/>
  <c r="C29" i="25"/>
  <c r="D29" i="25" s="1"/>
  <c r="E29" i="25" s="1"/>
  <c r="AD25" i="25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M26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U31" i="24" l="1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<sst xmlns="http://schemas.openxmlformats.org/spreadsheetml/2006/main" count="566" uniqueCount="395">
  <si>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</si>
  <si>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</si>
  <si>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</si>
  <si>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</si>
  <si>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</si>
  <si>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</si>
  <si>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</si>
  <si>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</si>
  <si>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</si>
  <si>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</si>
  <si>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</si>
  <si>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</si>
  <si>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</si>
  <si>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</si>
  <si>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</si>
  <si>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</si>
  <si>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</si>
  <si>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</si>
  <si>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</si>
  <si>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</si>
  <si>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</si>
  <si>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</si>
  <si>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</si>
  <si>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</si>
  <si>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</si>
  <si>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</si>
  <si>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</si>
  <si>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</si>
  <si>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</si>
  <si>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</si>
  <si>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</si>
  <si>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</si>
  <si>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</si>
  <si>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</si>
  <si>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</si>
  <si>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</si>
  <si>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</si>
  <si>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</si>
  <si>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</si>
  <si>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</si>
  <si>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</si>
  <si>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</si>
  <si>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</si>
  <si>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</si>
  <si>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</si>
  <si>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</si>
  <si>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</si>
  <si>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</si>
  <si>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</si>
  <si>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</si>
  <si>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</si>
  <si>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</si>
  <si>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</si>
  <si>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</si>
  <si>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</si>
  <si>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</si>
  <si>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</si>
  <si>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</si>
  <si>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</si>
  <si>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</si>
  <si>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</si>
  <si>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</si>
  <si>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</si>
  <si>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</si>
  <si>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</si>
  <si>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</si>
  <si>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</si>
  <si>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</si>
  <si>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</si>
  <si>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</si>
  <si>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</si>
  <si>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</si>
  <si>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</si>
  <si>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</si>
  <si>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</si>
  <si>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</si>
  <si>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</si>
  <si>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</si>
  <si>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</si>
  <si>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</si>
  <si>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</si>
  <si>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</si>
  <si>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</si>
  <si>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</si>
  <si>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</si>
  <si>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</si>
  <si>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</si>
  <si>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</si>
  <si>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</si>
  <si>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</si>
  <si>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</si>
  <si>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</si>
  <si>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</si>
  <si>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</si>
  <si>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</si>
  <si>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</si>
  <si>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</si>
  <si>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</si>
  <si>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</si>
  <si>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</si>
  <si>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</si>
  <si>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</si>
  <si>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</si>
  <si>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</si>
  <si>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</si>
  <si>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</si>
  <si>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</si>
  <si>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</si>
  <si>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</si>
  <si>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</si>
  <si>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</si>
  <si>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</si>
  <si>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</si>
  <si>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</si>
  <si>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</si>
  <si>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</si>
  <si>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</si>
  <si>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</si>
  <si>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</si>
  <si>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</si>
  <si>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</si>
  <si>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</si>
  <si>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</si>
  <si>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</si>
  <si>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</si>
  <si>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</si>
  <si>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</si>
  <si>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</si>
  <si>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</si>
  <si>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</si>
  <si>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</si>
  <si>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</si>
  <si>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</si>
  <si>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</si>
  <si>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</si>
  <si>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</si>
  <si>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</si>
  <si>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</si>
  <si>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</si>
  <si>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</si>
  <si>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</si>
  <si>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</si>
  <si>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</si>
  <si>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</si>
  <si>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</si>
  <si>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</si>
  <si>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</si>
  <si>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</si>
  <si>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</si>
  <si>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</si>
  <si>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</si>
  <si>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</si>
  <si>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</si>
  <si>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</si>
  <si>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</si>
  <si>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</si>
  <si>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</si>
  <si>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</si>
  <si>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</si>
  <si>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</si>
  <si>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</si>
  <si>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</si>
  <si>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</si>
  <si>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</si>
  <si>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</si>
  <si>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</si>
  <si>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</si>
  <si>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</si>
  <si>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</si>
  <si>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</si>
  <si>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</si>
  <si>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</si>
  <si>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</si>
  <si>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</si>
  <si>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</si>
  <si>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</si>
  <si>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</si>
  <si>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</si>
  <si>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</si>
  <si>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</si>
  <si>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</si>
  <si>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</si>
  <si>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</si>
  <si>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</si>
  <si>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</si>
  <si>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</si>
  <si>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</si>
  <si>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</si>
  <si>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</si>
  <si>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</si>
  <si>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</si>
  <si>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</si>
  <si>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</si>
  <si>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</si>
  <si>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</si>
  <si>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</si>
  <si>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</si>
  <si>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</si>
  <si>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</si>
  <si>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</si>
  <si>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</si>
  <si>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</si>
  <si>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</si>
  <si>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</si>
  <si>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</si>
  <si>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</si>
  <si>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</si>
  <si>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</si>
  <si>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</si>
  <si>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</si>
  <si>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</si>
  <si>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</si>
  <si>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</si>
  <si>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</si>
  <si>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</si>
  <si>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</si>
  <si>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</si>
  <si>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</si>
  <si>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</si>
  <si>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</si>
  <si>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</si>
  <si>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</si>
  <si>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</si>
  <si>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</si>
  <si>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</si>
  <si>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</si>
  <si>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</si>
  <si>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</si>
  <si>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</si>
  <si>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</si>
  <si>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</si>
  <si>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</si>
  <si>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</si>
  <si>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</si>
  <si>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</si>
  <si>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</si>
  <si>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</si>
  <si>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</si>
  <si>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</si>
  <si>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</si>
  <si>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</si>
  <si>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</si>
  <si>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</si>
  <si>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</si>
  <si>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</si>
  <si>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</si>
  <si>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</si>
  <si>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</si>
  <si>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</si>
  <si>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</si>
  <si>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</si>
  <si>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</si>
  <si>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</si>
  <si>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</si>
  <si>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</si>
  <si>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</si>
  <si>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</si>
  <si>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</si>
  <si>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</si>
  <si>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</si>
  <si>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</si>
  <si>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</si>
  <si>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</si>
  <si>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</si>
  <si>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</si>
  <si>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</si>
  <si>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</si>
  <si>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</si>
  <si>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</si>
  <si>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</si>
  <si>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</si>
  <si>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</si>
  <si>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</si>
  <si>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</si>
  <si>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</si>
  <si>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</si>
  <si>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</si>
  <si>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</si>
  <si>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</si>
  <si>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</si>
  <si>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</si>
  <si>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</si>
  <si>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</si>
  <si>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</si>
  <si>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</si>
  <si>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</si>
  <si>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</si>
  <si>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</si>
  <si>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</si>
  <si>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</si>
  <si>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</si>
  <si>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</si>
  <si>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</si>
  <si>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</si>
  <si>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</si>
  <si>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</si>
  <si>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</si>
  <si>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</si>
  <si>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</si>
  <si>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</si>
  <si>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</si>
  <si>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</si>
  <si>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</si>
  <si>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</si>
  <si>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</si>
  <si>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</si>
  <si>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</si>
  <si>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</si>
  <si>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</si>
  <si>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</si>
  <si>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</si>
  <si>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</si>
  <si>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</si>
  <si>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</si>
  <si>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>X4</t>
  </si>
  <si>
    <t xml:space="preserve">Poids refus </t>
  </si>
  <si>
    <t>Pourcentage cumulé</t>
  </si>
  <si>
    <t xml:space="preserve">N° de reception: </t>
  </si>
  <si>
    <t>DB1</t>
  </si>
  <si>
    <t>C2</t>
  </si>
  <si>
    <t>B11</t>
  </si>
  <si>
    <t>DOSSIER:</t>
  </si>
  <si>
    <t>00/00</t>
  </si>
  <si>
    <t>DATE:</t>
  </si>
  <si>
    <t xml:space="preserve">OPERATEUR: </t>
  </si>
  <si>
    <t>Claire</t>
  </si>
  <si>
    <t>PREPARATION: à sèc</t>
  </si>
  <si>
    <t xml:space="preserve">ECHANTILLON: </t>
  </si>
  <si>
    <t xml:space="preserve">   APPAREIL</t>
  </si>
  <si>
    <t>Casagrande</t>
  </si>
  <si>
    <t xml:space="preserve">NATURE: </t>
  </si>
  <si>
    <t xml:space="preserve">   NOMBRE DE COUPS</t>
  </si>
  <si>
    <t>LIMITE DE LIQUIDITE</t>
  </si>
  <si>
    <t>LIMITE DE PLASTICITE</t>
  </si>
  <si>
    <t xml:space="preserve">   NUMERO DE LA TARE</t>
  </si>
  <si>
    <t xml:space="preserve">   POIDS TOTAL HUMIDE</t>
  </si>
  <si>
    <t xml:space="preserve">   POIDS TOTAL SEC</t>
  </si>
  <si>
    <t xml:space="preserve">   POIDS DE LA TARE</t>
  </si>
  <si>
    <t xml:space="preserve">   POIDS D'EAU</t>
  </si>
  <si>
    <t xml:space="preserve">   POIDS NET SEC</t>
  </si>
  <si>
    <t xml:space="preserve">   TENEUR D'EAU</t>
  </si>
  <si>
    <t>Y</t>
  </si>
  <si>
    <t>L.L</t>
  </si>
  <si>
    <t>L.P</t>
  </si>
  <si>
    <t>I.P</t>
  </si>
  <si>
    <t>M3</t>
  </si>
  <si>
    <t>Z</t>
  </si>
  <si>
    <t>NK3</t>
  </si>
  <si>
    <t>A10</t>
  </si>
  <si>
    <t xml:space="preserve">     </t>
  </si>
  <si>
    <t>PROVENANCE: Couche de Base - PK 4 + 900   (Route Bouansa-Mouyondzi)</t>
  </si>
  <si>
    <t>Localisation du chantier:  Corniche Pont du Djoué</t>
  </si>
  <si>
    <t>Provenance:Puit n° 4 - 1ère couche</t>
  </si>
  <si>
    <r>
      <t>Nature de materiaux</t>
    </r>
    <r>
      <rPr>
        <sz val="11"/>
        <color theme="1"/>
        <rFont val="Calibri"/>
        <family val="2"/>
      </rPr>
      <t>: Sable Gris</t>
    </r>
  </si>
  <si>
    <t>S</t>
  </si>
  <si>
    <t>DB6</t>
  </si>
  <si>
    <t>B47</t>
  </si>
  <si>
    <t>DL</t>
  </si>
  <si>
    <t>B48</t>
  </si>
  <si>
    <t xml:space="preserve">  </t>
  </si>
  <si>
    <t>Du 10/12/2019 au 27/12/2019</t>
  </si>
  <si>
    <t>Puit 4 - 1ème couche</t>
  </si>
  <si>
    <t>Sable Gris</t>
  </si>
  <si>
    <t>Corniche Pont du Djoué</t>
  </si>
  <si>
    <t>B19</t>
  </si>
  <si>
    <t>ME</t>
  </si>
  <si>
    <t>B9</t>
  </si>
  <si>
    <t>XNK</t>
  </si>
  <si>
    <t>T4</t>
  </si>
  <si>
    <t>B/ville, 27/12/2019</t>
  </si>
  <si>
    <t>Sable Ghris - Puit 4 -1ère couche</t>
  </si>
  <si>
    <t>X3/67</t>
  </si>
  <si>
    <t>Profondeur  0,05 m - 0,50 m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</si>
  <si>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</si>
  <si>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</si>
  <si>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</si>
  <si>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</si>
  <si>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</si>
  <si>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</si>
  <si>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</si>
  <si>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</si>
  <si>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</si>
  <si>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</si>
  <si>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</si>
  <si>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</si>
  <si>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</si>
  <si>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</si>
  <si>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</si>
  <si>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</si>
  <si>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Gris ,Profondeur  0,05 m  - 0,50 m, Puit 1 - 1ère  couche</t>
  </si>
  <si>
    <t>Date :         19/12/2019</t>
  </si>
  <si>
    <t>Expérimentateur :BEANGE Grace</t>
  </si>
  <si>
    <t>Sable limoneux gris</t>
  </si>
  <si>
    <t>Corniche Brazzaville - Tronçon Fulbert YOULOU Pont du Djoué  - Puit 4 - 1ère couche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</si>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</sst>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8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2" fontId="101" fillId="0" borderId="139" xfId="0" applyNumberFormat="1" applyFont="1" applyBorder="1" applyAlignment="1">
      <alignment vertical="center"/>
    </xf>
    <xf numFmtId="164" fontId="101" fillId="0" borderId="174" xfId="0" applyNumberFormat="1" applyFont="1" applyBorder="1" applyAlignment="1">
      <alignment vertical="center"/>
    </xf>
    <xf numFmtId="165" fontId="101" fillId="0" borderId="174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5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8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9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80" xfId="0" applyNumberFormat="1" applyFont="1" applyFill="1" applyBorder="1" applyAlignment="1">
      <alignment horizontal="center" vertical="center"/>
    </xf>
    <xf numFmtId="9" fontId="44" fillId="9" borderId="181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9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9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9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93" xfId="0" applyNumberFormat="1" applyFont="1" applyBorder="1" applyAlignment="1">
      <alignment horizontal="center" vertical="center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146" xfId="0" applyFont="1" applyBorder="1" applyAlignment="1"/>
    <xf numFmtId="14" fontId="0" fillId="0" borderId="170" xfId="0" applyNumberFormat="1" applyFont="1" applyBorder="1" applyAlignment="1">
      <alignment horizontal="left"/>
    </xf>
    <xf numFmtId="0" fontId="7" fillId="0" borderId="170" xfId="0" applyFont="1" applyBorder="1" applyAlignment="1"/>
    <xf numFmtId="0" fontId="0" fillId="0" borderId="85" xfId="0" applyBorder="1"/>
    <xf numFmtId="0" fontId="1" fillId="0" borderId="0" xfId="0" applyFont="1" applyBorder="1" applyAlignment="1"/>
    <xf numFmtId="0" fontId="1" fillId="0" borderId="85" xfId="0" applyFont="1" applyBorder="1" applyAlignment="1"/>
    <xf numFmtId="0" fontId="0" fillId="0" borderId="0" xfId="0" applyFont="1" applyBorder="1" applyAlignment="1"/>
    <xf numFmtId="0" fontId="0" fillId="0" borderId="3" xfId="0" applyFont="1" applyBorder="1" applyAlignment="1">
      <alignment horizontal="center"/>
    </xf>
    <xf numFmtId="0" fontId="0" fillId="0" borderId="87" xfId="0" applyFont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9" xfId="0" applyFont="1" applyBorder="1" applyAlignment="1">
      <alignment horizontal="center"/>
    </xf>
    <xf numFmtId="0" fontId="0" fillId="0" borderId="183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0" borderId="87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39" xfId="0" applyNumberFormat="1" applyFont="1" applyBorder="1" applyAlignment="1">
      <alignment horizontal="center"/>
    </xf>
    <xf numFmtId="2" fontId="0" fillId="0" borderId="183" xfId="0" applyNumberFormat="1" applyFont="1" applyBorder="1" applyAlignment="1">
      <alignment horizontal="center"/>
    </xf>
    <xf numFmtId="2" fontId="0" fillId="0" borderId="169" xfId="0" applyNumberFormat="1" applyFont="1" applyBorder="1" applyAlignment="1">
      <alignment horizontal="center"/>
    </xf>
    <xf numFmtId="2" fontId="0" fillId="0" borderId="141" xfId="0" applyNumberFormat="1" applyFont="1" applyBorder="1" applyAlignment="1">
      <alignment horizontal="center"/>
    </xf>
    <xf numFmtId="164" fontId="1" fillId="0" borderId="168" xfId="0" applyNumberFormat="1" applyFont="1" applyBorder="1" applyAlignment="1">
      <alignment horizontal="center"/>
    </xf>
    <xf numFmtId="2" fontId="0" fillId="0" borderId="140" xfId="0" applyNumberFormat="1" applyFont="1" applyBorder="1" applyAlignment="1">
      <alignment horizontal="center"/>
    </xf>
    <xf numFmtId="2" fontId="0" fillId="0" borderId="173" xfId="0" applyNumberFormat="1" applyFont="1" applyBorder="1" applyAlignment="1">
      <alignment horizontal="center"/>
    </xf>
    <xf numFmtId="0" fontId="16" fillId="0" borderId="0" xfId="0" applyFont="1"/>
    <xf numFmtId="0" fontId="0" fillId="5" borderId="85" xfId="0" applyFill="1" applyBorder="1"/>
    <xf numFmtId="0" fontId="0" fillId="5" borderId="184" xfId="0" applyFill="1" applyBorder="1"/>
    <xf numFmtId="0" fontId="0" fillId="5" borderId="0" xfId="0" applyFill="1" applyBorder="1"/>
    <xf numFmtId="0" fontId="0" fillId="5" borderId="170" xfId="0" applyFill="1" applyBorder="1"/>
    <xf numFmtId="0" fontId="113" fillId="0" borderId="0" xfId="0" applyFont="1"/>
    <xf numFmtId="0" fontId="16" fillId="11" borderId="0" xfId="0" applyFont="1" applyFill="1"/>
    <xf numFmtId="0" fontId="1" fillId="5" borderId="0" xfId="0" applyFont="1" applyFill="1" applyBorder="1" applyAlignment="1">
      <alignment horizontal="right"/>
    </xf>
    <xf numFmtId="0" fontId="1" fillId="5" borderId="170" xfId="0" applyFont="1" applyFill="1" applyBorder="1" applyAlignment="1">
      <alignment horizontal="center"/>
    </xf>
    <xf numFmtId="2" fontId="3" fillId="5" borderId="170" xfId="0" applyNumberFormat="1" applyFont="1" applyFill="1" applyBorder="1" applyAlignment="1">
      <alignment horizontal="center"/>
    </xf>
    <xf numFmtId="164" fontId="1" fillId="5" borderId="170" xfId="0" applyNumberFormat="1" applyFont="1" applyFill="1" applyBorder="1" applyAlignment="1">
      <alignment horizontal="center"/>
    </xf>
    <xf numFmtId="0" fontId="0" fillId="5" borderId="161" xfId="0" applyFill="1" applyBorder="1"/>
    <xf numFmtId="0" fontId="0" fillId="5" borderId="86" xfId="0" applyFill="1" applyBorder="1"/>
    <xf numFmtId="0" fontId="0" fillId="5" borderId="162" xfId="0" applyFill="1" applyBorder="1"/>
    <xf numFmtId="0" fontId="115" fillId="0" borderId="87" xfId="0" applyFont="1" applyBorder="1" applyAlignment="1">
      <alignment vertical="center"/>
    </xf>
    <xf numFmtId="0" fontId="115" fillId="0" borderId="87" xfId="0" applyFont="1" applyBorder="1" applyAlignment="1">
      <alignment horizontal="right" vertical="center"/>
    </xf>
    <xf numFmtId="0" fontId="115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91" xfId="0" applyFont="1" applyFill="1" applyBorder="1" applyAlignment="1">
      <alignment horizontal="center" vertical="center"/>
    </xf>
    <xf numFmtId="164" fontId="23" fillId="0" borderId="197" xfId="0" applyNumberFormat="1" applyFont="1" applyBorder="1" applyAlignment="1">
      <alignment horizontal="center" vertical="center"/>
    </xf>
    <xf numFmtId="164" fontId="101" fillId="0" borderId="138" xfId="0" applyNumberFormat="1" applyFont="1" applyBorder="1" applyAlignment="1">
      <alignment vertical="center"/>
    </xf>
    <xf numFmtId="0" fontId="115" fillId="0" borderId="93" xfId="0" applyFont="1" applyBorder="1" applyAlignment="1">
      <alignment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5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9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23" fillId="0" borderId="93" xfId="0" applyNumberFormat="1" applyFont="1" applyBorder="1" applyAlignment="1">
      <alignment horizontal="center" vertical="center"/>
    </xf>
    <xf numFmtId="1" fontId="23" fillId="0" borderId="191" xfId="0" applyNumberFormat="1" applyFont="1" applyBorder="1" applyAlignment="1">
      <alignment horizontal="center" vertical="center"/>
    </xf>
    <xf numFmtId="164" fontId="93" fillId="0" borderId="168" xfId="0" applyNumberFormat="1" applyFont="1" applyBorder="1" applyAlignment="1">
      <alignment horizontal="center" vertical="center"/>
    </xf>
    <xf numFmtId="0" fontId="38" fillId="0" borderId="151" xfId="0" applyFont="1" applyBorder="1" applyAlignment="1">
      <alignment horizontal="center" vertical="center"/>
    </xf>
    <xf numFmtId="0" fontId="38" fillId="0" borderId="152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wrapText="1"/>
    </xf>
    <xf numFmtId="0" fontId="102" fillId="9" borderId="178" xfId="0" applyFont="1" applyFill="1" applyBorder="1" applyAlignment="1">
      <alignment horizontal="center" wrapText="1"/>
    </xf>
    <xf numFmtId="164" fontId="93" fillId="0" borderId="1" xfId="0" applyNumberFormat="1" applyFont="1" applyBorder="1" applyAlignment="1">
      <alignment horizontal="center" vertical="center"/>
    </xf>
    <xf numFmtId="164" fontId="38" fillId="0" borderId="2" xfId="0" applyNumberFormat="1" applyFont="1" applyBorder="1" applyAlignment="1">
      <alignment horizontal="center" vertical="center"/>
    </xf>
    <xf numFmtId="164" fontId="3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164" fontId="93" fillId="0" borderId="165" xfId="0" applyNumberFormat="1" applyFont="1" applyBorder="1" applyAlignment="1">
      <alignment horizontal="center" vertical="center"/>
    </xf>
    <xf numFmtId="164" fontId="38" fillId="0" borderId="164" xfId="0" applyNumberFormat="1" applyFont="1" applyBorder="1" applyAlignment="1">
      <alignment horizontal="center" vertical="center"/>
    </xf>
    <xf numFmtId="164" fontId="38" fillId="0" borderId="166" xfId="0" applyNumberFormat="1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vertical="center" wrapText="1"/>
    </xf>
    <xf numFmtId="0" fontId="102" fillId="9" borderId="178" xfId="0" applyFont="1" applyFill="1" applyBorder="1" applyAlignment="1">
      <alignment horizontal="center" vertical="center" wrapText="1"/>
    </xf>
    <xf numFmtId="0" fontId="101" fillId="9" borderId="176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177" xfId="0" applyFont="1" applyFill="1" applyBorder="1" applyAlignment="1">
      <alignment horizontal="center" vertical="center"/>
    </xf>
    <xf numFmtId="0" fontId="101" fillId="9" borderId="162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2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2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0" fillId="5" borderId="7" xfId="0" applyFill="1" applyBorder="1" applyAlignment="1">
      <alignment horizontal="center" vertical="top"/>
    </xf>
    <xf numFmtId="0" fontId="0" fillId="5" borderId="0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5" borderId="189" xfId="0" applyFill="1" applyBorder="1" applyAlignment="1">
      <alignment horizontal="center" vertical="top"/>
    </xf>
    <xf numFmtId="0" fontId="0" fillId="5" borderId="187" xfId="0" applyFill="1" applyBorder="1" applyAlignment="1">
      <alignment horizontal="center" vertical="top"/>
    </xf>
    <xf numFmtId="0" fontId="0" fillId="5" borderId="188" xfId="0" applyFill="1" applyBorder="1" applyAlignment="1">
      <alignment horizontal="center" vertical="top"/>
    </xf>
    <xf numFmtId="0" fontId="0" fillId="5" borderId="184" xfId="0" applyFill="1" applyBorder="1" applyAlignment="1">
      <alignment horizontal="center" vertical="top"/>
    </xf>
    <xf numFmtId="0" fontId="0" fillId="5" borderId="190" xfId="0" applyFill="1" applyBorder="1" applyAlignment="1">
      <alignment horizontal="center" vertical="top"/>
    </xf>
    <xf numFmtId="0" fontId="1" fillId="0" borderId="139" xfId="0" applyFont="1" applyBorder="1" applyAlignment="1">
      <alignment horizontal="left"/>
    </xf>
    <xf numFmtId="0" fontId="1" fillId="0" borderId="183" xfId="0" applyFont="1" applyBorder="1" applyAlignment="1">
      <alignment horizontal="left"/>
    </xf>
    <xf numFmtId="0" fontId="1" fillId="0" borderId="140" xfId="0" applyFont="1" applyBorder="1" applyAlignment="1">
      <alignment horizontal="left"/>
    </xf>
    <xf numFmtId="0" fontId="1" fillId="0" borderId="173" xfId="0" applyFont="1" applyBorder="1" applyAlignment="1">
      <alignment horizontal="left"/>
    </xf>
    <xf numFmtId="0" fontId="0" fillId="5" borderId="185" xfId="0" applyFill="1" applyBorder="1" applyAlignment="1">
      <alignment horizontal="center" vertical="top"/>
    </xf>
    <xf numFmtId="0" fontId="0" fillId="5" borderId="186" xfId="0" applyFill="1" applyBorder="1" applyAlignment="1">
      <alignment horizontal="center" vertical="top"/>
    </xf>
    <xf numFmtId="0" fontId="114" fillId="0" borderId="83" xfId="0" applyFont="1" applyBorder="1" applyAlignment="1">
      <alignment horizontal="left"/>
    </xf>
    <xf numFmtId="0" fontId="114" fillId="0" borderId="146" xfId="0" applyFont="1" applyBorder="1" applyAlignment="1">
      <alignment horizontal="left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146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0" xfId="0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2" fillId="0" borderId="84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1" fillId="0" borderId="16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83" xfId="0" applyFont="1" applyBorder="1" applyAlignment="1">
      <alignment horizontal="left"/>
    </xf>
    <xf numFmtId="0" fontId="1" fillId="0" borderId="84" xfId="0" applyFont="1" applyBorder="1" applyAlignment="1">
      <alignment horizontal="left"/>
    </xf>
    <xf numFmtId="0" fontId="1" fillId="0" borderId="146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170" xfId="0" applyFont="1" applyBorder="1" applyAlignment="1">
      <alignment horizontal="left" vertical="center"/>
    </xf>
    <xf numFmtId="0" fontId="1" fillId="0" borderId="8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53" xfId="0" applyFont="1" applyBorder="1" applyAlignment="1">
      <alignment horizontal="left"/>
    </xf>
    <xf numFmtId="0" fontId="1" fillId="0" borderId="154" xfId="0" applyFont="1" applyBorder="1" applyAlignment="1">
      <alignment horizontal="left"/>
    </xf>
    <xf numFmtId="0" fontId="1" fillId="0" borderId="157" xfId="0" applyFont="1" applyBorder="1" applyAlignment="1">
      <alignment horizontal="left"/>
    </xf>
    <xf numFmtId="0" fontId="1" fillId="0" borderId="83" xfId="0" applyFont="1" applyBorder="1" applyAlignment="1">
      <alignment horizontal="left" vertical="center"/>
    </xf>
    <xf numFmtId="0" fontId="1" fillId="0" borderId="146" xfId="0" applyFont="1" applyBorder="1" applyAlignment="1">
      <alignment horizontal="left" vertical="center"/>
    </xf>
    <xf numFmtId="0" fontId="1" fillId="0" borderId="145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3" fillId="0" borderId="167" xfId="0" applyFont="1" applyBorder="1" applyAlignment="1">
      <alignment horizontal="center"/>
    </xf>
    <xf numFmtId="0" fontId="3" fillId="0" borderId="179" xfId="0" applyFont="1" applyBorder="1" applyAlignment="1">
      <alignment horizontal="center"/>
    </xf>
    <xf numFmtId="0" fontId="3" fillId="0" borderId="165" xfId="0" applyFont="1" applyBorder="1" applyAlignment="1">
      <alignment horizontal="center"/>
    </xf>
    <xf numFmtId="0" fontId="114" fillId="0" borderId="171" xfId="0" applyFont="1" applyBorder="1" applyAlignment="1">
      <alignment horizontal="center" vertical="center"/>
    </xf>
    <xf numFmtId="0" fontId="114" fillId="0" borderId="179" xfId="0" applyFont="1" applyBorder="1" applyAlignment="1">
      <alignment horizontal="center" vertical="center"/>
    </xf>
    <xf numFmtId="0" fontId="114" fillId="0" borderId="172" xfId="0" applyFont="1" applyBorder="1" applyAlignment="1">
      <alignment horizontal="center" vertical="center"/>
    </xf>
    <xf numFmtId="0" fontId="114" fillId="0" borderId="139" xfId="0" applyFont="1" applyBorder="1" applyAlignment="1">
      <alignment horizontal="center" vertical="center"/>
    </xf>
    <xf numFmtId="0" fontId="114" fillId="0" borderId="87" xfId="0" applyFont="1" applyBorder="1" applyAlignment="1">
      <alignment horizontal="center" vertical="center"/>
    </xf>
    <xf numFmtId="0" fontId="114" fillId="0" borderId="18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6" fillId="0" borderId="148" xfId="0" applyFont="1" applyBorder="1" applyAlignment="1">
      <alignment horizontal="center"/>
    </xf>
    <xf numFmtId="0" fontId="116" fillId="0" borderId="2" xfId="0" applyFont="1" applyBorder="1" applyAlignment="1">
      <alignment horizontal="center"/>
    </xf>
    <xf numFmtId="0" fontId="116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2" xfId="0" applyBorder="1" applyAlignment="1">
      <alignment horizontal="center"/>
    </xf>
    <xf numFmtId="0" fontId="1" fillId="0" borderId="9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92" xfId="0" applyFont="1" applyFill="1" applyBorder="1" applyAlignment="1">
      <alignment horizontal="center"/>
    </xf>
    <xf numFmtId="0" fontId="1" fillId="7" borderId="19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2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93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95" xfId="0" applyFont="1" applyBorder="1" applyAlignment="1">
      <alignment vertical="top" wrapText="1"/>
    </xf>
    <xf numFmtId="0" fontId="7" fillId="0" borderId="194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96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92" xfId="0" applyNumberFormat="1" applyFont="1" applyFill="1" applyBorder="1" applyAlignment="1">
      <alignment horizontal="center"/>
    </xf>
    <xf numFmtId="2" fontId="1" fillId="7" borderId="191" xfId="0" applyNumberFormat="1" applyFont="1" applyFill="1" applyBorder="1" applyAlignment="1">
      <alignment horizontal="center"/>
    </xf>
    <xf numFmtId="0" fontId="114" fillId="2" borderId="85" xfId="0" applyFont="1" applyFill="1" applyBorder="1" applyAlignment="1">
      <alignment horizontal="left" vertical="center"/>
    </xf>
    <xf numFmtId="0" fontId="114" fillId="2" borderId="0" xfId="0" applyFont="1" applyFill="1" applyBorder="1" applyAlignment="1">
      <alignment horizontal="left" vertical="center"/>
    </xf>
    <xf numFmtId="0" fontId="114" fillId="2" borderId="8" xfId="0" applyFont="1" applyFill="1" applyBorder="1" applyAlignment="1">
      <alignment horizontal="left" vertical="center"/>
    </xf>
    <xf numFmtId="0" fontId="114" fillId="2" borderId="145" xfId="0" applyFont="1" applyFill="1" applyBorder="1" applyAlignment="1">
      <alignment horizontal="left" vertical="center"/>
    </xf>
    <xf numFmtId="0" fontId="114" fillId="2" borderId="92" xfId="0" applyFont="1" applyFill="1" applyBorder="1" applyAlignment="1">
      <alignment horizontal="left" vertical="center"/>
    </xf>
    <xf numFmtId="0" fontId="114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2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7" fillId="0" borderId="144" xfId="0" applyFont="1" applyBorder="1" applyAlignment="1">
      <alignment vertical="top"/>
    </xf>
    <xf numFmtId="0" fontId="119" fillId="0" borderId="4" xfId="0" applyFont="1" applyBorder="1" applyAlignment="1">
      <alignment vertical="top"/>
    </xf>
    <xf numFmtId="0" fontId="119" fillId="0" borderId="182" xfId="0" applyFont="1" applyBorder="1" applyAlignment="1">
      <alignment vertical="top"/>
    </xf>
    <xf numFmtId="0" fontId="119" fillId="0" borderId="161" xfId="0" applyFont="1" applyBorder="1" applyAlignment="1">
      <alignment vertical="top"/>
    </xf>
    <xf numFmtId="0" fontId="119" fillId="0" borderId="86" xfId="0" applyFont="1" applyBorder="1" applyAlignment="1">
      <alignment vertical="top"/>
    </xf>
    <xf numFmtId="0" fontId="119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97.933333333333337</c:v>
                </c:pt>
                <c:pt idx="4">
                  <c:v>97.166666666666671</c:v>
                </c:pt>
                <c:pt idx="5">
                  <c:v>96.766666666666666</c:v>
                </c:pt>
                <c:pt idx="6">
                  <c:v>96.4</c:v>
                </c:pt>
                <c:pt idx="7">
                  <c:v>81.266666666666666</c:v>
                </c:pt>
                <c:pt idx="8">
                  <c:v>35.366666666666674</c:v>
                </c:pt>
                <c:pt idx="9">
                  <c:v>12.766666666666666</c:v>
                </c:pt>
                <c:pt idx="10">
                  <c:v>10.800000000000011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73504"/>
        <c:axId val="139576064"/>
      </c:scatterChart>
      <c:valAx>
        <c:axId val="13957350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576064"/>
        <c:crosses val="autoZero"/>
        <c:crossBetween val="midCat"/>
      </c:valAx>
      <c:valAx>
        <c:axId val="13957606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573504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6.1237095892838678</c:v>
                </c:pt>
                <c:pt idx="1">
                  <c:v>8.1954066486850259</c:v>
                </c:pt>
                <c:pt idx="2">
                  <c:v>10.188795377465139</c:v>
                </c:pt>
                <c:pt idx="3">
                  <c:v>12.170040546827455</c:v>
                </c:pt>
                <c:pt idx="4">
                  <c:v>14.087597279752016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1.8030002704019166</c:v>
                </c:pt>
                <c:pt idx="1">
                  <c:v>1.9031622242473263</c:v>
                </c:pt>
                <c:pt idx="2">
                  <c:v>1.9319821677107556</c:v>
                </c:pt>
                <c:pt idx="3">
                  <c:v>1.8865610395455956</c:v>
                </c:pt>
                <c:pt idx="4">
                  <c:v>1.7827643775255797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1.9330000000000001</c:v>
                </c:pt>
                <c:pt idx="1">
                  <c:v>1.82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9.9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1.9330000000000001</c:v>
                </c:pt>
                <c:pt idx="1">
                  <c:v>1.9330000000000001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59776"/>
        <c:axId val="160811648"/>
      </c:scatterChart>
      <c:valAx>
        <c:axId val="149259776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811648"/>
        <c:crossesAt val="1.2"/>
        <c:crossBetween val="midCat"/>
        <c:majorUnit val="2"/>
      </c:valAx>
      <c:valAx>
        <c:axId val="160811648"/>
        <c:scaling>
          <c:orientation val="minMax"/>
          <c:max val="1.9600000000000004"/>
          <c:min val="1.76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9259776"/>
        <c:crossesAt val="1"/>
        <c:crossBetween val="midCat"/>
        <c:majorUnit val="0.1"/>
        <c:minorUnit val="1.0000000000000005E-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11.153544703595726</c:v>
                </c:pt>
                <c:pt idx="1">
                  <c:v>7.642698736637513</c:v>
                </c:pt>
                <c:pt idx="2">
                  <c:v>4.131852769679301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1.9329919830935454</c:v>
                </c:pt>
                <c:pt idx="1">
                  <c:v>1.8361588336172707</c:v>
                </c:pt>
                <c:pt idx="2">
                  <c:v>1.7396794951985206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7.7</c:v>
                </c:pt>
                <c:pt idx="1">
                  <c:v>7.7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1.8363499999999999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3</c:v>
                </c:pt>
                <c:pt idx="1">
                  <c:v>7.7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1.8363499999999999</c:v>
                </c:pt>
                <c:pt idx="1">
                  <c:v>1.8363499999999999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24512"/>
        <c:axId val="192631936"/>
      </c:scatterChart>
      <c:valAx>
        <c:axId val="192624512"/>
        <c:scaling>
          <c:orientation val="minMax"/>
          <c:max val="12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2631936"/>
        <c:crossesAt val="1.4"/>
        <c:crossBetween val="midCat"/>
        <c:majorUnit val="2"/>
        <c:minorUnit val="0.2"/>
      </c:valAx>
      <c:valAx>
        <c:axId val="192631936"/>
        <c:scaling>
          <c:orientation val="minMax"/>
          <c:max val="1.9600000000000004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2624512"/>
        <c:crossesAt val="0"/>
        <c:crossBetween val="midCat"/>
        <c:majorUnit val="4.0000000000000022E-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97.933333333333337</c:v>
                </c:pt>
                <c:pt idx="4">
                  <c:v>97.166666666666671</c:v>
                </c:pt>
                <c:pt idx="5">
                  <c:v>96.766666666666666</c:v>
                </c:pt>
                <c:pt idx="6">
                  <c:v>96.4</c:v>
                </c:pt>
                <c:pt idx="7">
                  <c:v>81.266666666666666</c:v>
                </c:pt>
                <c:pt idx="8">
                  <c:v>35.366666666666674</c:v>
                </c:pt>
                <c:pt idx="9">
                  <c:v>12.766666666666666</c:v>
                </c:pt>
                <c:pt idx="10">
                  <c:v>10.800000000000011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67648"/>
        <c:axId val="201136768"/>
      </c:scatterChart>
      <c:valAx>
        <c:axId val="20026764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136768"/>
        <c:crosses val="autoZero"/>
        <c:crossBetween val="midCat"/>
        <c:majorUnit val="10"/>
      </c:valAx>
      <c:valAx>
        <c:axId val="201136768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026764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COURBE LIMITE</a:t>
            </a:r>
          </a:p>
        </c:rich>
      </c:tx>
      <c:layout>
        <c:manualLayout>
          <c:xMode val="edge"/>
          <c:yMode val="edge"/>
          <c:x val="0.43573616764750595"/>
          <c:y val="2.42353486388098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015033150354765E-2"/>
          <c:y val="9.7638888888888928E-2"/>
          <c:w val="0.85388740157480336"/>
          <c:h val="0.75850299962504686"/>
        </c:manualLayout>
      </c:layout>
      <c:scatterChart>
        <c:scatterStyle val="lineMarker"/>
        <c:varyColors val="0"/>
        <c:ser>
          <c:idx val="2"/>
          <c:order val="0"/>
          <c:tx>
            <c:v>COURBE LIMITE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/>
              </a:solidFill>
              <a:ln w="12700" cap="flat" cmpd="sng" algn="ctr">
                <a:solidFill>
                  <a:schemeClr val="dk1">
                    <a:shade val="50000"/>
                  </a:schemeClr>
                </a:solidFill>
                <a:prstDash val="solid"/>
                <a:miter lim="800000"/>
              </a:ln>
              <a:effectLst/>
            </c:spPr>
          </c:marker>
          <c:trendline>
            <c:spPr>
              <a:ln w="28575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'Limite '!$C$9:$H$9</c:f>
              <c:numCache>
                <c:formatCode>General</c:formatCode>
                <c:ptCount val="6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35</c:v>
                </c:pt>
              </c:numCache>
            </c:numRef>
          </c:xVal>
          <c:yVal>
            <c:numRef>
              <c:f>'Limite '!$C$16:$H$16</c:f>
              <c:numCache>
                <c:formatCode>0.00</c:formatCode>
                <c:ptCount val="6"/>
                <c:pt idx="0">
                  <c:v>18.575624082232022</c:v>
                </c:pt>
                <c:pt idx="1">
                  <c:v>18.099032441661922</c:v>
                </c:pt>
                <c:pt idx="2">
                  <c:v>17.601760176017596</c:v>
                </c:pt>
                <c:pt idx="3">
                  <c:v>17.07616707616706</c:v>
                </c:pt>
                <c:pt idx="4">
                  <c:v>16.587677725118478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9E5-40F0-B271-A9BCC43D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37440"/>
        <c:axId val="224301056"/>
      </c:scatterChart>
      <c:scatterChart>
        <c:scatterStyle val="smoothMarker"/>
        <c:varyColors val="0"/>
        <c:ser>
          <c:idx val="3"/>
          <c:order val="1"/>
          <c:spPr>
            <a:ln w="28575" cap="rnd">
              <a:solidFill>
                <a:srgbClr val="FF0000"/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'Limite '!$N$20:$N$21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xVal>
          <c:yVal>
            <c:numRef>
              <c:f>'Limite '!$M$20:$M$21</c:f>
              <c:numCache>
                <c:formatCode>General</c:formatCode>
                <c:ptCount val="2"/>
                <c:pt idx="0">
                  <c:v>17.45</c:v>
                </c:pt>
                <c:pt idx="1">
                  <c:v>17.45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9E5-40F0-B271-A9BCC43DE047}"/>
            </c:ext>
          </c:extLst>
        </c:ser>
        <c:ser>
          <c:idx val="4"/>
          <c:order val="2"/>
          <c:spPr>
            <a:ln w="28575" cap="flat" cmpd="sng" algn="ctr">
              <a:solidFill>
                <a:schemeClr val="dk1"/>
              </a:solidFill>
              <a:prstDash val="solid"/>
              <a:miter lim="800000"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'Limite '!$N$23:$N$24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'Limite '!$M$23:$M$24</c:f>
              <c:numCache>
                <c:formatCode>General</c:formatCode>
                <c:ptCount val="2"/>
                <c:pt idx="0">
                  <c:v>12</c:v>
                </c:pt>
                <c:pt idx="1">
                  <c:v>17.45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49E5-40F0-B271-A9BCC43D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37440"/>
        <c:axId val="224301056"/>
      </c:scatterChart>
      <c:valAx>
        <c:axId val="224237440"/>
        <c:scaling>
          <c:orientation val="minMax"/>
          <c:max val="35"/>
          <c:min val="16"/>
        </c:scaling>
        <c:delete val="0"/>
        <c:axPos val="b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Nombre de coups</a:t>
                </a:r>
              </a:p>
            </c:rich>
          </c:tx>
          <c:layout>
            <c:manualLayout>
              <c:xMode val="edge"/>
              <c:yMode val="edge"/>
              <c:x val="0.4536379746822618"/>
              <c:y val="0.9098853669805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4301056"/>
        <c:crosses val="autoZero"/>
        <c:crossBetween val="midCat"/>
        <c:majorUnit val="1"/>
      </c:valAx>
      <c:valAx>
        <c:axId val="224301056"/>
        <c:scaling>
          <c:orientation val="minMax"/>
          <c:max val="19"/>
          <c:min val="15"/>
        </c:scaling>
        <c:delete val="0"/>
        <c:axPos val="l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min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Teneur en eau</a:t>
                </a:r>
              </a:p>
            </c:rich>
          </c:tx>
          <c:layout>
            <c:manualLayout>
              <c:xMode val="edge"/>
              <c:yMode val="edge"/>
              <c:x val="8.1940347427073134E-3"/>
              <c:y val="0.344193642461358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4237440"/>
        <c:crosses val="autoZero"/>
        <c:crossBetween val="midCat"/>
        <c:majorUnit val="1"/>
        <c:minorUnit val="0.1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  <a:scene3d>
          <a:camera prst="orthographicFront"/>
          <a:lightRig rig="threePt" dir="t"/>
        </a:scene3d>
        <a:sp3d prstMaterial="plastic">
          <a:bevelT w="82550" h="63500" prst="divot"/>
          <a:bevelB/>
        </a:sp3d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angle"/>
    </a:sp3d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PK 4+900 CG Base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4409007088084442"/>
          <c:y val="1.104362161005022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6.1237095892838678</c:v>
                </c:pt>
                <c:pt idx="1">
                  <c:v>8.1954066486850259</c:v>
                </c:pt>
                <c:pt idx="2">
                  <c:v>10.188795377465139</c:v>
                </c:pt>
                <c:pt idx="3">
                  <c:v>12.170040546827455</c:v>
                </c:pt>
                <c:pt idx="4">
                  <c:v>14.087597279752016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1.8030002704019166</c:v>
                </c:pt>
                <c:pt idx="1">
                  <c:v>1.9031622242473263</c:v>
                </c:pt>
                <c:pt idx="2">
                  <c:v>1.9319821677107556</c:v>
                </c:pt>
                <c:pt idx="3">
                  <c:v>1.8865610395455956</c:v>
                </c:pt>
                <c:pt idx="4">
                  <c:v>1.7827643775255797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493-4246-96EF-2402EC0EEDD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1,933 1,84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1.9330000000000001</c:v>
                </c:pt>
                <c:pt idx="1">
                  <c:v>1.84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493-4246-96EF-2402EC0EEDD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1.9330000000000001</c:v>
                </c:pt>
                <c:pt idx="1">
                  <c:v>1.9330000000000001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493-4246-96EF-2402EC0EE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564864"/>
        <c:axId val="241274880"/>
      </c:scatterChart>
      <c:valAx>
        <c:axId val="236564864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274880"/>
        <c:crosses val="autoZero"/>
        <c:crossBetween val="midCat"/>
        <c:minorUnit val="0.2"/>
      </c:valAx>
      <c:valAx>
        <c:axId val="241274880"/>
        <c:scaling>
          <c:orientation val="minMax"/>
          <c:max val="1.9400000000000004"/>
          <c:min val="1.76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564864"/>
        <c:crosses val="autoZero"/>
        <c:crossBetween val="midCat"/>
        <c:majorUnit val="2.0000000000000011E-2"/>
        <c:minorUnit val="2.0000000000000013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8.8212399999999995</c:v>
                </c:pt>
                <c:pt idx="2">
                  <c:v>16.7394</c:v>
                </c:pt>
                <c:pt idx="3">
                  <c:v>34.555259999999997</c:v>
                </c:pt>
                <c:pt idx="4">
                  <c:v>56.330200000000005</c:v>
                </c:pt>
                <c:pt idx="5">
                  <c:v>75.135829999999999</c:v>
                </c:pt>
                <c:pt idx="6">
                  <c:v>229.53995000000003</c:v>
                </c:pt>
                <c:pt idx="7">
                  <c:v>262.20236000000006</c:v>
                </c:pt>
                <c:pt idx="8">
                  <c:v>338.41465000000005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2.8826200000000002</c:v>
                </c:pt>
                <c:pt idx="2">
                  <c:v>8.8212399999999995</c:v>
                </c:pt>
                <c:pt idx="3">
                  <c:v>17.72917</c:v>
                </c:pt>
                <c:pt idx="4">
                  <c:v>28.616640000000004</c:v>
                </c:pt>
                <c:pt idx="5">
                  <c:v>45.442730000000005</c:v>
                </c:pt>
                <c:pt idx="6">
                  <c:v>157.28674000000001</c:v>
                </c:pt>
                <c:pt idx="7">
                  <c:v>185.00030000000004</c:v>
                </c:pt>
                <c:pt idx="8">
                  <c:v>303.77270000000004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1.8928500000000004</c:v>
                </c:pt>
                <c:pt idx="2">
                  <c:v>2.8826200000000002</c:v>
                </c:pt>
                <c:pt idx="3">
                  <c:v>6.8417000000000003</c:v>
                </c:pt>
                <c:pt idx="4">
                  <c:v>16.7394</c:v>
                </c:pt>
                <c:pt idx="5">
                  <c:v>26.6371</c:v>
                </c:pt>
                <c:pt idx="6">
                  <c:v>85.033530000000013</c:v>
                </c:pt>
                <c:pt idx="7">
                  <c:v>115.71640000000001</c:v>
                </c:pt>
                <c:pt idx="8">
                  <c:v>242.40696000000003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23968"/>
        <c:axId val="267416704"/>
      </c:scatterChart>
      <c:valAx>
        <c:axId val="265923968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416704"/>
        <c:crosses val="autoZero"/>
        <c:crossBetween val="midCat"/>
        <c:majorUnit val="1"/>
      </c:valAx>
      <c:valAx>
        <c:axId val="2674167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923968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Puit 4 - 1ère couche</a:t>
            </a:r>
            <a:endParaRPr lang="fr-FR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11.153544703595726</c:v>
                </c:pt>
                <c:pt idx="1">
                  <c:v>7.642698736637513</c:v>
                </c:pt>
                <c:pt idx="2">
                  <c:v>4.131852769679301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1.9329919830935454</c:v>
                </c:pt>
                <c:pt idx="1">
                  <c:v>1.8361588336172707</c:v>
                </c:pt>
                <c:pt idx="2">
                  <c:v>1.7396794951985206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7.7</c:v>
                </c:pt>
                <c:pt idx="1">
                  <c:v>7.7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1.8363499999999999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7.7</c:v>
                </c:pt>
                <c:pt idx="1">
                  <c:v>2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1.8363499999999999</c:v>
                </c:pt>
                <c:pt idx="1">
                  <c:v>1.8363499999999999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62400"/>
        <c:axId val="279079168"/>
      </c:scatterChart>
      <c:valAx>
        <c:axId val="279062400"/>
        <c:scaling>
          <c:orientation val="minMax"/>
          <c:max val="1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9079168"/>
        <c:crossesAt val="1.4"/>
        <c:crossBetween val="midCat"/>
        <c:majorUnit val="4"/>
        <c:minorUnit val="0.4"/>
      </c:valAx>
      <c:valAx>
        <c:axId val="279079168"/>
        <c:scaling>
          <c:orientation val="minMax"/>
          <c:max val="1.9600000000000004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9062400"/>
        <c:crosses val="autoZero"/>
        <c:crossBetween val="midCat"/>
        <c:majorUnit val="0.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139511</xdr:colOff>
      <xdr:row>49</xdr:row>
      <xdr:rowOff>730</xdr:rowOff>
    </xdr:from>
    <xdr:to>
      <xdr:col>14</xdr:col>
      <xdr:colOff>88805</xdr:colOff>
      <xdr:row>50</xdr:row>
      <xdr:rowOff>141787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949511" y="8046554"/>
          <a:ext cx="997044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387444</xdr:colOff>
      <xdr:row>54</xdr:row>
      <xdr:rowOff>28856</xdr:rowOff>
    </xdr:from>
    <xdr:to>
      <xdr:col>19</xdr:col>
      <xdr:colOff>295555</xdr:colOff>
      <xdr:row>55</xdr:row>
      <xdr:rowOff>94322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654209" y="9004768"/>
          <a:ext cx="726140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8</a:t>
          </a:r>
        </a:p>
      </xdr:txBody>
    </xdr:sp>
    <xdr:clientData/>
  </xdr:twoCellAnchor>
  <xdr:twoCellAnchor>
    <xdr:from>
      <xdr:col>3</xdr:col>
      <xdr:colOff>292755</xdr:colOff>
      <xdr:row>52</xdr:row>
      <xdr:rowOff>83540</xdr:rowOff>
    </xdr:from>
    <xdr:to>
      <xdr:col>6</xdr:col>
      <xdr:colOff>220365</xdr:colOff>
      <xdr:row>54</xdr:row>
      <xdr:rowOff>83540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34049" y="8684055"/>
          <a:ext cx="1165860" cy="37539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1,933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9,9</a:t>
          </a:r>
          <a:endParaRPr lang="fr-FR" sz="9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30480</xdr:rowOff>
    </xdr:from>
    <xdr:ext cx="5536406" cy="792480"/>
    <xdr:sp macro="" textlink="">
      <xdr:nvSpPr>
        <xdr:cNvPr id="2" name="ZoneTexte 1"/>
        <xdr:cNvSpPr txBox="1"/>
      </xdr:nvSpPr>
      <xdr:spPr>
        <a:xfrm>
          <a:off x="1781175" y="30480"/>
          <a:ext cx="5536406" cy="7924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PRODES</a:t>
          </a:r>
          <a:r>
            <a:rPr lang="fr-FR" sz="1200" b="1" baseline="0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 VERBAL D'ESSAI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 baseline="0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DETERMINATION DES </a:t>
          </a: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LIMITES D'ATTERBERG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Conformement à la norme</a:t>
          </a:r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NF P 94-051</a:t>
          </a: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oneCellAnchor>
  <xdr:twoCellAnchor>
    <xdr:from>
      <xdr:col>8</xdr:col>
      <xdr:colOff>379828</xdr:colOff>
      <xdr:row>1</xdr:row>
      <xdr:rowOff>4690</xdr:rowOff>
    </xdr:from>
    <xdr:to>
      <xdr:col>10</xdr:col>
      <xdr:colOff>754811</xdr:colOff>
      <xdr:row>1</xdr:row>
      <xdr:rowOff>8986</xdr:rowOff>
    </xdr:to>
    <xdr:cxnSp macro="">
      <xdr:nvCxnSpPr>
        <xdr:cNvPr id="3" name="Connecteur droit 2"/>
        <xdr:cNvCxnSpPr/>
      </xdr:nvCxnSpPr>
      <xdr:spPr>
        <a:xfrm>
          <a:off x="7704553" y="242815"/>
          <a:ext cx="2299033" cy="42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478301</xdr:colOff>
      <xdr:row>1</xdr:row>
      <xdr:rowOff>252046</xdr:rowOff>
    </xdr:from>
    <xdr:to>
      <xdr:col>10</xdr:col>
      <xdr:colOff>837341</xdr:colOff>
      <xdr:row>1</xdr:row>
      <xdr:rowOff>252046</xdr:rowOff>
    </xdr:to>
    <xdr:cxnSp macro="">
      <xdr:nvCxnSpPr>
        <xdr:cNvPr id="4" name="Connecteur droit 3"/>
        <xdr:cNvCxnSpPr/>
      </xdr:nvCxnSpPr>
      <xdr:spPr>
        <a:xfrm>
          <a:off x="7803026" y="442546"/>
          <a:ext cx="2283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655320</xdr:colOff>
      <xdr:row>6</xdr:row>
      <xdr:rowOff>160020</xdr:rowOff>
    </xdr:from>
    <xdr:to>
      <xdr:col>1</xdr:col>
      <xdr:colOff>1089660</xdr:colOff>
      <xdr:row>6</xdr:row>
      <xdr:rowOff>160020</xdr:rowOff>
    </xdr:to>
    <xdr:cxnSp macro="">
      <xdr:nvCxnSpPr>
        <xdr:cNvPr id="5" name="Connecteur droit 4"/>
        <xdr:cNvCxnSpPr/>
      </xdr:nvCxnSpPr>
      <xdr:spPr>
        <a:xfrm>
          <a:off x="655320" y="1398270"/>
          <a:ext cx="11296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68580</xdr:rowOff>
    </xdr:from>
    <xdr:to>
      <xdr:col>9</xdr:col>
      <xdr:colOff>487680</xdr:colOff>
      <xdr:row>28</xdr:row>
      <xdr:rowOff>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184575</xdr:rowOff>
    </xdr:from>
    <xdr:to>
      <xdr:col>11</xdr:col>
      <xdr:colOff>4730</xdr:colOff>
      <xdr:row>25</xdr:row>
      <xdr:rowOff>184575</xdr:rowOff>
    </xdr:to>
    <xdr:cxnSp macro="">
      <xdr:nvCxnSpPr>
        <xdr:cNvPr id="7" name="Connecteur droit 6"/>
        <xdr:cNvCxnSpPr/>
      </xdr:nvCxnSpPr>
      <xdr:spPr>
        <a:xfrm>
          <a:off x="9248775" y="5061375"/>
          <a:ext cx="89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24</xdr:row>
      <xdr:rowOff>167033</xdr:rowOff>
    </xdr:from>
    <xdr:to>
      <xdr:col>11</xdr:col>
      <xdr:colOff>7140</xdr:colOff>
      <xdr:row>24</xdr:row>
      <xdr:rowOff>167033</xdr:rowOff>
    </xdr:to>
    <xdr:cxnSp macro="">
      <xdr:nvCxnSpPr>
        <xdr:cNvPr id="8" name="Connecteur droit 7"/>
        <xdr:cNvCxnSpPr/>
      </xdr:nvCxnSpPr>
      <xdr:spPr>
        <a:xfrm>
          <a:off x="9256395" y="4853333"/>
          <a:ext cx="8853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816428</xdr:colOff>
      <xdr:row>23</xdr:row>
      <xdr:rowOff>174652</xdr:rowOff>
    </xdr:from>
    <xdr:to>
      <xdr:col>10</xdr:col>
      <xdr:colOff>777550</xdr:colOff>
      <xdr:row>23</xdr:row>
      <xdr:rowOff>174652</xdr:rowOff>
    </xdr:to>
    <xdr:cxnSp macro="">
      <xdr:nvCxnSpPr>
        <xdr:cNvPr id="9" name="Connecteur droit 8"/>
        <xdr:cNvCxnSpPr/>
      </xdr:nvCxnSpPr>
      <xdr:spPr>
        <a:xfrm>
          <a:off x="9122228" y="4670452"/>
          <a:ext cx="9040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5</xdr:row>
      <xdr:rowOff>7620</xdr:rowOff>
    </xdr:from>
    <xdr:to>
      <xdr:col>8</xdr:col>
      <xdr:colOff>0</xdr:colOff>
      <xdr:row>5</xdr:row>
      <xdr:rowOff>7620</xdr:rowOff>
    </xdr:to>
    <xdr:cxnSp macro="">
      <xdr:nvCxnSpPr>
        <xdr:cNvPr id="10" name="Connecteur droit 9"/>
        <xdr:cNvCxnSpPr/>
      </xdr:nvCxnSpPr>
      <xdr:spPr>
        <a:xfrm>
          <a:off x="2771775" y="1045845"/>
          <a:ext cx="4552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86122</xdr:colOff>
      <xdr:row>6</xdr:row>
      <xdr:rowOff>9921</xdr:rowOff>
    </xdr:from>
    <xdr:to>
      <xdr:col>7</xdr:col>
      <xdr:colOff>832882</xdr:colOff>
      <xdr:row>6</xdr:row>
      <xdr:rowOff>9921</xdr:rowOff>
    </xdr:to>
    <xdr:cxnSp macro="">
      <xdr:nvCxnSpPr>
        <xdr:cNvPr id="11" name="Connecteur droit 10"/>
        <xdr:cNvCxnSpPr/>
      </xdr:nvCxnSpPr>
      <xdr:spPr>
        <a:xfrm>
          <a:off x="2781697" y="1248171"/>
          <a:ext cx="43948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510540</xdr:colOff>
      <xdr:row>6</xdr:row>
      <xdr:rowOff>162560</xdr:rowOff>
    </xdr:from>
    <xdr:to>
      <xdr:col>7</xdr:col>
      <xdr:colOff>817880</xdr:colOff>
      <xdr:row>6</xdr:row>
      <xdr:rowOff>162560</xdr:rowOff>
    </xdr:to>
    <xdr:cxnSp macro="">
      <xdr:nvCxnSpPr>
        <xdr:cNvPr id="12" name="Connecteur droit 11"/>
        <xdr:cNvCxnSpPr/>
      </xdr:nvCxnSpPr>
      <xdr:spPr>
        <a:xfrm flipV="1">
          <a:off x="2291715" y="1400810"/>
          <a:ext cx="48698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38100</xdr:rowOff>
    </xdr:from>
    <xdr:to>
      <xdr:col>2</xdr:col>
      <xdr:colOff>777240</xdr:colOff>
      <xdr:row>31</xdr:row>
      <xdr:rowOff>7620</xdr:rowOff>
    </xdr:to>
    <xdr:sp macro="" textlink="">
      <xdr:nvSpPr>
        <xdr:cNvPr id="13" name="ZoneTexte 12"/>
        <xdr:cNvSpPr txBox="1"/>
      </xdr:nvSpPr>
      <xdr:spPr>
        <a:xfrm>
          <a:off x="0" y="6448425"/>
          <a:ext cx="2558415" cy="10077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Opérateur</a:t>
          </a:r>
        </a:p>
        <a:p>
          <a:pPr algn="l"/>
          <a:endParaRPr lang="fr-FR" sz="700"/>
        </a:p>
        <a:p>
          <a:pPr algn="l"/>
          <a:endParaRPr lang="fr-FR" sz="800"/>
        </a:p>
        <a:p>
          <a:pPr algn="l"/>
          <a:endParaRPr lang="fr-FR" sz="9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fr-F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Claire</a:t>
          </a:r>
          <a:r>
            <a:rPr lang="fr-FR" sz="1100"/>
            <a:t> </a:t>
          </a:r>
          <a:r>
            <a:rPr lang="fr-FR" sz="1100" b="1"/>
            <a:t>LOUMPANGOU</a:t>
          </a:r>
        </a:p>
      </xdr:txBody>
    </xdr:sp>
    <xdr:clientData/>
  </xdr:twoCellAnchor>
  <xdr:twoCellAnchor>
    <xdr:from>
      <xdr:col>2</xdr:col>
      <xdr:colOff>792480</xdr:colOff>
      <xdr:row>28</xdr:row>
      <xdr:rowOff>30480</xdr:rowOff>
    </xdr:from>
    <xdr:to>
      <xdr:col>7</xdr:col>
      <xdr:colOff>0</xdr:colOff>
      <xdr:row>31</xdr:row>
      <xdr:rowOff>0</xdr:rowOff>
    </xdr:to>
    <xdr:sp macro="" textlink="">
      <xdr:nvSpPr>
        <xdr:cNvPr id="14" name="ZoneTexte 13"/>
        <xdr:cNvSpPr txBox="1"/>
      </xdr:nvSpPr>
      <xdr:spPr>
        <a:xfrm>
          <a:off x="2573655" y="6440805"/>
          <a:ext cx="3769995" cy="10077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Chef de division Sol Routier </a:t>
          </a:r>
        </a:p>
        <a:p>
          <a:pPr algn="l"/>
          <a:endParaRPr lang="fr-FR" sz="1050"/>
        </a:p>
        <a:p>
          <a:pPr algn="l"/>
          <a:endParaRPr lang="fr-FR" sz="1050"/>
        </a:p>
        <a:p>
          <a:pPr algn="l"/>
          <a:endParaRPr lang="fr-FR" sz="1050"/>
        </a:p>
        <a:p>
          <a:pPr algn="l"/>
          <a:endParaRPr lang="fr-FR" sz="400"/>
        </a:p>
        <a:p>
          <a:pPr algn="l"/>
          <a:r>
            <a:rPr lang="fr-FR" sz="1100" b="1"/>
            <a:t>Eric KENGUE</a:t>
          </a:r>
        </a:p>
      </xdr:txBody>
    </xdr:sp>
    <xdr:clientData/>
  </xdr:twoCellAnchor>
  <xdr:twoCellAnchor>
    <xdr:from>
      <xdr:col>7</xdr:col>
      <xdr:colOff>15239</xdr:colOff>
      <xdr:row>28</xdr:row>
      <xdr:rowOff>23446</xdr:rowOff>
    </xdr:from>
    <xdr:to>
      <xdr:col>10</xdr:col>
      <xdr:colOff>788962</xdr:colOff>
      <xdr:row>31</xdr:row>
      <xdr:rowOff>0</xdr:rowOff>
    </xdr:to>
    <xdr:sp macro="" textlink="">
      <xdr:nvSpPr>
        <xdr:cNvPr id="15" name="ZoneTexte 14"/>
        <xdr:cNvSpPr txBox="1"/>
      </xdr:nvSpPr>
      <xdr:spPr>
        <a:xfrm>
          <a:off x="6358889" y="6433771"/>
          <a:ext cx="3678848" cy="101477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Directeur de laboratoire </a:t>
          </a:r>
        </a:p>
        <a:p>
          <a:pPr algn="l"/>
          <a:endParaRPr lang="fr-FR" sz="1100" b="1"/>
        </a:p>
        <a:p>
          <a:pPr algn="l"/>
          <a:endParaRPr lang="fr-FR" sz="1100" b="1"/>
        </a:p>
        <a:p>
          <a:pPr algn="l"/>
          <a:endParaRPr lang="fr-FR" sz="1100" b="1"/>
        </a:p>
        <a:p>
          <a:pPr algn="l"/>
          <a:endParaRPr lang="fr-FR" sz="300" b="1"/>
        </a:p>
        <a:p>
          <a:pPr algn="l"/>
          <a:r>
            <a:rPr lang="fr-FR" sz="1100" b="1"/>
            <a:t>Jean Richard NGAMBI</a:t>
          </a:r>
          <a:r>
            <a:rPr lang="fr-FR" sz="1100" b="1">
              <a:latin typeface="Calibri" panose="020F0502020204030204" pitchFamily="34" charset="0"/>
              <a:cs typeface="Calibri" panose="020F0502020204030204" pitchFamily="34" charset="0"/>
            </a:rPr>
            <a:t>É</a:t>
          </a:r>
          <a:endParaRPr lang="fr-FR" sz="1100" b="1"/>
        </a:p>
      </xdr:txBody>
    </xdr:sp>
    <xdr:clientData/>
  </xdr:twoCellAnchor>
  <xdr:twoCellAnchor>
    <xdr:from>
      <xdr:col>9</xdr:col>
      <xdr:colOff>121920</xdr:colOff>
      <xdr:row>5</xdr:row>
      <xdr:rowOff>167640</xdr:rowOff>
    </xdr:from>
    <xdr:to>
      <xdr:col>10</xdr:col>
      <xdr:colOff>696120</xdr:colOff>
      <xdr:row>5</xdr:row>
      <xdr:rowOff>167640</xdr:rowOff>
    </xdr:to>
    <xdr:cxnSp macro="">
      <xdr:nvCxnSpPr>
        <xdr:cNvPr id="16" name="Connecteur droit 15"/>
        <xdr:cNvCxnSpPr/>
      </xdr:nvCxnSpPr>
      <xdr:spPr>
        <a:xfrm>
          <a:off x="8427720" y="1205865"/>
          <a:ext cx="1517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289560</xdr:colOff>
      <xdr:row>0</xdr:row>
      <xdr:rowOff>45720</xdr:rowOff>
    </xdr:from>
    <xdr:to>
      <xdr:col>1</xdr:col>
      <xdr:colOff>480060</xdr:colOff>
      <xdr:row>4</xdr:row>
      <xdr:rowOff>15240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45720"/>
          <a:ext cx="1028700" cy="807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384233</xdr:colOff>
      <xdr:row>13</xdr:row>
      <xdr:rowOff>8082</xdr:rowOff>
    </xdr:from>
    <xdr:to>
      <xdr:col>8</xdr:col>
      <xdr:colOff>662363</xdr:colOff>
      <xdr:row>13</xdr:row>
      <xdr:rowOff>8082</xdr:rowOff>
    </xdr:to>
    <xdr:cxnSp macro="">
      <xdr:nvCxnSpPr>
        <xdr:cNvPr id="4" name="Connecteur droit 3"/>
        <xdr:cNvCxnSpPr/>
      </xdr:nvCxnSpPr>
      <xdr:spPr>
        <a:xfrm>
          <a:off x="5348778" y="2663537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257079</xdr:colOff>
      <xdr:row>14</xdr:row>
      <xdr:rowOff>185266</xdr:rowOff>
    </xdr:from>
    <xdr:to>
      <xdr:col>8</xdr:col>
      <xdr:colOff>712374</xdr:colOff>
      <xdr:row>14</xdr:row>
      <xdr:rowOff>185266</xdr:rowOff>
    </xdr:to>
    <xdr:cxnSp macro="">
      <xdr:nvCxnSpPr>
        <xdr:cNvPr id="5" name="Connecteur droit 4"/>
        <xdr:cNvCxnSpPr/>
      </xdr:nvCxnSpPr>
      <xdr:spPr>
        <a:xfrm flipV="1">
          <a:off x="4442306" y="3033145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0.39966</cdr:x>
      <cdr:y>0.52308</cdr:y>
    </cdr:from>
    <cdr:to>
      <cdr:x>0.61209</cdr:x>
      <cdr:y>0.74598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966499" y="1241281"/>
          <a:ext cx="1576754" cy="52895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dens.1,933t/m³;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9,9%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8</xdr:col>
      <xdr:colOff>341077</xdr:colOff>
      <xdr:row>40</xdr:row>
      <xdr:rowOff>89294</xdr:rowOff>
    </xdr:from>
    <xdr:to>
      <xdr:col>13</xdr:col>
      <xdr:colOff>279849</xdr:colOff>
      <xdr:row>42</xdr:row>
      <xdr:rowOff>27343</xdr:rowOff>
    </xdr:to>
    <xdr:sp macro="" textlink="">
      <xdr:nvSpPr>
        <xdr:cNvPr id="16" name="Rectangle 15"/>
        <xdr:cNvSpPr/>
      </xdr:nvSpPr>
      <xdr:spPr>
        <a:xfrm>
          <a:off x="3165038" y="7655632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8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  <xdr:twoCellAnchor>
    <xdr:from>
      <xdr:col>1</xdr:col>
      <xdr:colOff>268309</xdr:colOff>
      <xdr:row>32</xdr:row>
      <xdr:rowOff>46955</xdr:rowOff>
    </xdr:from>
    <xdr:to>
      <xdr:col>3</xdr:col>
      <xdr:colOff>462834</xdr:colOff>
      <xdr:row>33</xdr:row>
      <xdr:rowOff>172821</xdr:rowOff>
    </xdr:to>
    <xdr:sp macro="" textlink="">
      <xdr:nvSpPr>
        <xdr:cNvPr id="18" name="Rectangle 17"/>
        <xdr:cNvSpPr/>
      </xdr:nvSpPr>
      <xdr:spPr>
        <a:xfrm>
          <a:off x="744559" y="6083927"/>
          <a:ext cx="952500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OPM à 95% </a:t>
          </a:r>
          <a:r>
            <a:rPr lang="fr-FR" sz="1100" b="1" baseline="0">
              <a:solidFill>
                <a:srgbClr val="FF0000"/>
              </a:solidFill>
            </a:rPr>
            <a:t> 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G12" sqref="G12:J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625" t="s">
        <v>161</v>
      </c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6"/>
    </row>
    <row r="2" spans="1:29" ht="19.149999999999999" customHeight="1" x14ac:dyDescent="0.25">
      <c r="A2" s="627"/>
      <c r="B2" s="628"/>
      <c r="C2" s="628"/>
      <c r="D2" s="628"/>
      <c r="E2" s="629"/>
      <c r="F2" s="629"/>
      <c r="G2" s="629"/>
      <c r="H2" s="629"/>
      <c r="I2" s="629"/>
      <c r="J2" s="629"/>
      <c r="K2" s="629"/>
      <c r="L2" s="629"/>
      <c r="M2" s="630" t="s">
        <v>307</v>
      </c>
      <c r="N2" s="630"/>
      <c r="O2" s="630"/>
      <c r="P2" s="630"/>
      <c r="Q2" s="630"/>
      <c r="R2" s="630"/>
      <c r="S2" s="630"/>
      <c r="T2" s="630"/>
      <c r="U2" s="630"/>
      <c r="V2" s="631"/>
    </row>
    <row r="3" spans="1:29" ht="16.149999999999999" customHeight="1" x14ac:dyDescent="0.25">
      <c r="A3" s="632" t="s">
        <v>162</v>
      </c>
      <c r="B3" s="633"/>
      <c r="C3" s="633"/>
      <c r="D3" s="633"/>
      <c r="E3" s="634" t="s">
        <v>393</v>
      </c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</row>
    <row r="4" spans="1:29" ht="20.45" customHeight="1" x14ac:dyDescent="0.25">
      <c r="A4" s="637" t="s">
        <v>163</v>
      </c>
      <c r="B4" s="575"/>
      <c r="C4" s="575"/>
      <c r="D4" s="575"/>
      <c r="E4" s="638"/>
      <c r="F4" s="639">
        <v>43808</v>
      </c>
      <c r="G4" s="640"/>
      <c r="H4" s="640"/>
      <c r="I4" s="641"/>
      <c r="J4" s="642" t="s">
        <v>164</v>
      </c>
      <c r="K4" s="643"/>
      <c r="L4" s="643"/>
      <c r="M4" s="644"/>
      <c r="N4" s="645">
        <v>43809</v>
      </c>
      <c r="O4" s="646"/>
      <c r="P4" s="646"/>
      <c r="Q4" s="646"/>
      <c r="R4" s="646"/>
      <c r="S4" s="353" t="s">
        <v>136</v>
      </c>
      <c r="T4" s="646">
        <v>43826</v>
      </c>
      <c r="U4" s="647"/>
      <c r="V4" s="648"/>
    </row>
    <row r="5" spans="1:29" ht="7.15" customHeight="1" thickBot="1" x14ac:dyDescent="0.3">
      <c r="A5" s="622"/>
      <c r="B5" s="623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4"/>
    </row>
    <row r="6" spans="1:29" ht="16.5" thickBot="1" x14ac:dyDescent="0.3">
      <c r="A6" s="665" t="s">
        <v>165</v>
      </c>
      <c r="B6" s="666"/>
      <c r="C6" s="666"/>
      <c r="D6" s="666"/>
      <c r="E6" s="667"/>
      <c r="F6" s="668" t="s">
        <v>392</v>
      </c>
      <c r="G6" s="669"/>
      <c r="H6" s="669"/>
      <c r="I6" s="669"/>
      <c r="J6" s="669"/>
      <c r="K6" s="669"/>
      <c r="L6" s="669"/>
      <c r="M6" s="669"/>
      <c r="N6" s="669"/>
      <c r="O6" s="669"/>
      <c r="P6" s="669"/>
      <c r="Q6" s="669"/>
      <c r="R6" s="669"/>
      <c r="S6" s="669"/>
      <c r="T6" s="669"/>
      <c r="U6" s="669"/>
      <c r="V6" s="670"/>
      <c r="W6" t="s">
        <v>349</v>
      </c>
    </row>
    <row r="7" spans="1:29" ht="14.45" customHeight="1" x14ac:dyDescent="0.25">
      <c r="A7" s="671" t="s">
        <v>166</v>
      </c>
      <c r="B7" s="672"/>
      <c r="C7" s="672"/>
      <c r="D7" s="672"/>
      <c r="E7" s="672"/>
      <c r="F7" s="673" t="s">
        <v>372</v>
      </c>
      <c r="G7" s="673"/>
      <c r="H7" s="673"/>
      <c r="I7" s="673"/>
      <c r="J7" s="673"/>
      <c r="K7" s="673"/>
      <c r="L7" s="673"/>
      <c r="M7" s="673"/>
      <c r="N7" s="673"/>
      <c r="O7" s="673"/>
      <c r="P7" s="673"/>
      <c r="Q7" s="673"/>
      <c r="R7" s="673"/>
      <c r="S7" s="673"/>
      <c r="T7" s="673"/>
      <c r="U7" s="673"/>
      <c r="V7" s="674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75"/>
      <c r="B9" s="676"/>
      <c r="C9" s="676"/>
      <c r="D9" s="676"/>
      <c r="E9" s="676"/>
      <c r="F9" s="676"/>
      <c r="G9" s="676"/>
      <c r="H9" s="676"/>
      <c r="I9" s="676"/>
      <c r="J9" s="676"/>
      <c r="K9" s="676"/>
      <c r="L9" s="676"/>
      <c r="M9" s="676"/>
      <c r="N9" s="676"/>
      <c r="O9" s="676"/>
      <c r="P9" s="676"/>
      <c r="Q9" s="676"/>
      <c r="R9" s="676"/>
      <c r="S9" s="676"/>
      <c r="T9" s="676"/>
      <c r="U9" s="676"/>
      <c r="V9" s="677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678">
        <f>'Limite '!K24</f>
        <v>17.45</v>
      </c>
      <c r="E11" s="679"/>
      <c r="F11" s="680"/>
      <c r="G11" s="687" t="s">
        <v>170</v>
      </c>
      <c r="H11" s="688"/>
      <c r="I11" s="688"/>
      <c r="J11" s="689"/>
      <c r="K11" s="690">
        <f>'Teneur en eau 2 P1 '!F41</f>
        <v>20.226498812955192</v>
      </c>
      <c r="L11" s="691"/>
      <c r="M11" s="692"/>
      <c r="N11" s="693"/>
      <c r="O11" s="694"/>
      <c r="P11" s="694"/>
      <c r="Q11" s="694"/>
      <c r="R11" s="694"/>
      <c r="S11" s="694"/>
      <c r="T11" s="694"/>
      <c r="U11" s="694"/>
      <c r="V11" s="695"/>
    </row>
    <row r="12" spans="1:29" ht="23.45" customHeight="1" x14ac:dyDescent="0.25">
      <c r="A12" s="365" t="s">
        <v>171</v>
      </c>
      <c r="B12" s="366"/>
      <c r="C12" s="366"/>
      <c r="D12" s="651">
        <f>'Limite '!K25</f>
        <v>8.7788262132851624</v>
      </c>
      <c r="E12" s="652"/>
      <c r="F12" s="653"/>
      <c r="G12" s="654" t="s">
        <v>394</v>
      </c>
      <c r="H12" s="655"/>
      <c r="I12" s="655"/>
      <c r="J12" s="656"/>
      <c r="K12" s="657">
        <f>PS!G42</f>
        <v>2.5505378264666199</v>
      </c>
      <c r="L12" s="658"/>
      <c r="M12" s="659"/>
      <c r="N12" s="660" t="s">
        <v>172</v>
      </c>
      <c r="O12" s="661"/>
      <c r="P12" s="661"/>
      <c r="Q12" s="662"/>
      <c r="R12" s="663">
        <v>57</v>
      </c>
      <c r="S12" s="661"/>
      <c r="T12" s="661"/>
      <c r="U12" s="661"/>
      <c r="V12" s="664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619">
        <f>'Limite '!K26</f>
        <v>8.6711737867148369</v>
      </c>
      <c r="E13" s="620"/>
      <c r="F13" s="621"/>
      <c r="G13" s="369" t="s">
        <v>174</v>
      </c>
      <c r="H13" s="370"/>
      <c r="I13" s="370"/>
      <c r="J13" s="371"/>
      <c r="K13" s="601">
        <f>E34</f>
        <v>10.800000000000011</v>
      </c>
      <c r="L13" s="615"/>
      <c r="M13" s="616"/>
      <c r="N13" s="598" t="s">
        <v>175</v>
      </c>
      <c r="O13" s="599"/>
      <c r="P13" s="599"/>
      <c r="Q13" s="600"/>
      <c r="R13" s="601" t="s">
        <v>136</v>
      </c>
      <c r="S13" s="599"/>
      <c r="T13" s="599"/>
      <c r="U13" s="599"/>
      <c r="V13" s="602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649" t="s">
        <v>315</v>
      </c>
      <c r="D15" s="681" t="s">
        <v>316</v>
      </c>
      <c r="E15" s="683" t="s">
        <v>272</v>
      </c>
      <c r="F15" s="684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650"/>
      <c r="D16" s="682"/>
      <c r="E16" s="685"/>
      <c r="F16" s="686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525">
        <v>40</v>
      </c>
      <c r="C17" s="526">
        <f>'Granulo P1'!L23</f>
        <v>0</v>
      </c>
      <c r="D17" s="476">
        <f>(C17*100)/'Granulo P1'!C17:C18</f>
        <v>0</v>
      </c>
      <c r="E17" s="617">
        <f>100-D17</f>
        <v>100</v>
      </c>
      <c r="F17" s="618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519">
        <f>'Granulo P1'!L24</f>
        <v>0</v>
      </c>
      <c r="D18" s="476">
        <f>(C18*100)/'Granulo P1'!C17</f>
        <v>0</v>
      </c>
      <c r="E18" s="527">
        <f t="shared" ref="E18:E34" si="0">100-D18</f>
        <v>100</v>
      </c>
      <c r="F18" s="528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97"/>
      <c r="AA18" s="597"/>
      <c r="AB18" s="320"/>
      <c r="AC18" s="320">
        <v>40</v>
      </c>
      <c r="AD18" s="478">
        <f>E17</f>
        <v>100</v>
      </c>
    </row>
    <row r="19" spans="1:31" ht="10.15" customHeight="1" x14ac:dyDescent="0.25">
      <c r="A19" s="376"/>
      <c r="B19" s="383">
        <v>20</v>
      </c>
      <c r="C19" s="519">
        <f>'Granulo P1'!L26</f>
        <v>0</v>
      </c>
      <c r="D19" s="476">
        <f>(C19*100)/'Granulo P1'!C17</f>
        <v>0</v>
      </c>
      <c r="E19" s="527">
        <f t="shared" si="0"/>
        <v>100</v>
      </c>
      <c r="F19" s="528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97"/>
      <c r="AA19" s="597"/>
      <c r="AB19" s="320"/>
      <c r="AC19" s="320">
        <v>31.5</v>
      </c>
      <c r="AD19" s="478">
        <f>E18</f>
        <v>100</v>
      </c>
    </row>
    <row r="20" spans="1:31" ht="11.45" customHeight="1" x14ac:dyDescent="0.25">
      <c r="A20" s="376"/>
      <c r="B20" s="383">
        <v>10</v>
      </c>
      <c r="C20" s="518">
        <f>'Granulo P1'!L29</f>
        <v>6.2</v>
      </c>
      <c r="D20" s="476">
        <f>(C20*100)/'Granulo P1'!C17</f>
        <v>2.0666666666666669</v>
      </c>
      <c r="E20" s="527">
        <f t="shared" si="0"/>
        <v>97.933333333333337</v>
      </c>
      <c r="F20" s="528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97"/>
      <c r="AA20" s="597"/>
      <c r="AB20" s="320"/>
      <c r="AC20" s="320">
        <v>20</v>
      </c>
      <c r="AD20" s="478">
        <f>E19</f>
        <v>100</v>
      </c>
    </row>
    <row r="21" spans="1:31" ht="10.15" customHeight="1" x14ac:dyDescent="0.25">
      <c r="A21" s="376"/>
      <c r="B21" s="383">
        <v>6.3</v>
      </c>
      <c r="C21" s="519"/>
      <c r="D21" s="477"/>
      <c r="E21" s="527"/>
      <c r="F21" s="528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97"/>
      <c r="AA21" s="597"/>
      <c r="AB21" s="320"/>
      <c r="AC21" s="320">
        <v>10</v>
      </c>
      <c r="AD21" s="478">
        <f>E20</f>
        <v>97.933333333333337</v>
      </c>
    </row>
    <row r="22" spans="1:31" ht="11.45" customHeight="1" x14ac:dyDescent="0.25">
      <c r="A22" s="376"/>
      <c r="B22" s="383">
        <v>5</v>
      </c>
      <c r="C22" s="519">
        <f>'Granulo P1'!L32</f>
        <v>8.5</v>
      </c>
      <c r="D22" s="476">
        <f>(C22*100)/'Granulo P1'!C17</f>
        <v>2.8333333333333335</v>
      </c>
      <c r="E22" s="527">
        <f t="shared" si="0"/>
        <v>97.166666666666671</v>
      </c>
      <c r="F22" s="528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97"/>
      <c r="AA22" s="597"/>
      <c r="AB22" s="320"/>
      <c r="AC22" s="320">
        <v>5</v>
      </c>
      <c r="AD22" s="478">
        <f>E22</f>
        <v>97.166666666666671</v>
      </c>
    </row>
    <row r="23" spans="1:31" ht="12.6" customHeight="1" x14ac:dyDescent="0.25">
      <c r="A23" s="376"/>
      <c r="B23" s="383">
        <v>4</v>
      </c>
      <c r="C23" s="518"/>
      <c r="D23" s="477"/>
      <c r="E23" s="527"/>
      <c r="F23" s="528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603"/>
      <c r="AA23" s="604"/>
      <c r="AB23" s="320"/>
      <c r="AC23" s="320">
        <v>2</v>
      </c>
      <c r="AD23" s="478">
        <f>E25</f>
        <v>96.766666666666666</v>
      </c>
    </row>
    <row r="24" spans="1:31" ht="11.45" customHeight="1" x14ac:dyDescent="0.25">
      <c r="A24" s="376"/>
      <c r="B24" s="383">
        <v>2.5</v>
      </c>
      <c r="C24" s="519"/>
      <c r="D24" s="477"/>
      <c r="E24" s="527"/>
      <c r="F24" s="528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8">
        <f>E27</f>
        <v>96.4</v>
      </c>
    </row>
    <row r="25" spans="1:31" ht="11.45" customHeight="1" x14ac:dyDescent="0.25">
      <c r="A25" s="376"/>
      <c r="B25" s="383">
        <v>2</v>
      </c>
      <c r="C25" s="519">
        <f>'Granulo P1'!L36</f>
        <v>9.6999999999999993</v>
      </c>
      <c r="D25" s="476">
        <f>(C25*100)/'Granulo P1'!C17</f>
        <v>3.2333333333333329</v>
      </c>
      <c r="E25" s="527">
        <f t="shared" si="0"/>
        <v>96.766666666666666</v>
      </c>
      <c r="F25" s="528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8">
        <f>E29</f>
        <v>81.266666666666666</v>
      </c>
    </row>
    <row r="26" spans="1:31" ht="12.6" customHeight="1" x14ac:dyDescent="0.25">
      <c r="A26" s="376"/>
      <c r="B26" s="384">
        <v>1.25</v>
      </c>
      <c r="C26" s="519"/>
      <c r="D26" s="477"/>
      <c r="E26" s="527"/>
      <c r="F26" s="528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8">
        <f>E31</f>
        <v>35.366666666666674</v>
      </c>
    </row>
    <row r="27" spans="1:31" ht="12.6" customHeight="1" x14ac:dyDescent="0.25">
      <c r="A27" s="376"/>
      <c r="B27" s="385">
        <v>1</v>
      </c>
      <c r="C27" s="519">
        <f>'Granulo P1'!L39</f>
        <v>10.799999999999999</v>
      </c>
      <c r="D27" s="476">
        <f>(C27*100)/'Granulo P1'!C17</f>
        <v>3.6</v>
      </c>
      <c r="E27" s="527">
        <f t="shared" si="0"/>
        <v>96.4</v>
      </c>
      <c r="F27" s="528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8">
        <f>E33</f>
        <v>12.766666666666666</v>
      </c>
      <c r="AE27" s="447"/>
    </row>
    <row r="28" spans="1:31" ht="12.6" customHeight="1" x14ac:dyDescent="0.25">
      <c r="A28" s="376"/>
      <c r="B28" s="386">
        <v>0.63</v>
      </c>
      <c r="C28" s="519"/>
      <c r="D28" s="477"/>
      <c r="E28" s="527"/>
      <c r="F28" s="528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8">
        <f>E34</f>
        <v>10.800000000000011</v>
      </c>
      <c r="AE28" s="447"/>
    </row>
    <row r="29" spans="1:31" ht="11.45" customHeight="1" x14ac:dyDescent="0.25">
      <c r="A29" s="376"/>
      <c r="B29" s="386">
        <v>0.4</v>
      </c>
      <c r="C29" s="519">
        <f>'Granulo P1'!L43</f>
        <v>56.199999999999996</v>
      </c>
      <c r="D29" s="476">
        <f>(C29*100)/'Granulo P1'!C17</f>
        <v>18.733333333333334</v>
      </c>
      <c r="E29" s="527">
        <f t="shared" si="0"/>
        <v>81.266666666666666</v>
      </c>
      <c r="F29" s="528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7"/>
    </row>
    <row r="30" spans="1:31" ht="10.9" customHeight="1" x14ac:dyDescent="0.25">
      <c r="A30" s="376"/>
      <c r="B30" s="386">
        <v>0.315</v>
      </c>
      <c r="C30" s="519"/>
      <c r="D30" s="477"/>
      <c r="E30" s="527"/>
      <c r="F30" s="528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7"/>
    </row>
    <row r="31" spans="1:31" ht="12" customHeight="1" x14ac:dyDescent="0.25">
      <c r="A31" s="376"/>
      <c r="B31" s="386">
        <v>0.2</v>
      </c>
      <c r="C31" s="519">
        <f>'Granulo P1'!L46</f>
        <v>193.89999999999998</v>
      </c>
      <c r="D31" s="476">
        <f>(C31*100)/'Granulo P1'!C17</f>
        <v>64.633333333333326</v>
      </c>
      <c r="E31" s="527">
        <f t="shared" si="0"/>
        <v>35.366666666666674</v>
      </c>
      <c r="F31" s="528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7"/>
    </row>
    <row r="32" spans="1:31" ht="10.9" customHeight="1" x14ac:dyDescent="0.25">
      <c r="A32" s="376"/>
      <c r="B32" s="386">
        <v>0.16</v>
      </c>
      <c r="C32" s="519"/>
      <c r="D32" s="477"/>
      <c r="E32" s="527"/>
      <c r="F32" s="528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7"/>
    </row>
    <row r="33" spans="1:36" ht="12" customHeight="1" x14ac:dyDescent="0.25">
      <c r="A33" s="376"/>
      <c r="B33" s="386">
        <v>0.1</v>
      </c>
      <c r="C33" s="519">
        <f>'Granulo P1'!L49</f>
        <v>261.7</v>
      </c>
      <c r="D33" s="476">
        <f>(C33*100)/'Granulo P1'!C17</f>
        <v>87.233333333333334</v>
      </c>
      <c r="E33" s="527">
        <f t="shared" si="0"/>
        <v>12.766666666666666</v>
      </c>
      <c r="F33" s="528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7">
        <v>0.08</v>
      </c>
      <c r="C34" s="520">
        <f>'Granulo P1'!L50</f>
        <v>267.59999999999997</v>
      </c>
      <c r="D34" s="524">
        <f>(C34*100)/'Granulo P1'!C17</f>
        <v>89.199999999999989</v>
      </c>
      <c r="E34" s="529">
        <f t="shared" si="0"/>
        <v>10.800000000000011</v>
      </c>
      <c r="F34" s="53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8"/>
      <c r="C36" s="388"/>
      <c r="D36" s="388"/>
      <c r="E36" s="388"/>
      <c r="F36" s="388"/>
      <c r="G36" s="388"/>
      <c r="H36" s="388"/>
      <c r="I36" s="389"/>
      <c r="J36" s="390"/>
      <c r="K36" s="390"/>
      <c r="L36" s="391" t="s">
        <v>179</v>
      </c>
      <c r="M36" s="392"/>
      <c r="N36" s="393"/>
      <c r="O36" s="545" t="s">
        <v>145</v>
      </c>
      <c r="P36" s="546"/>
      <c r="Q36" s="394" t="s">
        <v>146</v>
      </c>
      <c r="R36" s="395"/>
      <c r="S36" s="394" t="s">
        <v>147</v>
      </c>
      <c r="T36" s="395"/>
      <c r="U36" s="396" t="s">
        <v>180</v>
      </c>
      <c r="V36" s="397"/>
      <c r="W36" s="313"/>
    </row>
    <row r="37" spans="1:36" ht="10.9" customHeight="1" thickBot="1" x14ac:dyDescent="0.3">
      <c r="A37" s="398"/>
      <c r="B37" s="399"/>
      <c r="C37" s="399"/>
      <c r="D37" s="400" t="s">
        <v>148</v>
      </c>
      <c r="E37" s="401"/>
      <c r="F37" s="402"/>
      <c r="G37" s="401" t="s">
        <v>149</v>
      </c>
      <c r="H37" s="401"/>
      <c r="I37" s="403"/>
      <c r="J37" s="350"/>
      <c r="K37" s="350"/>
      <c r="L37" s="404" t="s">
        <v>150</v>
      </c>
      <c r="M37" s="405"/>
      <c r="N37" s="406"/>
      <c r="O37" s="407" t="s">
        <v>181</v>
      </c>
      <c r="P37" s="408"/>
      <c r="Q37" s="407" t="s">
        <v>152</v>
      </c>
      <c r="R37" s="408"/>
      <c r="S37" s="409" t="s">
        <v>182</v>
      </c>
      <c r="T37" s="410"/>
      <c r="U37" s="407" t="s">
        <v>44</v>
      </c>
      <c r="V37" s="411"/>
    </row>
    <row r="38" spans="1:36" ht="14.45" customHeight="1" x14ac:dyDescent="0.25">
      <c r="A38" s="574" t="s">
        <v>285</v>
      </c>
      <c r="B38" s="575"/>
      <c r="C38" s="576"/>
      <c r="D38" s="577">
        <f>Y54</f>
        <v>1.9330000000000001</v>
      </c>
      <c r="E38" s="578"/>
      <c r="F38" s="579"/>
      <c r="G38" s="580"/>
      <c r="H38" s="581"/>
      <c r="I38" s="582"/>
      <c r="J38" s="350"/>
      <c r="K38" s="350"/>
      <c r="L38" s="412">
        <v>56</v>
      </c>
      <c r="M38" s="413"/>
      <c r="N38" s="414"/>
      <c r="O38" s="542">
        <f>M44</f>
        <v>1.9329919830935454</v>
      </c>
      <c r="P38" s="543"/>
      <c r="Q38" s="543"/>
      <c r="R38" s="544"/>
      <c r="S38" s="605">
        <f>' CBR Poinc'!L33</f>
        <v>11.631309436722756</v>
      </c>
      <c r="T38" s="605"/>
      <c r="U38" s="606">
        <v>0</v>
      </c>
      <c r="V38" s="607"/>
    </row>
    <row r="39" spans="1:36" ht="13.15" customHeight="1" x14ac:dyDescent="0.25">
      <c r="A39" s="583" t="s">
        <v>286</v>
      </c>
      <c r="B39" s="575"/>
      <c r="C39" s="576"/>
      <c r="D39" s="584">
        <f>X54</f>
        <v>9.9</v>
      </c>
      <c r="E39" s="585"/>
      <c r="F39" s="586"/>
      <c r="G39" s="535"/>
      <c r="H39" s="587"/>
      <c r="I39" s="536"/>
      <c r="J39" s="350"/>
      <c r="K39" s="350"/>
      <c r="L39" s="412">
        <v>25</v>
      </c>
      <c r="M39" s="413"/>
      <c r="N39" s="414"/>
      <c r="O39" s="584">
        <f>N44</f>
        <v>1.8361588336172707</v>
      </c>
      <c r="P39" s="585"/>
      <c r="Q39" s="585"/>
      <c r="R39" s="586"/>
      <c r="S39" s="534">
        <f>' CBR Poinc'!O33</f>
        <v>11.989100817438707</v>
      </c>
      <c r="T39" s="534"/>
      <c r="U39" s="535">
        <v>0</v>
      </c>
      <c r="V39" s="536"/>
    </row>
    <row r="40" spans="1:36" ht="15.75" thickBot="1" x14ac:dyDescent="0.3">
      <c r="A40" s="588" t="s">
        <v>155</v>
      </c>
      <c r="B40" s="589"/>
      <c r="C40" s="590"/>
      <c r="D40" s="591"/>
      <c r="E40" s="592"/>
      <c r="F40" s="593"/>
      <c r="G40" s="538"/>
      <c r="H40" s="594"/>
      <c r="I40" s="539"/>
      <c r="J40" s="350"/>
      <c r="K40" s="350"/>
      <c r="L40" s="415">
        <v>10</v>
      </c>
      <c r="M40" s="416"/>
      <c r="N40" s="417"/>
      <c r="O40" s="612">
        <f>O44</f>
        <v>1.7396794951985206</v>
      </c>
      <c r="P40" s="613"/>
      <c r="Q40" s="613"/>
      <c r="R40" s="614"/>
      <c r="S40" s="537">
        <f>' CBR Poinc'!R33</f>
        <v>12.318286151491984</v>
      </c>
      <c r="T40" s="537"/>
      <c r="U40" s="538">
        <v>0</v>
      </c>
      <c r="V40" s="539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8" t="s">
        <v>156</v>
      </c>
      <c r="B42" s="419">
        <v>1</v>
      </c>
      <c r="C42" s="419">
        <v>2</v>
      </c>
      <c r="D42" s="419">
        <v>3</v>
      </c>
      <c r="E42" s="419">
        <v>4</v>
      </c>
      <c r="F42" s="419">
        <v>5</v>
      </c>
      <c r="G42" s="419">
        <v>6</v>
      </c>
      <c r="H42" s="420" t="s">
        <v>157</v>
      </c>
      <c r="I42" s="421"/>
      <c r="J42" s="390"/>
      <c r="K42" s="390"/>
      <c r="L42" s="418" t="s">
        <v>156</v>
      </c>
      <c r="M42" s="419" t="s">
        <v>183</v>
      </c>
      <c r="N42" s="419" t="s">
        <v>184</v>
      </c>
      <c r="O42" s="422" t="s">
        <v>185</v>
      </c>
      <c r="P42" s="423"/>
      <c r="Q42" s="424"/>
      <c r="R42" s="425" t="s">
        <v>157</v>
      </c>
      <c r="S42" s="426">
        <v>1</v>
      </c>
      <c r="T42" s="426">
        <v>0.98</v>
      </c>
      <c r="U42" s="426">
        <v>0.95</v>
      </c>
      <c r="V42" s="427">
        <v>0.9</v>
      </c>
    </row>
    <row r="43" spans="1:36" ht="15.75" thickBot="1" x14ac:dyDescent="0.3">
      <c r="A43" s="428" t="s">
        <v>186</v>
      </c>
      <c r="B43" s="429">
        <f>'Proctor C01'!B41:C41</f>
        <v>6.1237095892838678</v>
      </c>
      <c r="C43" s="429">
        <f>'Proctor C01'!D41</f>
        <v>8.1954066486850259</v>
      </c>
      <c r="D43" s="429">
        <f>'Proctor C01'!F41</f>
        <v>10.188795377465139</v>
      </c>
      <c r="E43" s="429">
        <f>'Proctor C01'!H41</f>
        <v>12.170040546827455</v>
      </c>
      <c r="F43" s="429">
        <f>'Proctor C01'!J41</f>
        <v>14.087597279752016</v>
      </c>
      <c r="G43" s="430"/>
      <c r="H43" s="549">
        <f>X54</f>
        <v>9.9</v>
      </c>
      <c r="I43" s="550"/>
      <c r="J43" s="390"/>
      <c r="K43" s="390"/>
      <c r="L43" s="428" t="s">
        <v>75</v>
      </c>
      <c r="M43" s="431">
        <f>'CBR Crb (2)'!$C$26</f>
        <v>11.153544703595726</v>
      </c>
      <c r="N43" s="431">
        <f>'CBR Crb (2)'!$D$26</f>
        <v>7.642698736637513</v>
      </c>
      <c r="O43" s="432">
        <f>'CBR Crb (2)'!$E$26</f>
        <v>4.131852769679301</v>
      </c>
      <c r="P43" s="433"/>
      <c r="Q43" s="390"/>
      <c r="R43" s="428" t="s">
        <v>75</v>
      </c>
      <c r="S43" s="431"/>
      <c r="T43" s="431"/>
      <c r="U43" s="434">
        <f>X47</f>
        <v>7.7</v>
      </c>
      <c r="V43" s="432"/>
    </row>
    <row r="44" spans="1:36" ht="15.75" thickBot="1" x14ac:dyDescent="0.3">
      <c r="A44" s="435" t="s">
        <v>145</v>
      </c>
      <c r="B44" s="430">
        <f>'Proctor C01'!B33:C33</f>
        <v>1.8030002704019166</v>
      </c>
      <c r="C44" s="430">
        <f>'Proctor C01'!D33</f>
        <v>1.9031622242473263</v>
      </c>
      <c r="D44" s="430">
        <f>'Proctor C01'!F33</f>
        <v>1.9319821677107556</v>
      </c>
      <c r="E44" s="430">
        <f>'Proctor C01'!H33</f>
        <v>1.8865610395455956</v>
      </c>
      <c r="F44" s="430">
        <f>'Proctor C01'!J33</f>
        <v>1.7827643775255797</v>
      </c>
      <c r="G44" s="430"/>
      <c r="H44" s="547">
        <f>Y54</f>
        <v>1.9330000000000001</v>
      </c>
      <c r="I44" s="548"/>
      <c r="J44" s="390"/>
      <c r="K44" s="390"/>
      <c r="L44" s="435" t="s">
        <v>145</v>
      </c>
      <c r="M44" s="430">
        <f>'CBR Crb (2)'!$C$27</f>
        <v>1.9329919830935454</v>
      </c>
      <c r="N44" s="430">
        <f>'CBR Crb (2)'!$D$27</f>
        <v>1.8361588336172707</v>
      </c>
      <c r="O44" s="436">
        <f>'CBR Crb (2)'!$E$27</f>
        <v>1.7396794951985206</v>
      </c>
      <c r="P44" s="390"/>
      <c r="Q44" s="390"/>
      <c r="R44" s="435" t="s">
        <v>145</v>
      </c>
      <c r="S44" s="437">
        <f>D38</f>
        <v>1.9330000000000001</v>
      </c>
      <c r="T44" s="437">
        <f>0.98*D38</f>
        <v>1.8943399999999999</v>
      </c>
      <c r="U44" s="479">
        <f>Y47</f>
        <v>1.8363499999999999</v>
      </c>
      <c r="V44" s="438">
        <f>0.9*D38</f>
        <v>1.7397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609" t="s">
        <v>160</v>
      </c>
      <c r="Y46" s="610"/>
      <c r="AA46" s="595">
        <v>1.5087424812322829</v>
      </c>
      <c r="AB46" s="611"/>
      <c r="AC46" s="595">
        <v>1.7608815244713649</v>
      </c>
      <c r="AD46" s="611"/>
      <c r="AE46" s="595">
        <v>1.8072856952844565</v>
      </c>
      <c r="AF46" s="611"/>
      <c r="AG46" s="595">
        <v>1.705032926024864</v>
      </c>
      <c r="AH46" s="611"/>
      <c r="AI46" s="595">
        <v>1.6033511848620288</v>
      </c>
      <c r="AJ46" s="596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7.7</v>
      </c>
      <c r="Y47" s="267">
        <f>'CBR Crb (2)'!U28</f>
        <v>1.8363499999999999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7.7</v>
      </c>
      <c r="Y48" s="272">
        <v>1.72</v>
      </c>
      <c r="AA48" s="533">
        <v>4.144858294811776</v>
      </c>
      <c r="AB48" s="533"/>
      <c r="AC48" s="533">
        <v>6.1434380507245683</v>
      </c>
      <c r="AD48" s="533"/>
      <c r="AE48" s="533">
        <v>8.2092014738586752</v>
      </c>
      <c r="AF48" s="533"/>
      <c r="AG48" s="533">
        <v>10.115640061204832</v>
      </c>
      <c r="AH48" s="533"/>
      <c r="AI48" s="533">
        <v>12.159486396002357</v>
      </c>
      <c r="AJ48" s="608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3</v>
      </c>
      <c r="Y50" s="272">
        <f>Y47</f>
        <v>1.8363499999999999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7.7</v>
      </c>
      <c r="Y51" s="283">
        <f>Y50</f>
        <v>1.8363499999999999</v>
      </c>
      <c r="AA51" s="468">
        <v>14.939049337260677</v>
      </c>
      <c r="AB51" s="468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540" t="s">
        <v>157</v>
      </c>
      <c r="Y53" s="541"/>
      <c r="AA53" s="467">
        <v>1.811749882333872</v>
      </c>
      <c r="AB53" s="467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9.9</v>
      </c>
      <c r="Y54" s="315">
        <f>'Proctor C01'!B43</f>
        <v>1.9330000000000001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9.9</v>
      </c>
      <c r="Y55" s="315">
        <v>1.82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531">
        <v>7.6067528085002696</v>
      </c>
      <c r="AB56" s="532"/>
      <c r="AC56" s="531">
        <v>7.5611458890127361</v>
      </c>
      <c r="AD56" s="532"/>
      <c r="AE56" s="531">
        <v>7.5727707943985045</v>
      </c>
      <c r="AF56" s="532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1.9330000000000001</v>
      </c>
      <c r="Y57" s="315">
        <v>9.9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1.9330000000000001</v>
      </c>
      <c r="Y58" s="317">
        <v>0</v>
      </c>
    </row>
    <row r="59" spans="1:147" ht="6.6" customHeight="1" x14ac:dyDescent="0.25">
      <c r="A59" s="571"/>
      <c r="B59" s="572"/>
      <c r="C59" s="572"/>
      <c r="D59" s="572"/>
      <c r="E59" s="572"/>
      <c r="F59" s="572"/>
      <c r="G59" s="572"/>
      <c r="H59" s="572"/>
      <c r="I59" s="572"/>
      <c r="J59" s="572"/>
      <c r="K59" s="571"/>
      <c r="L59" s="572"/>
      <c r="M59" s="572"/>
      <c r="N59" s="572"/>
      <c r="O59" s="572"/>
      <c r="P59" s="572"/>
      <c r="Q59" s="572"/>
      <c r="R59" s="572"/>
      <c r="S59" s="572"/>
      <c r="T59" s="572"/>
      <c r="U59" s="572"/>
      <c r="V59" s="573"/>
    </row>
    <row r="60" spans="1:147" ht="15.6" customHeight="1" x14ac:dyDescent="0.25">
      <c r="A60" s="551" t="s">
        <v>309</v>
      </c>
      <c r="B60" s="552"/>
      <c r="C60" s="552"/>
      <c r="D60" s="552"/>
      <c r="E60" s="552"/>
      <c r="F60" s="552"/>
      <c r="G60" s="552"/>
      <c r="H60" s="552"/>
      <c r="I60" s="552"/>
      <c r="J60" s="552"/>
      <c r="K60" s="553" t="s">
        <v>308</v>
      </c>
      <c r="L60" s="554"/>
      <c r="M60" s="554"/>
      <c r="N60" s="554"/>
      <c r="O60" s="554"/>
      <c r="P60" s="554"/>
      <c r="Q60" s="554"/>
      <c r="R60" s="554"/>
      <c r="S60" s="554"/>
      <c r="T60" s="554"/>
      <c r="U60" s="554"/>
      <c r="V60" s="555"/>
    </row>
    <row r="61" spans="1:147" ht="4.9000000000000004" customHeight="1" x14ac:dyDescent="0.25">
      <c r="A61" s="556"/>
      <c r="B61" s="557"/>
      <c r="C61" s="557"/>
      <c r="D61" s="557"/>
      <c r="E61" s="557"/>
      <c r="F61" s="557"/>
      <c r="G61" s="557"/>
      <c r="H61" s="557"/>
      <c r="I61" s="557"/>
      <c r="J61" s="557"/>
      <c r="K61" s="556"/>
      <c r="L61" s="557"/>
      <c r="M61" s="557"/>
      <c r="N61" s="557"/>
      <c r="O61" s="557"/>
      <c r="P61" s="557"/>
      <c r="Q61" s="557"/>
      <c r="R61" s="557"/>
      <c r="S61" s="557"/>
      <c r="T61" s="557"/>
      <c r="U61" s="557"/>
      <c r="V61" s="558"/>
      <c r="W61" s="559"/>
      <c r="X61" s="560"/>
      <c r="Y61" s="560"/>
      <c r="Z61" s="560"/>
      <c r="AA61" s="560"/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/>
      <c r="AO61" s="560"/>
      <c r="AP61" s="560"/>
      <c r="AQ61" s="560"/>
      <c r="AR61" s="560"/>
      <c r="AS61" s="560"/>
      <c r="AT61" s="560"/>
      <c r="AU61" s="56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560"/>
      <c r="BQ61" s="560"/>
      <c r="BR61" s="560"/>
      <c r="BS61" s="560"/>
      <c r="BT61" s="560"/>
      <c r="BU61" s="560"/>
      <c r="BV61" s="560"/>
      <c r="BW61" s="560"/>
      <c r="BX61" s="560"/>
      <c r="BY61" s="560"/>
      <c r="BZ61" s="560"/>
      <c r="CA61" s="560"/>
      <c r="CB61" s="560"/>
      <c r="CC61" s="560"/>
      <c r="CD61" s="560"/>
      <c r="CE61" s="560"/>
      <c r="CF61" s="560"/>
      <c r="CG61" s="560"/>
      <c r="CH61" s="560"/>
      <c r="CI61" s="560"/>
      <c r="CJ61" s="560"/>
      <c r="CK61" s="560"/>
      <c r="CL61" s="560"/>
      <c r="CM61" s="560"/>
      <c r="CN61" s="560"/>
      <c r="CO61" s="560"/>
      <c r="CP61" s="560"/>
      <c r="CQ61" s="560"/>
      <c r="CR61" s="560"/>
      <c r="CS61" s="560"/>
      <c r="CT61" s="560"/>
      <c r="CU61" s="560"/>
      <c r="CV61" s="560"/>
      <c r="CW61" s="560"/>
      <c r="CX61" s="560"/>
      <c r="CY61" s="560"/>
      <c r="CZ61" s="560"/>
      <c r="DA61" s="560"/>
      <c r="DB61" s="560"/>
      <c r="DC61" s="560"/>
      <c r="DD61" s="560"/>
      <c r="DE61" s="560"/>
      <c r="DF61" s="560"/>
      <c r="DG61" s="560"/>
      <c r="DH61" s="560"/>
      <c r="DI61" s="560"/>
      <c r="DJ61" s="560"/>
      <c r="DK61" s="560"/>
      <c r="DL61" s="560"/>
      <c r="DM61" s="560"/>
      <c r="DN61" s="560"/>
      <c r="DO61" s="560"/>
      <c r="DP61" s="560"/>
      <c r="DQ61" s="560"/>
      <c r="DR61" s="560"/>
      <c r="DS61" s="560"/>
      <c r="DT61" s="560"/>
      <c r="DU61" s="560"/>
      <c r="DV61" s="560"/>
      <c r="DW61" s="560"/>
      <c r="DX61" s="560"/>
      <c r="DY61" s="560"/>
      <c r="DZ61" s="560"/>
      <c r="EA61" s="560"/>
      <c r="EB61" s="560"/>
      <c r="EC61" s="560"/>
      <c r="ED61" s="560"/>
      <c r="EE61" s="560"/>
      <c r="EF61" s="560"/>
      <c r="EG61" s="560"/>
      <c r="EH61" s="560"/>
      <c r="EI61" s="560"/>
      <c r="EJ61" s="560"/>
      <c r="EK61" s="560"/>
      <c r="EL61" s="560"/>
      <c r="EM61" s="560"/>
      <c r="EN61" s="560"/>
      <c r="EO61" s="560"/>
      <c r="EP61" s="560"/>
      <c r="EQ61" s="560"/>
    </row>
    <row r="62" spans="1:147" ht="3.6" customHeight="1" x14ac:dyDescent="0.25">
      <c r="A62" s="556"/>
      <c r="B62" s="557"/>
      <c r="C62" s="557"/>
      <c r="D62" s="557"/>
      <c r="E62" s="557"/>
      <c r="F62" s="557"/>
      <c r="G62" s="557"/>
      <c r="H62" s="557"/>
      <c r="I62" s="557"/>
      <c r="J62" s="557"/>
      <c r="K62" s="556"/>
      <c r="L62" s="557"/>
      <c r="M62" s="557"/>
      <c r="N62" s="557"/>
      <c r="O62" s="557"/>
      <c r="P62" s="557"/>
      <c r="Q62" s="557"/>
      <c r="R62" s="557"/>
      <c r="S62" s="557"/>
      <c r="T62" s="557"/>
      <c r="U62" s="557"/>
      <c r="V62" s="558"/>
      <c r="W62" s="559"/>
      <c r="X62" s="560"/>
      <c r="Y62" s="560"/>
      <c r="Z62" s="560"/>
      <c r="AA62" s="560"/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/>
      <c r="AO62" s="560"/>
      <c r="AP62" s="560"/>
      <c r="AQ62" s="560"/>
      <c r="AR62" s="560"/>
      <c r="AS62" s="560"/>
      <c r="AT62" s="560"/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560"/>
      <c r="BQ62" s="560"/>
      <c r="BR62" s="560"/>
      <c r="BS62" s="560"/>
      <c r="BT62" s="560"/>
      <c r="BU62" s="560"/>
      <c r="BV62" s="560"/>
      <c r="BW62" s="560"/>
      <c r="BX62" s="560"/>
      <c r="BY62" s="560"/>
      <c r="BZ62" s="560"/>
      <c r="CA62" s="560"/>
      <c r="CB62" s="560"/>
      <c r="CC62" s="560"/>
      <c r="CD62" s="560"/>
      <c r="CE62" s="560"/>
      <c r="CF62" s="560"/>
      <c r="CG62" s="560"/>
      <c r="CH62" s="560"/>
      <c r="CI62" s="560"/>
      <c r="CJ62" s="560"/>
      <c r="CK62" s="560"/>
      <c r="CL62" s="560"/>
      <c r="CM62" s="560"/>
      <c r="CN62" s="560"/>
      <c r="CO62" s="560"/>
      <c r="CP62" s="560"/>
      <c r="CQ62" s="560"/>
      <c r="CR62" s="560"/>
      <c r="CS62" s="560"/>
      <c r="CT62" s="560"/>
      <c r="CU62" s="560"/>
      <c r="CV62" s="560"/>
      <c r="CW62" s="560"/>
      <c r="CX62" s="560"/>
      <c r="CY62" s="560"/>
      <c r="CZ62" s="560"/>
      <c r="DA62" s="560"/>
      <c r="DB62" s="560"/>
      <c r="DC62" s="560"/>
      <c r="DD62" s="560"/>
      <c r="DE62" s="560"/>
      <c r="DF62" s="560"/>
      <c r="DG62" s="560"/>
      <c r="DH62" s="560"/>
      <c r="DI62" s="560"/>
      <c r="DJ62" s="560"/>
      <c r="DK62" s="560"/>
      <c r="DL62" s="560"/>
      <c r="DM62" s="560"/>
      <c r="DN62" s="560"/>
      <c r="DO62" s="560"/>
      <c r="DP62" s="560"/>
      <c r="DQ62" s="560"/>
      <c r="DR62" s="560"/>
      <c r="DS62" s="560"/>
      <c r="DT62" s="560"/>
      <c r="DU62" s="560"/>
      <c r="DV62" s="560"/>
      <c r="DW62" s="560"/>
      <c r="DX62" s="560"/>
      <c r="DY62" s="560"/>
      <c r="DZ62" s="560"/>
      <c r="EA62" s="560"/>
      <c r="EB62" s="560"/>
      <c r="EC62" s="560"/>
      <c r="ED62" s="560"/>
      <c r="EE62" s="560"/>
      <c r="EF62" s="560"/>
      <c r="EG62" s="560"/>
      <c r="EH62" s="560"/>
      <c r="EI62" s="560"/>
      <c r="EJ62" s="560"/>
      <c r="EK62" s="560"/>
      <c r="EL62" s="560"/>
      <c r="EM62" s="560"/>
      <c r="EN62" s="560"/>
      <c r="EO62" s="560"/>
      <c r="EP62" s="560"/>
      <c r="EQ62" s="560"/>
    </row>
    <row r="63" spans="1:147" ht="7.15" customHeight="1" x14ac:dyDescent="0.25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6"/>
      <c r="L63" s="557"/>
      <c r="M63" s="557"/>
      <c r="N63" s="557"/>
      <c r="O63" s="557"/>
      <c r="P63" s="557"/>
      <c r="Q63" s="557"/>
      <c r="R63" s="557"/>
      <c r="S63" s="557"/>
      <c r="T63" s="557"/>
      <c r="U63" s="557"/>
      <c r="V63" s="558"/>
      <c r="W63" s="559"/>
      <c r="X63" s="560"/>
      <c r="Y63" s="560"/>
      <c r="Z63" s="560"/>
      <c r="AA63" s="560"/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0"/>
      <c r="AO63" s="560"/>
      <c r="AP63" s="560"/>
      <c r="AQ63" s="560"/>
      <c r="AR63" s="560"/>
      <c r="AS63" s="560"/>
      <c r="AT63" s="560"/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560"/>
      <c r="BQ63" s="560"/>
      <c r="BR63" s="560"/>
      <c r="BS63" s="560"/>
      <c r="BT63" s="560"/>
      <c r="BU63" s="560"/>
      <c r="BV63" s="560"/>
      <c r="BW63" s="560"/>
      <c r="BX63" s="560"/>
      <c r="BY63" s="560"/>
      <c r="BZ63" s="560"/>
      <c r="CA63" s="560"/>
      <c r="CB63" s="560"/>
      <c r="CC63" s="560"/>
      <c r="CD63" s="560"/>
      <c r="CE63" s="560"/>
      <c r="CF63" s="560"/>
      <c r="CG63" s="560"/>
      <c r="CH63" s="560"/>
      <c r="CI63" s="560"/>
      <c r="CJ63" s="560"/>
      <c r="CK63" s="560"/>
      <c r="CL63" s="560"/>
      <c r="CM63" s="560"/>
      <c r="CN63" s="560"/>
      <c r="CO63" s="560"/>
      <c r="CP63" s="560"/>
      <c r="CQ63" s="560"/>
      <c r="CR63" s="560"/>
      <c r="CS63" s="560"/>
      <c r="CT63" s="560"/>
      <c r="CU63" s="560"/>
      <c r="CV63" s="560"/>
      <c r="CW63" s="560"/>
      <c r="CX63" s="560"/>
      <c r="CY63" s="560"/>
      <c r="CZ63" s="560"/>
      <c r="DA63" s="560"/>
      <c r="DB63" s="560"/>
      <c r="DC63" s="560"/>
      <c r="DD63" s="560"/>
      <c r="DE63" s="560"/>
      <c r="DF63" s="560"/>
      <c r="DG63" s="560"/>
      <c r="DH63" s="560"/>
      <c r="DI63" s="560"/>
      <c r="DJ63" s="560"/>
      <c r="DK63" s="560"/>
      <c r="DL63" s="560"/>
      <c r="DM63" s="560"/>
      <c r="DN63" s="560"/>
      <c r="DO63" s="560"/>
      <c r="DP63" s="560"/>
      <c r="DQ63" s="560"/>
      <c r="DR63" s="560"/>
      <c r="DS63" s="560"/>
      <c r="DT63" s="560"/>
      <c r="DU63" s="560"/>
      <c r="DV63" s="560"/>
      <c r="DW63" s="560"/>
      <c r="DX63" s="560"/>
      <c r="DY63" s="560"/>
      <c r="DZ63" s="560"/>
      <c r="EA63" s="560"/>
      <c r="EB63" s="560"/>
      <c r="EC63" s="560"/>
      <c r="ED63" s="560"/>
      <c r="EE63" s="560"/>
      <c r="EF63" s="560"/>
      <c r="EG63" s="560"/>
      <c r="EH63" s="560"/>
      <c r="EI63" s="560"/>
      <c r="EJ63" s="560"/>
      <c r="EK63" s="560"/>
      <c r="EL63" s="560"/>
      <c r="EM63" s="560"/>
      <c r="EN63" s="560"/>
      <c r="EO63" s="560"/>
      <c r="EP63" s="560"/>
      <c r="EQ63" s="560"/>
    </row>
    <row r="64" spans="1:147" ht="4.1500000000000004" customHeight="1" x14ac:dyDescent="0.25">
      <c r="A64" s="556"/>
      <c r="B64" s="557"/>
      <c r="C64" s="557"/>
      <c r="D64" s="557"/>
      <c r="E64" s="557"/>
      <c r="F64" s="557"/>
      <c r="G64" s="557"/>
      <c r="H64" s="557"/>
      <c r="I64" s="557"/>
      <c r="J64" s="557"/>
      <c r="K64" s="556"/>
      <c r="L64" s="557"/>
      <c r="M64" s="557"/>
      <c r="N64" s="557"/>
      <c r="O64" s="557"/>
      <c r="P64" s="557"/>
      <c r="Q64" s="557"/>
      <c r="R64" s="557"/>
      <c r="S64" s="557"/>
      <c r="T64" s="557"/>
      <c r="U64" s="557"/>
      <c r="V64" s="558"/>
      <c r="W64" s="559"/>
      <c r="X64" s="560"/>
      <c r="Y64" s="560"/>
      <c r="Z64" s="560"/>
      <c r="AA64" s="560"/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/>
      <c r="AO64" s="560"/>
      <c r="AP64" s="560"/>
      <c r="AQ64" s="560"/>
      <c r="AR64" s="560"/>
      <c r="AS64" s="560"/>
      <c r="AT64" s="560"/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560"/>
      <c r="BQ64" s="560"/>
      <c r="BR64" s="560"/>
      <c r="BS64" s="560"/>
      <c r="BT64" s="560"/>
      <c r="BU64" s="560"/>
      <c r="BV64" s="560"/>
      <c r="BW64" s="560"/>
      <c r="BX64" s="560"/>
      <c r="BY64" s="560"/>
      <c r="BZ64" s="560"/>
      <c r="CA64" s="560"/>
      <c r="CB64" s="560"/>
      <c r="CC64" s="560"/>
      <c r="CD64" s="560"/>
      <c r="CE64" s="560"/>
      <c r="CF64" s="560"/>
      <c r="CG64" s="560"/>
      <c r="CH64" s="560"/>
      <c r="CI64" s="560"/>
      <c r="CJ64" s="560"/>
      <c r="CK64" s="560"/>
      <c r="CL64" s="560"/>
      <c r="CM64" s="560"/>
      <c r="CN64" s="560"/>
      <c r="CO64" s="560"/>
      <c r="CP64" s="560"/>
      <c r="CQ64" s="560"/>
      <c r="CR64" s="560"/>
      <c r="CS64" s="560"/>
      <c r="CT64" s="560"/>
      <c r="CU64" s="560"/>
      <c r="CV64" s="560"/>
      <c r="CW64" s="560"/>
      <c r="CX64" s="560"/>
      <c r="CY64" s="560"/>
      <c r="CZ64" s="560"/>
      <c r="DA64" s="560"/>
      <c r="DB64" s="560"/>
      <c r="DC64" s="560"/>
      <c r="DD64" s="560"/>
      <c r="DE64" s="560"/>
      <c r="DF64" s="560"/>
      <c r="DG64" s="560"/>
      <c r="DH64" s="560"/>
      <c r="DI64" s="560"/>
      <c r="DJ64" s="560"/>
      <c r="DK64" s="560"/>
      <c r="DL64" s="560"/>
      <c r="DM64" s="560"/>
      <c r="DN64" s="560"/>
      <c r="DO64" s="560"/>
      <c r="DP64" s="560"/>
      <c r="DQ64" s="560"/>
      <c r="DR64" s="560"/>
      <c r="DS64" s="560"/>
      <c r="DT64" s="560"/>
      <c r="DU64" s="560"/>
      <c r="DV64" s="560"/>
      <c r="DW64" s="560"/>
      <c r="DX64" s="560"/>
      <c r="DY64" s="560"/>
      <c r="DZ64" s="560"/>
      <c r="EA64" s="560"/>
      <c r="EB64" s="560"/>
      <c r="EC64" s="560"/>
      <c r="ED64" s="560"/>
      <c r="EE64" s="560"/>
      <c r="EF64" s="560"/>
      <c r="EG64" s="560"/>
      <c r="EH64" s="560"/>
      <c r="EI64" s="560"/>
      <c r="EJ64" s="560"/>
      <c r="EK64" s="560"/>
      <c r="EL64" s="560"/>
      <c r="EM64" s="560"/>
      <c r="EN64" s="560"/>
      <c r="EO64" s="560"/>
      <c r="EP64" s="560"/>
      <c r="EQ64" s="560"/>
    </row>
    <row r="65" spans="1:147" ht="1.9" customHeight="1" x14ac:dyDescent="0.25">
      <c r="A65" s="556"/>
      <c r="B65" s="557"/>
      <c r="C65" s="557"/>
      <c r="D65" s="557"/>
      <c r="E65" s="557"/>
      <c r="F65" s="557"/>
      <c r="G65" s="557"/>
      <c r="H65" s="557"/>
      <c r="I65" s="557"/>
      <c r="J65" s="557"/>
      <c r="K65" s="556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8"/>
      <c r="W65" s="559"/>
      <c r="X65" s="560"/>
      <c r="Y65" s="560"/>
      <c r="Z65" s="560"/>
      <c r="AA65" s="560"/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0"/>
      <c r="AO65" s="560"/>
      <c r="AP65" s="560"/>
      <c r="AQ65" s="560"/>
      <c r="AR65" s="560"/>
      <c r="AS65" s="560"/>
      <c r="AT65" s="560"/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560"/>
      <c r="BQ65" s="560"/>
      <c r="BR65" s="560"/>
      <c r="BS65" s="560"/>
      <c r="BT65" s="560"/>
      <c r="BU65" s="560"/>
      <c r="BV65" s="560"/>
      <c r="BW65" s="560"/>
      <c r="BX65" s="560"/>
      <c r="BY65" s="560"/>
      <c r="BZ65" s="560"/>
      <c r="CA65" s="560"/>
      <c r="CB65" s="560"/>
      <c r="CC65" s="560"/>
      <c r="CD65" s="560"/>
      <c r="CE65" s="560"/>
      <c r="CF65" s="560"/>
      <c r="CG65" s="560"/>
      <c r="CH65" s="560"/>
      <c r="CI65" s="560"/>
      <c r="CJ65" s="560"/>
      <c r="CK65" s="560"/>
      <c r="CL65" s="560"/>
      <c r="CM65" s="560"/>
      <c r="CN65" s="560"/>
      <c r="CO65" s="560"/>
      <c r="CP65" s="560"/>
      <c r="CQ65" s="560"/>
      <c r="CR65" s="560"/>
      <c r="CS65" s="560"/>
      <c r="CT65" s="560"/>
      <c r="CU65" s="560"/>
      <c r="CV65" s="560"/>
      <c r="CW65" s="560"/>
      <c r="CX65" s="560"/>
      <c r="CY65" s="560"/>
      <c r="CZ65" s="560"/>
      <c r="DA65" s="560"/>
      <c r="DB65" s="560"/>
      <c r="DC65" s="560"/>
      <c r="DD65" s="560"/>
      <c r="DE65" s="560"/>
      <c r="DF65" s="560"/>
      <c r="DG65" s="560"/>
      <c r="DH65" s="560"/>
      <c r="DI65" s="560"/>
      <c r="DJ65" s="560"/>
      <c r="DK65" s="560"/>
      <c r="DL65" s="560"/>
      <c r="DM65" s="560"/>
      <c r="DN65" s="560"/>
      <c r="DO65" s="560"/>
      <c r="DP65" s="560"/>
      <c r="DQ65" s="560"/>
      <c r="DR65" s="560"/>
      <c r="DS65" s="560"/>
      <c r="DT65" s="560"/>
      <c r="DU65" s="560"/>
      <c r="DV65" s="560"/>
      <c r="DW65" s="560"/>
      <c r="DX65" s="560"/>
      <c r="DY65" s="560"/>
      <c r="DZ65" s="560"/>
      <c r="EA65" s="560"/>
      <c r="EB65" s="560"/>
      <c r="EC65" s="560"/>
      <c r="ED65" s="560"/>
      <c r="EE65" s="560"/>
      <c r="EF65" s="560"/>
      <c r="EG65" s="560"/>
      <c r="EH65" s="560"/>
      <c r="EI65" s="560"/>
      <c r="EJ65" s="560"/>
      <c r="EK65" s="560"/>
      <c r="EL65" s="560"/>
      <c r="EM65" s="560"/>
      <c r="EN65" s="560"/>
      <c r="EO65" s="560"/>
      <c r="EP65" s="560"/>
      <c r="EQ65" s="560"/>
    </row>
    <row r="66" spans="1:147" ht="10.15" customHeight="1" x14ac:dyDescent="0.25">
      <c r="A66" s="561" t="s">
        <v>310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5" t="s">
        <v>187</v>
      </c>
      <c r="L66" s="566"/>
      <c r="M66" s="566"/>
      <c r="N66" s="566"/>
      <c r="O66" s="566"/>
      <c r="P66" s="566"/>
      <c r="Q66" s="566"/>
      <c r="R66" s="566"/>
      <c r="S66" s="566"/>
      <c r="T66" s="566"/>
      <c r="U66" s="566"/>
      <c r="V66" s="567"/>
      <c r="W66" s="559"/>
      <c r="X66" s="560"/>
      <c r="Y66" s="560"/>
      <c r="Z66" s="560"/>
      <c r="AA66" s="560"/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/>
      <c r="AO66" s="560"/>
      <c r="AP66" s="560"/>
      <c r="AQ66" s="560"/>
      <c r="AR66" s="560"/>
      <c r="AS66" s="560"/>
      <c r="AT66" s="560"/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560"/>
      <c r="BQ66" s="560"/>
      <c r="BR66" s="560"/>
      <c r="BS66" s="560"/>
      <c r="BT66" s="560"/>
      <c r="BU66" s="560"/>
      <c r="BV66" s="560"/>
      <c r="BW66" s="560"/>
      <c r="BX66" s="560"/>
      <c r="BY66" s="560"/>
      <c r="BZ66" s="560"/>
      <c r="CA66" s="560"/>
      <c r="CB66" s="560"/>
      <c r="CC66" s="560"/>
      <c r="CD66" s="560"/>
      <c r="CE66" s="560"/>
      <c r="CF66" s="560"/>
      <c r="CG66" s="560"/>
      <c r="CH66" s="560"/>
      <c r="CI66" s="560"/>
      <c r="CJ66" s="560"/>
      <c r="CK66" s="560"/>
      <c r="CL66" s="560"/>
      <c r="CM66" s="560"/>
      <c r="CN66" s="560"/>
      <c r="CO66" s="560"/>
      <c r="CP66" s="560"/>
      <c r="CQ66" s="560"/>
      <c r="CR66" s="560"/>
      <c r="CS66" s="560"/>
      <c r="CT66" s="560"/>
      <c r="CU66" s="560"/>
      <c r="CV66" s="560"/>
      <c r="CW66" s="560"/>
      <c r="CX66" s="560"/>
      <c r="CY66" s="560"/>
      <c r="CZ66" s="560"/>
      <c r="DA66" s="560"/>
      <c r="DB66" s="560"/>
      <c r="DC66" s="560"/>
      <c r="DD66" s="560"/>
      <c r="DE66" s="560"/>
      <c r="DF66" s="560"/>
      <c r="DG66" s="560"/>
      <c r="DH66" s="560"/>
      <c r="DI66" s="560"/>
      <c r="DJ66" s="560"/>
      <c r="DK66" s="560"/>
      <c r="DL66" s="560"/>
      <c r="DM66" s="560"/>
      <c r="DN66" s="560"/>
      <c r="DO66" s="560"/>
      <c r="DP66" s="560"/>
      <c r="DQ66" s="560"/>
      <c r="DR66" s="560"/>
      <c r="DS66" s="560"/>
      <c r="DT66" s="560"/>
      <c r="DU66" s="560"/>
      <c r="DV66" s="560"/>
      <c r="DW66" s="560"/>
      <c r="DX66" s="560"/>
      <c r="DY66" s="560"/>
      <c r="DZ66" s="560"/>
      <c r="EA66" s="560"/>
      <c r="EB66" s="560"/>
      <c r="EC66" s="560"/>
      <c r="ED66" s="560"/>
      <c r="EE66" s="560"/>
      <c r="EF66" s="560"/>
      <c r="EG66" s="560"/>
      <c r="EH66" s="560"/>
      <c r="EI66" s="560"/>
      <c r="EJ66" s="560"/>
      <c r="EK66" s="560"/>
      <c r="EL66" s="560"/>
      <c r="EM66" s="560"/>
      <c r="EN66" s="560"/>
      <c r="EO66" s="560"/>
      <c r="EP66" s="560"/>
      <c r="EQ66" s="560"/>
    </row>
    <row r="67" spans="1:147" ht="15" hidden="1" customHeight="1" thickBot="1" x14ac:dyDescent="0.3">
      <c r="A67" s="561"/>
      <c r="B67" s="562"/>
      <c r="C67" s="562"/>
      <c r="D67" s="562"/>
      <c r="E67" s="562"/>
      <c r="F67" s="562"/>
      <c r="G67" s="562"/>
      <c r="H67" s="562"/>
      <c r="I67" s="562"/>
      <c r="J67" s="562"/>
      <c r="K67" s="565"/>
      <c r="L67" s="566"/>
      <c r="M67" s="566"/>
      <c r="N67" s="566"/>
      <c r="O67" s="566"/>
      <c r="P67" s="566"/>
      <c r="Q67" s="566"/>
      <c r="R67" s="566"/>
      <c r="S67" s="566"/>
      <c r="T67" s="566"/>
      <c r="U67" s="566"/>
      <c r="V67" s="567"/>
      <c r="W67" s="559"/>
      <c r="X67" s="560"/>
      <c r="Y67" s="560"/>
      <c r="Z67" s="560"/>
      <c r="AA67" s="560"/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/>
      <c r="AO67" s="560"/>
      <c r="AP67" s="560"/>
      <c r="AQ67" s="560"/>
      <c r="AR67" s="560"/>
      <c r="AS67" s="560"/>
      <c r="AT67" s="560"/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560"/>
      <c r="BQ67" s="560"/>
      <c r="BR67" s="560"/>
      <c r="BS67" s="560"/>
      <c r="BT67" s="560"/>
      <c r="BU67" s="560"/>
      <c r="BV67" s="560"/>
      <c r="BW67" s="560"/>
      <c r="BX67" s="560"/>
      <c r="BY67" s="560"/>
      <c r="BZ67" s="560"/>
      <c r="CA67" s="560"/>
      <c r="CB67" s="560"/>
      <c r="CC67" s="560"/>
      <c r="CD67" s="560"/>
      <c r="CE67" s="560"/>
      <c r="CF67" s="560"/>
      <c r="CG67" s="560"/>
      <c r="CH67" s="560"/>
      <c r="CI67" s="560"/>
      <c r="CJ67" s="560"/>
      <c r="CK67" s="560"/>
      <c r="CL67" s="560"/>
      <c r="CM67" s="560"/>
      <c r="CN67" s="560"/>
      <c r="CO67" s="560"/>
      <c r="CP67" s="560"/>
      <c r="CQ67" s="560"/>
      <c r="CR67" s="560"/>
      <c r="CS67" s="560"/>
      <c r="CT67" s="560"/>
      <c r="CU67" s="560"/>
      <c r="CV67" s="560"/>
      <c r="CW67" s="560"/>
      <c r="CX67" s="560"/>
      <c r="CY67" s="560"/>
      <c r="CZ67" s="560"/>
      <c r="DA67" s="560"/>
      <c r="DB67" s="560"/>
      <c r="DC67" s="560"/>
      <c r="DD67" s="560"/>
      <c r="DE67" s="560"/>
      <c r="DF67" s="560"/>
      <c r="DG67" s="560"/>
      <c r="DH67" s="560"/>
      <c r="DI67" s="560"/>
      <c r="DJ67" s="560"/>
      <c r="DK67" s="560"/>
      <c r="DL67" s="560"/>
      <c r="DM67" s="560"/>
      <c r="DN67" s="560"/>
      <c r="DO67" s="560"/>
      <c r="DP67" s="560"/>
      <c r="DQ67" s="560"/>
      <c r="DR67" s="560"/>
      <c r="DS67" s="560"/>
      <c r="DT67" s="560"/>
      <c r="DU67" s="560"/>
      <c r="DV67" s="560"/>
      <c r="DW67" s="560"/>
      <c r="DX67" s="560"/>
      <c r="DY67" s="560"/>
      <c r="DZ67" s="560"/>
      <c r="EA67" s="560"/>
      <c r="EB67" s="560"/>
      <c r="EC67" s="560"/>
      <c r="ED67" s="560"/>
      <c r="EE67" s="560"/>
      <c r="EF67" s="560"/>
      <c r="EG67" s="560"/>
      <c r="EH67" s="560"/>
      <c r="EI67" s="560"/>
      <c r="EJ67" s="560"/>
      <c r="EK67" s="560"/>
      <c r="EL67" s="560"/>
      <c r="EM67" s="560"/>
      <c r="EN67" s="560"/>
      <c r="EO67" s="560"/>
      <c r="EP67" s="560"/>
      <c r="EQ67" s="560"/>
    </row>
    <row r="68" spans="1:147" ht="7.15" customHeight="1" thickBot="1" x14ac:dyDescent="0.3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8"/>
      <c r="L68" s="569"/>
      <c r="M68" s="569"/>
      <c r="N68" s="569"/>
      <c r="O68" s="569"/>
      <c r="P68" s="569"/>
      <c r="Q68" s="569"/>
      <c r="R68" s="569"/>
      <c r="S68" s="569"/>
      <c r="T68" s="569"/>
      <c r="U68" s="569"/>
      <c r="V68" s="570"/>
      <c r="W68" s="559"/>
      <c r="X68" s="560"/>
      <c r="Y68" s="560"/>
      <c r="Z68" s="560"/>
      <c r="AA68" s="560"/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/>
      <c r="AO68" s="560"/>
      <c r="AP68" s="560"/>
      <c r="AQ68" s="560"/>
      <c r="AR68" s="560"/>
      <c r="AS68" s="560"/>
      <c r="AT68" s="560"/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560"/>
      <c r="BQ68" s="560"/>
      <c r="BR68" s="560"/>
      <c r="BS68" s="560"/>
      <c r="BT68" s="560"/>
      <c r="BU68" s="560"/>
      <c r="BV68" s="560"/>
      <c r="BW68" s="560"/>
      <c r="BX68" s="560"/>
      <c r="BY68" s="560"/>
      <c r="BZ68" s="560"/>
      <c r="CA68" s="560"/>
      <c r="CB68" s="560"/>
      <c r="CC68" s="560"/>
      <c r="CD68" s="560"/>
      <c r="CE68" s="560"/>
      <c r="CF68" s="560"/>
      <c r="CG68" s="560"/>
      <c r="CH68" s="560"/>
      <c r="CI68" s="560"/>
      <c r="CJ68" s="560"/>
      <c r="CK68" s="560"/>
      <c r="CL68" s="560"/>
      <c r="CM68" s="560"/>
      <c r="CN68" s="560"/>
      <c r="CO68" s="560"/>
      <c r="CP68" s="560"/>
      <c r="CQ68" s="560"/>
      <c r="CR68" s="560"/>
      <c r="CS68" s="560"/>
      <c r="CT68" s="560"/>
      <c r="CU68" s="560"/>
      <c r="CV68" s="560"/>
      <c r="CW68" s="560"/>
      <c r="CX68" s="560"/>
      <c r="CY68" s="560"/>
      <c r="CZ68" s="560"/>
      <c r="DA68" s="560"/>
      <c r="DB68" s="560"/>
      <c r="DC68" s="560"/>
      <c r="DD68" s="560"/>
      <c r="DE68" s="560"/>
      <c r="DF68" s="560"/>
      <c r="DG68" s="560"/>
      <c r="DH68" s="560"/>
      <c r="DI68" s="560"/>
      <c r="DJ68" s="560"/>
      <c r="DK68" s="560"/>
      <c r="DL68" s="560"/>
      <c r="DM68" s="560"/>
      <c r="DN68" s="560"/>
      <c r="DO68" s="560"/>
      <c r="DP68" s="560"/>
      <c r="DQ68" s="560"/>
      <c r="DR68" s="560"/>
      <c r="DS68" s="560"/>
      <c r="DT68" s="560"/>
      <c r="DU68" s="560"/>
      <c r="DV68" s="560"/>
      <c r="DW68" s="560"/>
      <c r="DX68" s="560"/>
      <c r="DY68" s="560"/>
      <c r="DZ68" s="560"/>
      <c r="EA68" s="560"/>
      <c r="EB68" s="560"/>
      <c r="EC68" s="560"/>
      <c r="ED68" s="560"/>
      <c r="EE68" s="560"/>
      <c r="EF68" s="560"/>
      <c r="EG68" s="560"/>
      <c r="EH68" s="560"/>
      <c r="EI68" s="560"/>
      <c r="EJ68" s="560"/>
      <c r="EK68" s="560"/>
      <c r="EL68" s="560"/>
      <c r="EM68" s="560"/>
      <c r="EN68" s="560"/>
      <c r="EO68" s="560"/>
      <c r="EP68" s="560"/>
      <c r="EQ68" s="560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5" workbookViewId="0">
      <selection activeCell="U31" sqref="U31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52" t="s">
        <v>188</v>
      </c>
      <c r="C1" s="753"/>
      <c r="D1" s="753"/>
      <c r="E1" s="753"/>
      <c r="F1" s="753"/>
      <c r="G1" s="753"/>
      <c r="H1" s="753"/>
      <c r="I1" s="753"/>
      <c r="J1" s="753"/>
      <c r="K1" s="753"/>
      <c r="L1" s="754"/>
      <c r="M1" s="755"/>
      <c r="N1" s="756"/>
      <c r="O1" s="757"/>
      <c r="P1" s="758"/>
    </row>
    <row r="2" spans="1:18" ht="16.899999999999999" customHeight="1" x14ac:dyDescent="0.25">
      <c r="A2" s="759" t="s">
        <v>189</v>
      </c>
      <c r="B2" s="761" t="s">
        <v>190</v>
      </c>
      <c r="C2" s="762"/>
      <c r="D2" s="762"/>
      <c r="E2" s="762"/>
      <c r="F2" s="762"/>
      <c r="G2" s="762"/>
      <c r="H2" s="762"/>
      <c r="I2" s="762"/>
      <c r="J2" s="762"/>
      <c r="K2" s="762"/>
      <c r="L2" s="763"/>
      <c r="M2" s="332"/>
      <c r="N2" s="702" t="s">
        <v>189</v>
      </c>
      <c r="O2" s="702"/>
      <c r="P2" s="333"/>
    </row>
    <row r="3" spans="1:18" ht="14.45" customHeight="1" x14ac:dyDescent="0.25">
      <c r="A3" s="759"/>
      <c r="B3" s="761" t="s">
        <v>191</v>
      </c>
      <c r="C3" s="762"/>
      <c r="D3" s="762"/>
      <c r="E3" s="762"/>
      <c r="F3" s="762"/>
      <c r="G3" s="762"/>
      <c r="H3" s="762"/>
      <c r="I3" s="762"/>
      <c r="J3" s="762"/>
      <c r="K3" s="762"/>
      <c r="L3" s="763"/>
      <c r="M3" s="332"/>
      <c r="N3" s="702"/>
      <c r="O3" s="702"/>
      <c r="P3" s="333"/>
    </row>
    <row r="4" spans="1:18" ht="15.75" thickBot="1" x14ac:dyDescent="0.3">
      <c r="A4" s="760"/>
      <c r="B4" s="764" t="s">
        <v>192</v>
      </c>
      <c r="C4" s="765"/>
      <c r="D4" s="765"/>
      <c r="E4" s="765"/>
      <c r="F4" s="765"/>
      <c r="G4" s="765"/>
      <c r="H4" s="765"/>
      <c r="I4" s="765"/>
      <c r="J4" s="765"/>
      <c r="K4" s="765"/>
      <c r="L4" s="766"/>
      <c r="M4" s="334"/>
      <c r="N4" s="703"/>
      <c r="O4" s="703"/>
      <c r="P4" s="335"/>
    </row>
    <row r="5" spans="1:18" x14ac:dyDescent="0.25">
      <c r="A5" s="748"/>
      <c r="B5" s="748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748"/>
      <c r="O5" s="748"/>
      <c r="P5" s="748"/>
    </row>
    <row r="6" spans="1:18" ht="16.149999999999999" customHeight="1" x14ac:dyDescent="0.25">
      <c r="A6" s="336" t="s">
        <v>193</v>
      </c>
      <c r="B6" s="749">
        <v>43809</v>
      </c>
      <c r="C6" s="740"/>
      <c r="D6" s="740"/>
      <c r="E6" s="740"/>
      <c r="F6" s="740"/>
      <c r="G6" s="740"/>
      <c r="H6" s="750" t="s">
        <v>194</v>
      </c>
      <c r="I6" s="750"/>
      <c r="J6" s="750"/>
      <c r="K6" s="750"/>
      <c r="L6" s="750" t="s">
        <v>370</v>
      </c>
      <c r="M6" s="750"/>
      <c r="N6" s="750"/>
      <c r="O6" s="750"/>
      <c r="P6" s="751"/>
    </row>
    <row r="7" spans="1:18" x14ac:dyDescent="0.25">
      <c r="A7" s="337"/>
      <c r="B7" s="720"/>
      <c r="C7" s="720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  <c r="P7" s="720"/>
      <c r="Q7" s="319"/>
      <c r="R7" s="319"/>
    </row>
    <row r="8" spans="1:18" x14ac:dyDescent="0.25">
      <c r="A8" s="338"/>
      <c r="B8" s="742"/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</row>
    <row r="9" spans="1:18" x14ac:dyDescent="0.25">
      <c r="A9" s="747" t="s">
        <v>195</v>
      </c>
      <c r="B9" s="743"/>
      <c r="C9" s="743"/>
      <c r="D9" s="743"/>
      <c r="E9" s="743"/>
      <c r="F9" s="743"/>
      <c r="G9" s="743"/>
      <c r="H9" s="743"/>
      <c r="I9" s="742"/>
      <c r="J9" s="742"/>
      <c r="K9" s="742"/>
      <c r="L9" s="742"/>
      <c r="M9" s="742"/>
      <c r="N9" s="742"/>
      <c r="O9" s="742"/>
      <c r="P9" s="742"/>
    </row>
    <row r="10" spans="1:18" ht="8.4499999999999993" customHeight="1" x14ac:dyDescent="0.25">
      <c r="A10" s="742"/>
      <c r="B10" s="742"/>
      <c r="C10" s="742"/>
      <c r="D10" s="742"/>
      <c r="E10" s="742"/>
      <c r="F10" s="742"/>
      <c r="G10" s="742"/>
      <c r="H10" s="742"/>
      <c r="I10" s="742"/>
      <c r="J10" s="742"/>
      <c r="K10" s="742"/>
      <c r="L10" s="742"/>
      <c r="M10" s="742"/>
      <c r="N10" s="742"/>
      <c r="O10" s="742"/>
      <c r="P10" s="742"/>
    </row>
    <row r="11" spans="1:18" ht="18.75" x14ac:dyDescent="0.35">
      <c r="A11" s="339" t="s">
        <v>275</v>
      </c>
      <c r="B11" s="744">
        <v>400</v>
      </c>
      <c r="C11" s="745"/>
      <c r="D11" s="746"/>
      <c r="E11" s="603">
        <v>500</v>
      </c>
      <c r="F11" s="740"/>
      <c r="G11" s="604"/>
      <c r="H11" s="603">
        <v>630</v>
      </c>
      <c r="I11" s="740"/>
      <c r="J11" s="604"/>
      <c r="K11" s="603">
        <v>800</v>
      </c>
      <c r="L11" s="740"/>
      <c r="M11" s="604"/>
      <c r="N11" s="603">
        <v>1000</v>
      </c>
      <c r="O11" s="604"/>
      <c r="P11" s="340"/>
    </row>
    <row r="12" spans="1:18" x14ac:dyDescent="0.25">
      <c r="A12" s="341" t="s">
        <v>196</v>
      </c>
      <c r="B12" s="603">
        <v>20</v>
      </c>
      <c r="C12" s="740"/>
      <c r="D12" s="604"/>
      <c r="E12" s="603">
        <v>50</v>
      </c>
      <c r="F12" s="740"/>
      <c r="G12" s="604"/>
      <c r="H12" s="603">
        <v>100</v>
      </c>
      <c r="I12" s="740"/>
      <c r="J12" s="604"/>
      <c r="K12" s="603">
        <v>150</v>
      </c>
      <c r="L12" s="740"/>
      <c r="M12" s="604"/>
      <c r="N12" s="603">
        <v>200</v>
      </c>
      <c r="O12" s="604"/>
      <c r="P12" s="340"/>
    </row>
    <row r="13" spans="1:18" x14ac:dyDescent="0.25">
      <c r="A13" s="720"/>
      <c r="B13" s="720"/>
      <c r="C13" s="720"/>
      <c r="D13" s="720"/>
      <c r="E13" s="720"/>
      <c r="F13" s="720"/>
      <c r="G13" s="720"/>
      <c r="H13" s="720"/>
      <c r="I13" s="720"/>
      <c r="J13" s="720"/>
      <c r="K13" s="720"/>
      <c r="L13" s="720"/>
      <c r="M13" s="720"/>
      <c r="N13" s="720"/>
      <c r="O13" s="720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741" t="s">
        <v>277</v>
      </c>
      <c r="P14" s="741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97" t="s">
        <v>278</v>
      </c>
      <c r="P15" s="597"/>
    </row>
    <row r="16" spans="1:18" x14ac:dyDescent="0.25">
      <c r="A16" s="720"/>
      <c r="B16" s="720"/>
      <c r="C16" s="720"/>
      <c r="D16" s="720"/>
      <c r="E16" s="720"/>
      <c r="F16" s="720"/>
      <c r="G16" s="720"/>
      <c r="H16" s="720"/>
      <c r="I16" s="720"/>
      <c r="J16" s="720"/>
      <c r="K16" s="720"/>
      <c r="L16" s="720"/>
      <c r="M16" s="720"/>
      <c r="N16" s="720"/>
      <c r="O16" s="720"/>
      <c r="P16" s="720"/>
    </row>
    <row r="17" spans="1:16" x14ac:dyDescent="0.25">
      <c r="A17" s="742"/>
      <c r="B17" s="742"/>
      <c r="C17" s="742"/>
      <c r="D17" s="742"/>
      <c r="E17" s="742"/>
      <c r="F17" s="742"/>
      <c r="G17" s="742"/>
      <c r="H17" s="742"/>
      <c r="I17" s="742"/>
      <c r="J17" s="742"/>
      <c r="K17" s="742"/>
      <c r="L17" s="742"/>
      <c r="M17" s="742"/>
      <c r="N17" s="742"/>
      <c r="O17" s="742"/>
      <c r="P17" s="742"/>
    </row>
    <row r="18" spans="1:16" x14ac:dyDescent="0.25">
      <c r="A18" s="743" t="s">
        <v>279</v>
      </c>
      <c r="B18" s="743"/>
      <c r="C18" s="743"/>
      <c r="D18" s="743"/>
      <c r="E18" s="743"/>
      <c r="F18" s="742"/>
      <c r="G18" s="742"/>
      <c r="H18" s="742"/>
      <c r="I18" s="742"/>
      <c r="J18" s="742"/>
      <c r="K18" s="742"/>
      <c r="L18" s="742"/>
      <c r="M18" s="742"/>
      <c r="N18" s="742"/>
      <c r="O18" s="742"/>
      <c r="P18" s="742"/>
    </row>
    <row r="19" spans="1:16" ht="10.9" customHeight="1" thickBot="1" x14ac:dyDescent="0.3">
      <c r="A19" s="739"/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</row>
    <row r="20" spans="1:16" x14ac:dyDescent="0.25">
      <c r="A20" s="732" t="s">
        <v>273</v>
      </c>
      <c r="B20" s="733"/>
      <c r="C20" s="733"/>
      <c r="D20" s="733"/>
      <c r="E20" s="733"/>
      <c r="F20" s="733"/>
      <c r="G20" s="733"/>
      <c r="H20" s="733"/>
      <c r="I20" s="733"/>
      <c r="J20" s="733"/>
      <c r="K20" s="733"/>
      <c r="L20" s="733"/>
      <c r="M20" s="733"/>
      <c r="N20" s="733"/>
      <c r="O20" s="733"/>
      <c r="P20" s="734"/>
    </row>
    <row r="21" spans="1:16" x14ac:dyDescent="0.25">
      <c r="A21" s="735" t="s">
        <v>205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36"/>
    </row>
    <row r="22" spans="1:16" x14ac:dyDescent="0.25">
      <c r="A22" s="704"/>
      <c r="B22" s="705"/>
      <c r="C22" s="705"/>
      <c r="D22" s="705"/>
      <c r="E22" s="705"/>
      <c r="F22" s="705"/>
      <c r="G22" s="705"/>
      <c r="H22" s="705"/>
      <c r="I22" s="705"/>
      <c r="J22" s="705"/>
      <c r="K22" s="705"/>
      <c r="L22" s="705"/>
      <c r="M22" s="705"/>
      <c r="N22" s="705"/>
      <c r="O22" s="705"/>
      <c r="P22" s="706"/>
    </row>
    <row r="23" spans="1:16" x14ac:dyDescent="0.25">
      <c r="A23" s="704"/>
      <c r="B23" s="705"/>
      <c r="C23" s="737"/>
      <c r="D23" s="342"/>
      <c r="E23" s="597" t="s">
        <v>206</v>
      </c>
      <c r="F23" s="597"/>
      <c r="G23" s="738"/>
      <c r="H23" s="705"/>
      <c r="I23" s="705"/>
      <c r="J23" s="705"/>
      <c r="K23" s="737"/>
      <c r="L23" s="343"/>
      <c r="M23" s="603" t="s">
        <v>207</v>
      </c>
      <c r="N23" s="604"/>
      <c r="O23" s="738"/>
      <c r="P23" s="706"/>
    </row>
    <row r="24" spans="1:16" x14ac:dyDescent="0.25">
      <c r="A24" s="721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2"/>
      <c r="P24" s="723"/>
    </row>
    <row r="25" spans="1:16" x14ac:dyDescent="0.25">
      <c r="A25" s="344" t="s">
        <v>274</v>
      </c>
      <c r="B25" s="720"/>
      <c r="C25" s="720"/>
      <c r="D25" s="720"/>
      <c r="E25" s="720"/>
      <c r="F25" s="720"/>
      <c r="G25" s="720"/>
      <c r="H25" s="720"/>
      <c r="I25" s="720"/>
      <c r="J25" s="720"/>
      <c r="K25" s="720"/>
      <c r="L25" s="720"/>
      <c r="M25" s="720"/>
      <c r="N25" s="720"/>
      <c r="O25" s="720"/>
      <c r="P25" s="728"/>
    </row>
    <row r="26" spans="1:16" x14ac:dyDescent="0.25">
      <c r="A26" s="704"/>
      <c r="B26" s="705"/>
      <c r="C26" s="705"/>
      <c r="D26" s="705"/>
      <c r="E26" s="705"/>
      <c r="F26" s="705"/>
      <c r="G26" s="705"/>
      <c r="H26" s="705"/>
      <c r="I26" s="705"/>
      <c r="J26" s="705"/>
      <c r="K26" s="705"/>
      <c r="L26" s="705"/>
      <c r="M26" s="705"/>
      <c r="N26" s="705"/>
      <c r="O26" s="705"/>
      <c r="P26" s="706"/>
    </row>
    <row r="27" spans="1:16" ht="16.5" x14ac:dyDescent="0.3">
      <c r="A27" s="345" t="s">
        <v>208</v>
      </c>
      <c r="B27" s="722" t="s">
        <v>371</v>
      </c>
      <c r="C27" s="722"/>
      <c r="D27" s="722"/>
      <c r="E27" s="722"/>
      <c r="F27" s="722"/>
      <c r="G27" s="722"/>
      <c r="H27" s="722" t="s">
        <v>280</v>
      </c>
      <c r="I27" s="722"/>
      <c r="J27" s="722"/>
      <c r="K27" s="722"/>
      <c r="L27" s="722"/>
      <c r="M27" s="722">
        <v>32.799999999999997</v>
      </c>
      <c r="N27" s="722"/>
      <c r="O27" s="346">
        <v>37.4</v>
      </c>
      <c r="P27" s="346" t="s">
        <v>265</v>
      </c>
    </row>
    <row r="28" spans="1:16" ht="4.1500000000000004" customHeight="1" x14ac:dyDescent="0.25">
      <c r="A28" s="727"/>
      <c r="B28" s="720"/>
      <c r="C28" s="720"/>
      <c r="D28" s="720"/>
      <c r="E28" s="720"/>
      <c r="F28" s="720"/>
      <c r="G28" s="720"/>
      <c r="H28" s="720"/>
      <c r="I28" s="720"/>
      <c r="J28" s="720"/>
      <c r="K28" s="720"/>
      <c r="L28" s="720"/>
      <c r="M28" s="720"/>
      <c r="N28" s="720"/>
      <c r="O28" s="720"/>
      <c r="P28" s="728"/>
    </row>
    <row r="29" spans="1:16" x14ac:dyDescent="0.25">
      <c r="A29" s="729" t="s">
        <v>209</v>
      </c>
      <c r="B29" s="730"/>
      <c r="C29" s="730"/>
      <c r="D29" s="730"/>
      <c r="E29" s="730"/>
      <c r="F29" s="730"/>
      <c r="G29" s="730"/>
      <c r="H29" s="731" t="s">
        <v>210</v>
      </c>
      <c r="I29" s="731"/>
      <c r="J29" s="731"/>
      <c r="K29" s="731"/>
      <c r="L29" s="731"/>
      <c r="M29" s="705">
        <v>298.60000000000002</v>
      </c>
      <c r="N29" s="705"/>
      <c r="O29" s="347">
        <v>260.8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22"/>
      <c r="P30" s="723"/>
    </row>
    <row r="31" spans="1:16" ht="16.5" x14ac:dyDescent="0.3">
      <c r="A31" s="713" t="s">
        <v>211</v>
      </c>
      <c r="B31" s="714"/>
      <c r="C31" s="714"/>
      <c r="D31" s="714"/>
      <c r="E31" s="714"/>
      <c r="F31" s="714"/>
      <c r="G31" s="714"/>
      <c r="H31" s="720"/>
      <c r="I31" s="720"/>
      <c r="J31" s="720"/>
      <c r="K31" s="350" t="s">
        <v>281</v>
      </c>
      <c r="L31" s="350"/>
      <c r="M31" s="705">
        <v>254.5</v>
      </c>
      <c r="N31" s="705"/>
      <c r="O31" s="347">
        <v>222.7</v>
      </c>
      <c r="P31" s="347" t="s">
        <v>267</v>
      </c>
    </row>
    <row r="32" spans="1:16" ht="3.6" customHeight="1" x14ac:dyDescent="0.25">
      <c r="A32" s="721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2"/>
      <c r="P32" s="723"/>
    </row>
    <row r="33" spans="1:20" x14ac:dyDescent="0.25">
      <c r="A33" s="724" t="s">
        <v>212</v>
      </c>
      <c r="B33" s="725"/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  <c r="P33" s="726"/>
    </row>
    <row r="34" spans="1:20" x14ac:dyDescent="0.25">
      <c r="A34" s="704"/>
      <c r="B34" s="705"/>
      <c r="C34" s="705"/>
      <c r="D34" s="705"/>
      <c r="E34" s="705"/>
      <c r="F34" s="705"/>
      <c r="G34" s="705"/>
      <c r="H34" s="705"/>
      <c r="I34" s="705"/>
      <c r="J34" s="705"/>
      <c r="K34" s="705"/>
      <c r="L34" s="705"/>
      <c r="M34" s="705"/>
      <c r="N34" s="705"/>
      <c r="O34" s="705"/>
      <c r="P34" s="706"/>
    </row>
    <row r="35" spans="1:20" ht="16.5" x14ac:dyDescent="0.3">
      <c r="A35" s="713" t="s">
        <v>282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5"/>
    </row>
    <row r="36" spans="1:20" ht="16.5" x14ac:dyDescent="0.3">
      <c r="A36" s="713" t="s">
        <v>283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5"/>
    </row>
    <row r="37" spans="1:20" x14ac:dyDescent="0.25">
      <c r="A37" s="704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5"/>
      <c r="P37" s="706"/>
      <c r="S37" s="326">
        <f>(M29-M31)/(M31-M27)*100</f>
        <v>19.891745602165098</v>
      </c>
      <c r="T37" s="326">
        <f>(O29-O31)/(O31-O27)*100</f>
        <v>20.56125202374529</v>
      </c>
    </row>
    <row r="38" spans="1:20" x14ac:dyDescent="0.25">
      <c r="A38" s="704"/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5"/>
      <c r="N38" s="705"/>
      <c r="O38" s="705"/>
      <c r="P38" s="706"/>
    </row>
    <row r="39" spans="1:20" x14ac:dyDescent="0.25">
      <c r="A39" s="704"/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6"/>
    </row>
    <row r="40" spans="1:20" ht="30.6" customHeight="1" x14ac:dyDescent="0.25">
      <c r="A40" s="704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705"/>
      <c r="O40" s="705"/>
      <c r="P40" s="706"/>
    </row>
    <row r="41" spans="1:20" x14ac:dyDescent="0.25">
      <c r="A41" s="716" t="s">
        <v>284</v>
      </c>
      <c r="B41" s="717"/>
      <c r="C41" s="717"/>
      <c r="D41" s="717"/>
      <c r="E41" s="717"/>
      <c r="F41" s="718">
        <f>AVERAGE(S37:T37)</f>
        <v>20.226498812955192</v>
      </c>
      <c r="G41" s="718"/>
      <c r="H41" s="718"/>
      <c r="I41" s="719" t="s">
        <v>213</v>
      </c>
      <c r="J41" s="719"/>
      <c r="K41" s="705"/>
      <c r="L41" s="705"/>
      <c r="M41" s="705"/>
      <c r="N41" s="705"/>
      <c r="O41" s="705"/>
      <c r="P41" s="706"/>
    </row>
    <row r="42" spans="1:20" ht="11.45" customHeight="1" x14ac:dyDescent="0.25">
      <c r="A42" s="704"/>
      <c r="B42" s="705"/>
      <c r="C42" s="705"/>
      <c r="D42" s="705"/>
      <c r="E42" s="705"/>
      <c r="F42" s="705"/>
      <c r="G42" s="705"/>
      <c r="H42" s="705"/>
      <c r="I42" s="705"/>
      <c r="J42" s="705"/>
      <c r="K42" s="705"/>
      <c r="L42" s="705"/>
      <c r="M42" s="705"/>
      <c r="N42" s="705"/>
      <c r="O42" s="705"/>
      <c r="P42" s="706"/>
    </row>
    <row r="43" spans="1:20" ht="15.75" thickBot="1" x14ac:dyDescent="0.3">
      <c r="A43" s="707"/>
      <c r="B43" s="708"/>
      <c r="C43" s="708"/>
      <c r="D43" s="708"/>
      <c r="E43" s="708"/>
      <c r="F43" s="708"/>
      <c r="G43" s="708"/>
      <c r="H43" s="708"/>
      <c r="I43" s="708"/>
      <c r="J43" s="708"/>
      <c r="K43" s="708"/>
      <c r="L43" s="708"/>
      <c r="M43" s="708"/>
      <c r="N43" s="708"/>
      <c r="O43" s="708"/>
      <c r="P43" s="709"/>
    </row>
    <row r="44" spans="1:20" ht="8.4499999999999993" customHeight="1" x14ac:dyDescent="0.25">
      <c r="A44" s="705"/>
      <c r="B44" s="705"/>
      <c r="C44" s="705"/>
      <c r="D44" s="705"/>
      <c r="E44" s="705"/>
      <c r="F44" s="705"/>
      <c r="G44" s="705"/>
      <c r="H44" s="705"/>
      <c r="I44" s="705"/>
      <c r="J44" s="705"/>
      <c r="K44" s="705"/>
      <c r="L44" s="705"/>
      <c r="M44" s="705"/>
      <c r="N44" s="705"/>
      <c r="O44" s="705"/>
      <c r="P44" s="705"/>
    </row>
    <row r="45" spans="1:20" ht="2.4500000000000002" customHeight="1" thickBot="1" x14ac:dyDescent="0.3">
      <c r="A45" s="705"/>
      <c r="B45" s="705"/>
      <c r="C45" s="705"/>
      <c r="D45" s="705"/>
      <c r="E45" s="705"/>
      <c r="F45" s="705"/>
      <c r="G45" s="705"/>
      <c r="H45" s="705"/>
      <c r="I45" s="705"/>
      <c r="J45" s="705"/>
      <c r="K45" s="705"/>
      <c r="L45" s="705"/>
      <c r="M45" s="705"/>
      <c r="N45" s="705"/>
      <c r="O45" s="705"/>
      <c r="P45" s="705"/>
    </row>
    <row r="46" spans="1:20" x14ac:dyDescent="0.25">
      <c r="A46" s="710" t="s">
        <v>214</v>
      </c>
      <c r="B46" s="711"/>
      <c r="C46" s="711"/>
      <c r="D46" s="711"/>
      <c r="E46" s="711"/>
      <c r="F46" s="711"/>
      <c r="G46" s="711"/>
      <c r="H46" s="712"/>
      <c r="I46" s="710" t="s">
        <v>132</v>
      </c>
      <c r="J46" s="711"/>
      <c r="K46" s="711"/>
      <c r="L46" s="711"/>
      <c r="M46" s="711"/>
      <c r="N46" s="711"/>
      <c r="O46" s="711"/>
      <c r="P46" s="712"/>
    </row>
    <row r="47" spans="1:20" x14ac:dyDescent="0.25">
      <c r="A47" s="696"/>
      <c r="B47" s="697"/>
      <c r="C47" s="697"/>
      <c r="D47" s="697"/>
      <c r="E47" s="697"/>
      <c r="F47" s="697"/>
      <c r="G47" s="697"/>
      <c r="H47" s="698"/>
      <c r="I47" s="696"/>
      <c r="J47" s="697"/>
      <c r="K47" s="697"/>
      <c r="L47" s="697"/>
      <c r="M47" s="697"/>
      <c r="N47" s="697"/>
      <c r="O47" s="697"/>
      <c r="P47" s="698"/>
    </row>
    <row r="48" spans="1:20" x14ac:dyDescent="0.25">
      <c r="A48" s="696"/>
      <c r="B48" s="697"/>
      <c r="C48" s="697"/>
      <c r="D48" s="697"/>
      <c r="E48" s="697"/>
      <c r="F48" s="697"/>
      <c r="G48" s="697"/>
      <c r="H48" s="698"/>
      <c r="I48" s="696"/>
      <c r="J48" s="697"/>
      <c r="K48" s="697"/>
      <c r="L48" s="697"/>
      <c r="M48" s="697"/>
      <c r="N48" s="697"/>
      <c r="O48" s="697"/>
      <c r="P48" s="698"/>
    </row>
    <row r="49" spans="1:16" x14ac:dyDescent="0.25">
      <c r="A49" s="696"/>
      <c r="B49" s="697"/>
      <c r="C49" s="697"/>
      <c r="D49" s="697"/>
      <c r="E49" s="697"/>
      <c r="F49" s="697"/>
      <c r="G49" s="697"/>
      <c r="H49" s="698"/>
      <c r="I49" s="696"/>
      <c r="J49" s="697"/>
      <c r="K49" s="697"/>
      <c r="L49" s="697"/>
      <c r="M49" s="697"/>
      <c r="N49" s="697"/>
      <c r="O49" s="697"/>
      <c r="P49" s="698"/>
    </row>
    <row r="50" spans="1:16" ht="15.75" thickBot="1" x14ac:dyDescent="0.3">
      <c r="A50" s="699" t="s">
        <v>271</v>
      </c>
      <c r="B50" s="700"/>
      <c r="C50" s="700"/>
      <c r="D50" s="700"/>
      <c r="E50" s="700"/>
      <c r="F50" s="700"/>
      <c r="G50" s="700"/>
      <c r="H50" s="701"/>
      <c r="I50" s="699"/>
      <c r="J50" s="700"/>
      <c r="K50" s="700"/>
      <c r="L50" s="700"/>
      <c r="M50" s="700"/>
      <c r="N50" s="700"/>
      <c r="O50" s="700"/>
      <c r="P50" s="701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33" workbookViewId="0">
      <selection activeCell="N32" sqref="N32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52" t="s">
        <v>215</v>
      </c>
      <c r="C1" s="753"/>
      <c r="D1" s="753"/>
      <c r="E1" s="753"/>
      <c r="F1" s="753"/>
      <c r="G1" s="753"/>
      <c r="H1" s="753"/>
      <c r="I1" s="753"/>
      <c r="J1" s="753"/>
      <c r="K1" s="753"/>
      <c r="L1" s="755" t="s">
        <v>216</v>
      </c>
      <c r="M1" s="756"/>
      <c r="N1" s="757" t="s">
        <v>217</v>
      </c>
      <c r="O1" s="758"/>
    </row>
    <row r="2" spans="1:15" ht="15" customHeight="1" x14ac:dyDescent="0.25">
      <c r="A2" s="759" t="s">
        <v>189</v>
      </c>
      <c r="B2" s="761" t="s">
        <v>264</v>
      </c>
      <c r="C2" s="762"/>
      <c r="D2" s="762"/>
      <c r="E2" s="762"/>
      <c r="F2" s="762"/>
      <c r="G2" s="762"/>
      <c r="H2" s="762"/>
      <c r="I2" s="762"/>
      <c r="J2" s="762"/>
      <c r="K2" s="762"/>
      <c r="L2" s="559" t="s">
        <v>218</v>
      </c>
      <c r="M2" s="861"/>
      <c r="N2" s="862" t="s">
        <v>219</v>
      </c>
      <c r="O2" s="862"/>
    </row>
    <row r="3" spans="1:15" ht="25.15" customHeight="1" x14ac:dyDescent="0.25">
      <c r="A3" s="759"/>
      <c r="B3" s="761"/>
      <c r="C3" s="762"/>
      <c r="D3" s="762"/>
      <c r="E3" s="762"/>
      <c r="F3" s="762"/>
      <c r="G3" s="762"/>
      <c r="H3" s="762"/>
      <c r="I3" s="762"/>
      <c r="J3" s="762"/>
      <c r="K3" s="762"/>
      <c r="L3" s="559" t="s">
        <v>220</v>
      </c>
      <c r="M3" s="861"/>
      <c r="N3" s="862" t="s">
        <v>221</v>
      </c>
      <c r="O3" s="862"/>
    </row>
    <row r="4" spans="1:15" ht="16.899999999999999" customHeight="1" thickBot="1" x14ac:dyDescent="0.3">
      <c r="A4" s="760"/>
      <c r="B4" s="764" t="s">
        <v>222</v>
      </c>
      <c r="C4" s="765"/>
      <c r="D4" s="765"/>
      <c r="E4" s="765"/>
      <c r="F4" s="765"/>
      <c r="G4" s="765"/>
      <c r="H4" s="765"/>
      <c r="I4" s="765"/>
      <c r="J4" s="765"/>
      <c r="K4" s="765"/>
      <c r="L4" s="854" t="s">
        <v>223</v>
      </c>
      <c r="M4" s="855"/>
      <c r="N4" s="856" t="s">
        <v>224</v>
      </c>
      <c r="O4" s="857"/>
    </row>
    <row r="5" spans="1:15" ht="4.9000000000000004" customHeight="1" x14ac:dyDescent="0.25">
      <c r="A5" s="858"/>
      <c r="B5" s="858"/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</row>
    <row r="6" spans="1:15" ht="15.75" x14ac:dyDescent="0.25">
      <c r="A6" s="336" t="s">
        <v>193</v>
      </c>
      <c r="B6" s="749">
        <v>43813</v>
      </c>
      <c r="C6" s="749"/>
      <c r="D6" s="749"/>
      <c r="E6" s="749"/>
      <c r="F6" s="740" t="s">
        <v>194</v>
      </c>
      <c r="G6" s="740"/>
      <c r="H6" s="740"/>
      <c r="I6" s="740"/>
      <c r="J6" s="740"/>
      <c r="K6" s="859" t="str">
        <f>'Teneur en eau 2 P1 '!L6</f>
        <v>Sable Ghris - Puit 4 -1ère couche</v>
      </c>
      <c r="L6" s="859"/>
      <c r="M6" s="859"/>
      <c r="N6" s="859"/>
      <c r="O6" s="860"/>
    </row>
    <row r="7" spans="1:15" ht="8.4499999999999993" customHeight="1" x14ac:dyDescent="0.25">
      <c r="A7" s="720"/>
      <c r="B7" s="720"/>
      <c r="C7" s="720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</row>
    <row r="8" spans="1:15" ht="4.9000000000000004" hidden="1" customHeight="1" x14ac:dyDescent="0.25">
      <c r="A8" s="742"/>
      <c r="B8" s="742"/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</row>
    <row r="9" spans="1:15" x14ac:dyDescent="0.25">
      <c r="A9" s="747" t="s">
        <v>195</v>
      </c>
      <c r="B9" s="743"/>
      <c r="C9" s="743"/>
      <c r="D9" s="743"/>
      <c r="E9" s="743"/>
      <c r="F9" s="743"/>
      <c r="G9" s="743"/>
      <c r="H9" s="743"/>
      <c r="I9" s="853"/>
      <c r="J9" s="853"/>
      <c r="K9" s="853"/>
      <c r="L9" s="742"/>
      <c r="M9" s="742"/>
      <c r="N9" s="742"/>
      <c r="O9" s="742"/>
    </row>
    <row r="10" spans="1:15" ht="2.4500000000000002" customHeight="1" x14ac:dyDescent="0.25">
      <c r="A10" s="705"/>
      <c r="B10" s="705"/>
      <c r="C10" s="705"/>
      <c r="D10" s="705"/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</row>
    <row r="11" spans="1:15" ht="2.4500000000000002" customHeight="1" x14ac:dyDescent="0.25">
      <c r="A11" s="705"/>
      <c r="B11" s="705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340"/>
    </row>
    <row r="12" spans="1:15" ht="17.25" x14ac:dyDescent="0.3">
      <c r="A12" s="439" t="s">
        <v>287</v>
      </c>
      <c r="B12" s="440">
        <v>5</v>
      </c>
      <c r="C12" s="440" t="s">
        <v>197</v>
      </c>
      <c r="D12" s="440">
        <v>8</v>
      </c>
      <c r="E12" s="440">
        <v>10</v>
      </c>
      <c r="F12" s="440" t="s">
        <v>198</v>
      </c>
      <c r="G12" s="440">
        <v>16</v>
      </c>
      <c r="H12" s="440">
        <v>20</v>
      </c>
      <c r="I12" s="440">
        <v>25</v>
      </c>
      <c r="J12" s="440" t="s">
        <v>199</v>
      </c>
      <c r="K12" s="440">
        <v>40</v>
      </c>
      <c r="L12" s="440">
        <v>63</v>
      </c>
      <c r="M12" s="440">
        <v>80</v>
      </c>
      <c r="N12" s="837" t="s">
        <v>288</v>
      </c>
      <c r="O12" s="837"/>
    </row>
    <row r="13" spans="1:15" ht="17.25" x14ac:dyDescent="0.25">
      <c r="A13" s="441" t="s">
        <v>196</v>
      </c>
      <c r="B13" s="440" t="s">
        <v>200</v>
      </c>
      <c r="C13" s="440" t="s">
        <v>201</v>
      </c>
      <c r="D13" s="440" t="s">
        <v>202</v>
      </c>
      <c r="E13" s="440" t="s">
        <v>203</v>
      </c>
      <c r="F13" s="440" t="s">
        <v>204</v>
      </c>
      <c r="G13" s="440">
        <v>2</v>
      </c>
      <c r="H13" s="440">
        <v>3</v>
      </c>
      <c r="I13" s="440">
        <v>5</v>
      </c>
      <c r="J13" s="440">
        <v>8</v>
      </c>
      <c r="K13" s="440">
        <v>12</v>
      </c>
      <c r="L13" s="440">
        <v>30</v>
      </c>
      <c r="M13" s="440">
        <v>50</v>
      </c>
      <c r="N13" s="782" t="s">
        <v>289</v>
      </c>
      <c r="O13" s="782"/>
    </row>
    <row r="14" spans="1:15" ht="13.15" customHeight="1" x14ac:dyDescent="0.25">
      <c r="A14" s="838"/>
      <c r="B14" s="720"/>
      <c r="C14" s="720"/>
      <c r="D14" s="720"/>
      <c r="E14" s="720"/>
      <c r="F14" s="720"/>
      <c r="G14" s="720"/>
      <c r="H14" s="720"/>
      <c r="I14" s="720"/>
      <c r="J14" s="720"/>
      <c r="K14" s="720"/>
      <c r="L14" s="720"/>
      <c r="M14" s="720"/>
      <c r="N14" s="720"/>
      <c r="O14" s="839"/>
    </row>
    <row r="15" spans="1:15" ht="14.45" customHeight="1" x14ac:dyDescent="0.25">
      <c r="A15" s="840" t="s">
        <v>225</v>
      </c>
      <c r="B15" s="842" t="s">
        <v>226</v>
      </c>
      <c r="C15" s="842"/>
      <c r="D15" s="842"/>
      <c r="E15" s="835" t="s">
        <v>176</v>
      </c>
      <c r="F15" s="836"/>
      <c r="G15" s="836"/>
      <c r="H15" s="843" t="s">
        <v>227</v>
      </c>
      <c r="I15" s="843"/>
      <c r="J15" s="843"/>
      <c r="K15" s="843"/>
      <c r="L15" s="844" t="s">
        <v>228</v>
      </c>
      <c r="M15" s="845"/>
      <c r="N15" s="850" t="s">
        <v>229</v>
      </c>
      <c r="O15" s="850"/>
    </row>
    <row r="16" spans="1:15" ht="11.45" customHeight="1" x14ac:dyDescent="0.25">
      <c r="A16" s="841"/>
      <c r="B16" s="817"/>
      <c r="C16" s="817"/>
      <c r="D16" s="817"/>
      <c r="E16" s="835"/>
      <c r="F16" s="836"/>
      <c r="G16" s="836"/>
      <c r="H16" s="843"/>
      <c r="I16" s="843"/>
      <c r="J16" s="843"/>
      <c r="K16" s="843"/>
      <c r="L16" s="846"/>
      <c r="M16" s="847"/>
      <c r="N16" s="850"/>
      <c r="O16" s="850"/>
    </row>
    <row r="17" spans="1:19" x14ac:dyDescent="0.25">
      <c r="A17" s="851" t="s">
        <v>290</v>
      </c>
      <c r="B17" s="825" t="s">
        <v>230</v>
      </c>
      <c r="C17" s="739">
        <v>300</v>
      </c>
      <c r="D17" s="834" t="s">
        <v>231</v>
      </c>
      <c r="E17" s="835" t="s">
        <v>58</v>
      </c>
      <c r="F17" s="836" t="s">
        <v>232</v>
      </c>
      <c r="G17" s="836"/>
      <c r="H17" s="836" t="s">
        <v>233</v>
      </c>
      <c r="I17" s="836"/>
      <c r="J17" s="836" t="s">
        <v>234</v>
      </c>
      <c r="K17" s="836"/>
      <c r="L17" s="846"/>
      <c r="M17" s="847"/>
      <c r="N17" s="852" t="s">
        <v>235</v>
      </c>
      <c r="O17" s="852" t="s">
        <v>236</v>
      </c>
    </row>
    <row r="18" spans="1:19" ht="7.9" customHeight="1" x14ac:dyDescent="0.25">
      <c r="A18" s="851"/>
      <c r="B18" s="825"/>
      <c r="C18" s="739"/>
      <c r="D18" s="834"/>
      <c r="E18" s="835"/>
      <c r="F18" s="836"/>
      <c r="G18" s="836"/>
      <c r="H18" s="836"/>
      <c r="I18" s="836"/>
      <c r="J18" s="836"/>
      <c r="K18" s="836"/>
      <c r="L18" s="848"/>
      <c r="M18" s="849"/>
      <c r="N18" s="852"/>
      <c r="O18" s="852"/>
    </row>
    <row r="19" spans="1:19" ht="14.45" customHeight="1" x14ac:dyDescent="0.25">
      <c r="A19" s="828" t="s">
        <v>291</v>
      </c>
      <c r="B19" s="829"/>
      <c r="C19" s="829"/>
      <c r="D19" s="832" t="s">
        <v>237</v>
      </c>
      <c r="E19" s="442">
        <v>100</v>
      </c>
      <c r="F19" s="782"/>
      <c r="G19" s="782"/>
      <c r="H19" s="597"/>
      <c r="I19" s="597"/>
      <c r="J19" s="779"/>
      <c r="K19" s="779"/>
      <c r="L19" s="597"/>
      <c r="M19" s="597"/>
      <c r="N19" s="342"/>
      <c r="O19" s="342"/>
      <c r="Q19" s="322"/>
      <c r="R19" s="322"/>
      <c r="S19" s="322"/>
    </row>
    <row r="20" spans="1:19" x14ac:dyDescent="0.25">
      <c r="A20" s="830"/>
      <c r="B20" s="831"/>
      <c r="C20" s="831"/>
      <c r="D20" s="833"/>
      <c r="E20" s="442">
        <v>80</v>
      </c>
      <c r="F20" s="782"/>
      <c r="G20" s="782"/>
      <c r="H20" s="597"/>
      <c r="I20" s="597"/>
      <c r="J20" s="779"/>
      <c r="K20" s="779"/>
      <c r="L20" s="597"/>
      <c r="M20" s="597"/>
      <c r="N20" s="342"/>
      <c r="O20" s="342"/>
      <c r="Q20" s="322"/>
      <c r="R20" s="322"/>
      <c r="S20" s="322"/>
    </row>
    <row r="21" spans="1:19" ht="14.45" customHeight="1" x14ac:dyDescent="0.3">
      <c r="A21" s="825" t="s">
        <v>292</v>
      </c>
      <c r="B21" s="822"/>
      <c r="C21" s="822"/>
      <c r="D21" s="826"/>
      <c r="E21" s="442">
        <v>63</v>
      </c>
      <c r="F21" s="782"/>
      <c r="G21" s="782"/>
      <c r="H21" s="597"/>
      <c r="I21" s="597"/>
      <c r="J21" s="779"/>
      <c r="K21" s="779"/>
      <c r="L21" s="597"/>
      <c r="M21" s="597"/>
      <c r="N21" s="342"/>
      <c r="O21" s="342"/>
    </row>
    <row r="22" spans="1:19" ht="15" customHeight="1" x14ac:dyDescent="0.25">
      <c r="A22" s="443" t="s">
        <v>238</v>
      </c>
      <c r="B22" s="827"/>
      <c r="C22" s="827"/>
      <c r="D22" s="444" t="s">
        <v>239</v>
      </c>
      <c r="E22" s="442">
        <v>50</v>
      </c>
      <c r="F22" s="782"/>
      <c r="G22" s="782"/>
      <c r="H22" s="597"/>
      <c r="I22" s="597"/>
      <c r="J22" s="779"/>
      <c r="K22" s="779"/>
      <c r="L22" s="597"/>
      <c r="M22" s="597"/>
      <c r="N22" s="342"/>
      <c r="O22" s="342"/>
    </row>
    <row r="23" spans="1:19" ht="14.45" customHeight="1" x14ac:dyDescent="0.3">
      <c r="A23" s="821" t="s">
        <v>293</v>
      </c>
      <c r="B23" s="822"/>
      <c r="C23" s="822"/>
      <c r="D23" s="823"/>
      <c r="E23" s="441">
        <v>40</v>
      </c>
      <c r="F23" s="782"/>
      <c r="G23" s="782"/>
      <c r="H23" s="597"/>
      <c r="I23" s="597"/>
      <c r="J23" s="779"/>
      <c r="K23" s="779"/>
      <c r="L23" s="603">
        <f>J23</f>
        <v>0</v>
      </c>
      <c r="M23" s="604"/>
      <c r="N23" s="341">
        <f>L23/C17*100</f>
        <v>0</v>
      </c>
      <c r="O23" s="341">
        <f>100-N23</f>
        <v>100</v>
      </c>
    </row>
    <row r="24" spans="1:19" ht="15" customHeight="1" x14ac:dyDescent="0.25">
      <c r="A24" s="445" t="s">
        <v>240</v>
      </c>
      <c r="B24" s="824"/>
      <c r="C24" s="824"/>
      <c r="D24" s="446" t="s">
        <v>239</v>
      </c>
      <c r="E24" s="441">
        <v>31.5</v>
      </c>
      <c r="F24" s="782"/>
      <c r="G24" s="782"/>
      <c r="H24" s="597"/>
      <c r="I24" s="597"/>
      <c r="J24" s="779">
        <v>0</v>
      </c>
      <c r="K24" s="779"/>
      <c r="L24" s="597">
        <f>L23+J24</f>
        <v>0</v>
      </c>
      <c r="M24" s="597"/>
      <c r="N24" s="341">
        <f>L24/C17*100</f>
        <v>0</v>
      </c>
      <c r="O24" s="447">
        <f>100-N24</f>
        <v>100</v>
      </c>
    </row>
    <row r="25" spans="1:19" x14ac:dyDescent="0.25">
      <c r="A25" s="817" t="s">
        <v>294</v>
      </c>
      <c r="B25" s="775" t="s">
        <v>241</v>
      </c>
      <c r="C25" s="725"/>
      <c r="D25" s="820"/>
      <c r="E25" s="441">
        <v>25</v>
      </c>
      <c r="F25" s="782"/>
      <c r="G25" s="782"/>
      <c r="H25" s="597"/>
      <c r="I25" s="597"/>
      <c r="J25" s="779"/>
      <c r="K25" s="779"/>
      <c r="L25" s="597"/>
      <c r="M25" s="597"/>
      <c r="N25" s="341"/>
      <c r="O25" s="447"/>
    </row>
    <row r="26" spans="1:19" ht="17.25" x14ac:dyDescent="0.3">
      <c r="A26" s="818"/>
      <c r="B26" s="448" t="s">
        <v>295</v>
      </c>
      <c r="C26" s="449"/>
      <c r="D26" s="450" t="s">
        <v>242</v>
      </c>
      <c r="E26" s="441">
        <v>20</v>
      </c>
      <c r="F26" s="782"/>
      <c r="G26" s="782"/>
      <c r="H26" s="597"/>
      <c r="I26" s="597"/>
      <c r="J26" s="779"/>
      <c r="K26" s="779"/>
      <c r="L26" s="779">
        <f>L24+J26</f>
        <v>0</v>
      </c>
      <c r="M26" s="597"/>
      <c r="N26" s="341">
        <f>L26/C17*100</f>
        <v>0</v>
      </c>
      <c r="O26" s="447">
        <f>100-N26</f>
        <v>100</v>
      </c>
    </row>
    <row r="27" spans="1:19" x14ac:dyDescent="0.25">
      <c r="A27" s="818"/>
      <c r="B27" s="775" t="s">
        <v>243</v>
      </c>
      <c r="C27" s="725"/>
      <c r="D27" s="820"/>
      <c r="E27" s="441">
        <v>16</v>
      </c>
      <c r="F27" s="782"/>
      <c r="G27" s="782"/>
      <c r="H27" s="597"/>
      <c r="I27" s="597"/>
      <c r="J27" s="779"/>
      <c r="K27" s="779"/>
      <c r="L27" s="597"/>
      <c r="M27" s="597"/>
      <c r="N27" s="341"/>
      <c r="O27" s="447"/>
    </row>
    <row r="28" spans="1:19" x14ac:dyDescent="0.25">
      <c r="A28" s="819"/>
      <c r="B28" s="451" t="s">
        <v>244</v>
      </c>
      <c r="C28" s="451"/>
      <c r="D28" s="452" t="s">
        <v>245</v>
      </c>
      <c r="E28" s="441">
        <v>12.5</v>
      </c>
      <c r="F28" s="782"/>
      <c r="G28" s="782"/>
      <c r="H28" s="597"/>
      <c r="I28" s="597"/>
      <c r="J28" s="779"/>
      <c r="K28" s="779"/>
      <c r="L28" s="597"/>
      <c r="M28" s="597"/>
      <c r="N28" s="341"/>
      <c r="O28" s="447"/>
    </row>
    <row r="29" spans="1:19" x14ac:dyDescent="0.25">
      <c r="A29" s="817" t="s">
        <v>296</v>
      </c>
      <c r="B29" s="775" t="s">
        <v>241</v>
      </c>
      <c r="C29" s="725"/>
      <c r="D29" s="820"/>
      <c r="E29" s="441">
        <v>10</v>
      </c>
      <c r="F29" s="782"/>
      <c r="G29" s="782"/>
      <c r="H29" s="597"/>
      <c r="I29" s="597"/>
      <c r="J29" s="779">
        <v>6.2</v>
      </c>
      <c r="K29" s="779"/>
      <c r="L29" s="597">
        <f>J29+L26</f>
        <v>6.2</v>
      </c>
      <c r="M29" s="597"/>
      <c r="N29" s="456">
        <f>L29/C17*100</f>
        <v>2.0666666666666664</v>
      </c>
      <c r="O29" s="447">
        <f>100-N29</f>
        <v>97.933333333333337</v>
      </c>
    </row>
    <row r="30" spans="1:19" x14ac:dyDescent="0.25">
      <c r="A30" s="818"/>
      <c r="B30" s="453" t="s">
        <v>246</v>
      </c>
      <c r="C30" s="451"/>
      <c r="D30" s="452" t="s">
        <v>242</v>
      </c>
      <c r="E30" s="441">
        <v>8</v>
      </c>
      <c r="F30" s="782"/>
      <c r="G30" s="782"/>
      <c r="H30" s="597"/>
      <c r="I30" s="597"/>
      <c r="J30" s="779"/>
      <c r="K30" s="779"/>
      <c r="L30" s="597"/>
      <c r="M30" s="597"/>
      <c r="N30" s="341"/>
      <c r="O30" s="447"/>
    </row>
    <row r="31" spans="1:19" x14ac:dyDescent="0.25">
      <c r="A31" s="818"/>
      <c r="B31" s="776" t="s">
        <v>243</v>
      </c>
      <c r="C31" s="739"/>
      <c r="D31" s="777"/>
      <c r="E31" s="441">
        <v>6.3</v>
      </c>
      <c r="F31" s="782"/>
      <c r="G31" s="782"/>
      <c r="H31" s="597"/>
      <c r="I31" s="597"/>
      <c r="J31" s="779"/>
      <c r="K31" s="779"/>
      <c r="L31" s="597"/>
      <c r="M31" s="597"/>
      <c r="N31" s="341"/>
      <c r="O31" s="447"/>
    </row>
    <row r="32" spans="1:19" x14ac:dyDescent="0.25">
      <c r="A32" s="819"/>
      <c r="B32" s="453" t="s">
        <v>247</v>
      </c>
      <c r="C32" s="451"/>
      <c r="D32" s="452" t="s">
        <v>242</v>
      </c>
      <c r="E32" s="441">
        <v>5</v>
      </c>
      <c r="F32" s="782"/>
      <c r="G32" s="782"/>
      <c r="H32" s="597"/>
      <c r="I32" s="597"/>
      <c r="J32" s="779">
        <v>2.2999999999999998</v>
      </c>
      <c r="K32" s="779"/>
      <c r="L32" s="597">
        <f>J32+L29</f>
        <v>8.5</v>
      </c>
      <c r="M32" s="597"/>
      <c r="N32" s="456">
        <f>L32/C17*100</f>
        <v>2.833333333333333</v>
      </c>
      <c r="O32" s="447">
        <f>100-N32</f>
        <v>97.166666666666671</v>
      </c>
    </row>
    <row r="33" spans="1:15" x14ac:dyDescent="0.25">
      <c r="A33" s="797" t="s">
        <v>248</v>
      </c>
      <c r="B33" s="816"/>
      <c r="C33" s="816"/>
      <c r="D33" s="798"/>
      <c r="E33" s="441">
        <v>4</v>
      </c>
      <c r="F33" s="782"/>
      <c r="G33" s="782"/>
      <c r="H33" s="597"/>
      <c r="I33" s="597"/>
      <c r="J33" s="779"/>
      <c r="K33" s="779"/>
      <c r="L33" s="597"/>
      <c r="M33" s="597"/>
      <c r="N33" s="341"/>
      <c r="O33" s="341"/>
    </row>
    <row r="34" spans="1:15" ht="13.15" customHeight="1" x14ac:dyDescent="0.3">
      <c r="A34" s="780" t="s">
        <v>297</v>
      </c>
      <c r="B34" s="781"/>
      <c r="C34" s="451"/>
      <c r="D34" s="452" t="s">
        <v>242</v>
      </c>
      <c r="E34" s="441">
        <v>3.15</v>
      </c>
      <c r="F34" s="782"/>
      <c r="G34" s="782"/>
      <c r="H34" s="597"/>
      <c r="I34" s="597"/>
      <c r="J34" s="779"/>
      <c r="K34" s="779"/>
      <c r="L34" s="597"/>
      <c r="M34" s="597"/>
      <c r="N34" s="341"/>
      <c r="O34" s="341"/>
    </row>
    <row r="35" spans="1:15" x14ac:dyDescent="0.25">
      <c r="A35" s="799" t="s">
        <v>249</v>
      </c>
      <c r="B35" s="800"/>
      <c r="C35" s="800"/>
      <c r="D35" s="801"/>
      <c r="E35" s="441">
        <v>2.5</v>
      </c>
      <c r="F35" s="782"/>
      <c r="G35" s="782"/>
      <c r="H35" s="597"/>
      <c r="I35" s="597"/>
      <c r="J35" s="779"/>
      <c r="K35" s="779"/>
      <c r="L35" s="597"/>
      <c r="M35" s="597"/>
      <c r="N35" s="341"/>
      <c r="O35" s="341"/>
    </row>
    <row r="36" spans="1:15" x14ac:dyDescent="0.25">
      <c r="A36" s="802"/>
      <c r="B36" s="803"/>
      <c r="C36" s="803"/>
      <c r="D36" s="804"/>
      <c r="E36" s="441">
        <v>2</v>
      </c>
      <c r="F36" s="782"/>
      <c r="G36" s="782"/>
      <c r="H36" s="597"/>
      <c r="I36" s="597"/>
      <c r="J36" s="779">
        <v>1.2</v>
      </c>
      <c r="K36" s="779"/>
      <c r="L36" s="597">
        <f>J36+L32</f>
        <v>9.6999999999999993</v>
      </c>
      <c r="M36" s="597"/>
      <c r="N36" s="456">
        <f>L36/C17*100</f>
        <v>3.2333333333333334</v>
      </c>
      <c r="O36" s="447">
        <f>100-N36</f>
        <v>96.766666666666666</v>
      </c>
    </row>
    <row r="37" spans="1:15" x14ac:dyDescent="0.25">
      <c r="A37" s="805" t="s">
        <v>250</v>
      </c>
      <c r="B37" s="806"/>
      <c r="C37" s="454"/>
      <c r="D37" s="455" t="s">
        <v>251</v>
      </c>
      <c r="E37" s="441">
        <v>1.6</v>
      </c>
      <c r="F37" s="782"/>
      <c r="G37" s="782"/>
      <c r="H37" s="597"/>
      <c r="I37" s="597"/>
      <c r="J37" s="779"/>
      <c r="K37" s="779"/>
      <c r="L37" s="597"/>
      <c r="M37" s="597"/>
      <c r="N37" s="341"/>
      <c r="O37" s="341"/>
    </row>
    <row r="38" spans="1:15" ht="13.15" customHeight="1" x14ac:dyDescent="0.3">
      <c r="A38" s="807" t="s">
        <v>298</v>
      </c>
      <c r="B38" s="808"/>
      <c r="C38" s="808"/>
      <c r="D38" s="809"/>
      <c r="E38" s="441">
        <v>1.25</v>
      </c>
      <c r="F38" s="782"/>
      <c r="G38" s="782"/>
      <c r="H38" s="597"/>
      <c r="I38" s="597"/>
      <c r="J38" s="779"/>
      <c r="K38" s="779"/>
      <c r="L38" s="597"/>
      <c r="M38" s="597"/>
      <c r="N38" s="341"/>
      <c r="O38" s="447"/>
    </row>
    <row r="39" spans="1:15" ht="13.15" customHeight="1" x14ac:dyDescent="0.25">
      <c r="A39" s="810" t="s">
        <v>299</v>
      </c>
      <c r="B39" s="811"/>
      <c r="C39" s="813"/>
      <c r="D39" s="814" t="s">
        <v>242</v>
      </c>
      <c r="E39" s="441">
        <v>1</v>
      </c>
      <c r="F39" s="782"/>
      <c r="G39" s="782"/>
      <c r="H39" s="597"/>
      <c r="I39" s="597"/>
      <c r="J39" s="779">
        <v>1.1000000000000001</v>
      </c>
      <c r="K39" s="779"/>
      <c r="L39" s="597">
        <f>J39+L36</f>
        <v>10.799999999999999</v>
      </c>
      <c r="M39" s="597"/>
      <c r="N39" s="456">
        <f>L39/C17*100</f>
        <v>3.5999999999999996</v>
      </c>
      <c r="O39" s="447">
        <f>100-N39</f>
        <v>96.4</v>
      </c>
    </row>
    <row r="40" spans="1:15" ht="15" customHeight="1" x14ac:dyDescent="0.25">
      <c r="A40" s="795"/>
      <c r="B40" s="812"/>
      <c r="C40" s="697"/>
      <c r="D40" s="815"/>
      <c r="E40" s="457">
        <v>0.8</v>
      </c>
      <c r="F40" s="782">
        <v>800</v>
      </c>
      <c r="G40" s="782"/>
      <c r="H40" s="597"/>
      <c r="I40" s="597"/>
      <c r="J40" s="779"/>
      <c r="K40" s="779"/>
      <c r="L40" s="597"/>
      <c r="M40" s="597"/>
      <c r="N40" s="341"/>
      <c r="O40" s="447"/>
    </row>
    <row r="41" spans="1:15" ht="15.6" customHeight="1" x14ac:dyDescent="0.25">
      <c r="A41" s="799" t="s">
        <v>300</v>
      </c>
      <c r="B41" s="800"/>
      <c r="C41" s="800"/>
      <c r="D41" s="801"/>
      <c r="E41" s="458">
        <v>0.63</v>
      </c>
      <c r="F41" s="782">
        <v>630</v>
      </c>
      <c r="G41" s="782"/>
      <c r="H41" s="597"/>
      <c r="I41" s="597"/>
      <c r="J41" s="779"/>
      <c r="K41" s="779"/>
      <c r="L41" s="597"/>
      <c r="M41" s="597"/>
      <c r="N41" s="341"/>
      <c r="O41" s="447"/>
    </row>
    <row r="42" spans="1:15" x14ac:dyDescent="0.25">
      <c r="A42" s="802"/>
      <c r="B42" s="803"/>
      <c r="C42" s="803"/>
      <c r="D42" s="804"/>
      <c r="E42" s="458">
        <v>0.5</v>
      </c>
      <c r="F42" s="782">
        <v>500</v>
      </c>
      <c r="G42" s="782"/>
      <c r="H42" s="597"/>
      <c r="I42" s="597"/>
      <c r="J42" s="779"/>
      <c r="K42" s="779"/>
      <c r="L42" s="597"/>
      <c r="M42" s="597"/>
      <c r="N42" s="341"/>
      <c r="O42" s="447"/>
    </row>
    <row r="43" spans="1:15" ht="14.45" customHeight="1" x14ac:dyDescent="0.25">
      <c r="A43" s="789" t="s">
        <v>301</v>
      </c>
      <c r="B43" s="790"/>
      <c r="C43" s="793"/>
      <c r="D43" s="794" t="s">
        <v>252</v>
      </c>
      <c r="E43" s="458">
        <v>0.4</v>
      </c>
      <c r="F43" s="782">
        <v>400</v>
      </c>
      <c r="G43" s="782"/>
      <c r="H43" s="597"/>
      <c r="I43" s="597"/>
      <c r="J43" s="779">
        <v>45.4</v>
      </c>
      <c r="K43" s="779"/>
      <c r="L43" s="597">
        <f>J43+L39</f>
        <v>56.199999999999996</v>
      </c>
      <c r="M43" s="597"/>
      <c r="N43" s="456">
        <f>L43/C17*100</f>
        <v>18.733333333333331</v>
      </c>
      <c r="O43" s="447">
        <f>100-N43</f>
        <v>81.266666666666666</v>
      </c>
    </row>
    <row r="44" spans="1:15" x14ac:dyDescent="0.25">
      <c r="A44" s="791"/>
      <c r="B44" s="792"/>
      <c r="C44" s="793"/>
      <c r="D44" s="794"/>
      <c r="E44" s="458">
        <v>0.315</v>
      </c>
      <c r="F44" s="782">
        <v>315</v>
      </c>
      <c r="G44" s="782"/>
      <c r="H44" s="597"/>
      <c r="I44" s="597"/>
      <c r="J44" s="779"/>
      <c r="K44" s="779"/>
      <c r="L44" s="597"/>
      <c r="M44" s="597"/>
      <c r="N44" s="341"/>
      <c r="O44" s="447"/>
    </row>
    <row r="45" spans="1:15" ht="15" customHeight="1" x14ac:dyDescent="0.25">
      <c r="A45" s="787" t="s">
        <v>253</v>
      </c>
      <c r="B45" s="788"/>
      <c r="C45" s="459" t="s">
        <v>254</v>
      </c>
      <c r="D45" s="460"/>
      <c r="E45" s="458">
        <v>0.25</v>
      </c>
      <c r="F45" s="782">
        <v>250</v>
      </c>
      <c r="G45" s="782"/>
      <c r="H45" s="597"/>
      <c r="I45" s="597"/>
      <c r="J45" s="779"/>
      <c r="K45" s="779"/>
      <c r="L45" s="597"/>
      <c r="M45" s="597"/>
      <c r="N45" s="341"/>
      <c r="O45" s="447"/>
    </row>
    <row r="46" spans="1:15" ht="13.15" customHeight="1" x14ac:dyDescent="0.25">
      <c r="A46" s="789"/>
      <c r="B46" s="790"/>
      <c r="C46" s="795" t="s">
        <v>302</v>
      </c>
      <c r="D46" s="796"/>
      <c r="E46" s="458">
        <v>0.2</v>
      </c>
      <c r="F46" s="782">
        <v>200</v>
      </c>
      <c r="G46" s="782"/>
      <c r="H46" s="597"/>
      <c r="I46" s="597"/>
      <c r="J46" s="779">
        <v>137.69999999999999</v>
      </c>
      <c r="K46" s="779"/>
      <c r="L46" s="597">
        <f>J46+L43</f>
        <v>193.89999999999998</v>
      </c>
      <c r="M46" s="597"/>
      <c r="N46" s="456">
        <f>L46/C17*100</f>
        <v>64.633333333333326</v>
      </c>
      <c r="O46" s="447">
        <f>100-N46</f>
        <v>35.366666666666674</v>
      </c>
    </row>
    <row r="47" spans="1:15" x14ac:dyDescent="0.25">
      <c r="A47" s="789"/>
      <c r="B47" s="790"/>
      <c r="C47" s="797" t="s">
        <v>255</v>
      </c>
      <c r="D47" s="798"/>
      <c r="E47" s="458">
        <v>0.16</v>
      </c>
      <c r="F47" s="782">
        <v>160</v>
      </c>
      <c r="G47" s="782"/>
      <c r="H47" s="597"/>
      <c r="I47" s="597"/>
      <c r="J47" s="779"/>
      <c r="K47" s="779"/>
      <c r="L47" s="597"/>
      <c r="M47" s="597"/>
      <c r="N47" s="341"/>
      <c r="O47" s="447"/>
    </row>
    <row r="48" spans="1:15" ht="13.9" customHeight="1" x14ac:dyDescent="0.3">
      <c r="A48" s="791"/>
      <c r="B48" s="792"/>
      <c r="C48" s="778" t="s">
        <v>303</v>
      </c>
      <c r="D48" s="768"/>
      <c r="E48" s="458">
        <v>0.125</v>
      </c>
      <c r="F48" s="782">
        <v>125</v>
      </c>
      <c r="G48" s="782"/>
      <c r="H48" s="597"/>
      <c r="I48" s="597"/>
      <c r="J48" s="779"/>
      <c r="K48" s="779"/>
      <c r="L48" s="597"/>
      <c r="M48" s="597"/>
      <c r="N48" s="341"/>
      <c r="O48" s="447"/>
    </row>
    <row r="49" spans="1:15" ht="12.6" customHeight="1" x14ac:dyDescent="0.25">
      <c r="A49" s="784" t="s">
        <v>256</v>
      </c>
      <c r="B49" s="785"/>
      <c r="C49" s="785"/>
      <c r="D49" s="786"/>
      <c r="E49" s="457">
        <v>0.1</v>
      </c>
      <c r="F49" s="782">
        <v>100</v>
      </c>
      <c r="G49" s="782"/>
      <c r="H49" s="597"/>
      <c r="I49" s="597"/>
      <c r="J49" s="779">
        <v>67.8</v>
      </c>
      <c r="K49" s="779"/>
      <c r="L49" s="597">
        <f>J49+L46</f>
        <v>261.7</v>
      </c>
      <c r="M49" s="597"/>
      <c r="N49" s="341">
        <f>L49/C17*100</f>
        <v>87.233333333333334</v>
      </c>
      <c r="O49" s="447">
        <f>100-N49</f>
        <v>12.766666666666666</v>
      </c>
    </row>
    <row r="50" spans="1:15" ht="12.6" customHeight="1" x14ac:dyDescent="0.25">
      <c r="A50" s="780" t="s">
        <v>257</v>
      </c>
      <c r="B50" s="781"/>
      <c r="C50" s="346"/>
      <c r="D50" s="450" t="s">
        <v>258</v>
      </c>
      <c r="E50" s="461">
        <v>0.08</v>
      </c>
      <c r="F50" s="782">
        <v>80</v>
      </c>
      <c r="G50" s="782"/>
      <c r="H50" s="597"/>
      <c r="I50" s="597"/>
      <c r="J50" s="779">
        <v>5.9</v>
      </c>
      <c r="K50" s="779"/>
      <c r="L50" s="603">
        <f>J50+L49</f>
        <v>267.59999999999997</v>
      </c>
      <c r="M50" s="604"/>
      <c r="N50" s="341">
        <f>L50/C17*100</f>
        <v>89.199999999999989</v>
      </c>
      <c r="O50" s="447">
        <f>100-N50</f>
        <v>10.800000000000011</v>
      </c>
    </row>
    <row r="51" spans="1:15" ht="34.9" customHeight="1" x14ac:dyDescent="0.25">
      <c r="A51" s="783" t="s">
        <v>259</v>
      </c>
      <c r="B51" s="783"/>
      <c r="C51" s="783"/>
      <c r="D51" s="783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</row>
    <row r="52" spans="1:15" ht="9.6" customHeight="1" x14ac:dyDescent="0.25">
      <c r="A52" s="720"/>
      <c r="B52" s="720"/>
      <c r="C52" s="720"/>
      <c r="D52" s="720"/>
      <c r="E52" s="720"/>
      <c r="F52" s="720"/>
      <c r="G52" s="720"/>
      <c r="H52" s="720"/>
      <c r="I52" s="720"/>
      <c r="J52" s="720"/>
      <c r="K52" s="720"/>
      <c r="L52" s="720"/>
      <c r="M52" s="720"/>
      <c r="N52" s="720"/>
      <c r="O52" s="720"/>
    </row>
    <row r="53" spans="1:15" ht="15" customHeight="1" x14ac:dyDescent="0.25">
      <c r="A53" s="769" t="s">
        <v>166</v>
      </c>
      <c r="B53" s="770"/>
      <c r="C53" s="770"/>
      <c r="D53" s="770"/>
      <c r="E53" s="770"/>
      <c r="F53" s="770"/>
      <c r="G53" s="775" t="s">
        <v>214</v>
      </c>
      <c r="H53" s="725"/>
      <c r="I53" s="725"/>
      <c r="J53" s="725"/>
      <c r="K53" s="725"/>
      <c r="L53" s="462"/>
      <c r="M53" s="462"/>
      <c r="N53" s="462"/>
      <c r="O53" s="463"/>
    </row>
    <row r="54" spans="1:15" ht="7.9" customHeight="1" x14ac:dyDescent="0.25">
      <c r="A54" s="771"/>
      <c r="B54" s="772"/>
      <c r="C54" s="772"/>
      <c r="D54" s="772"/>
      <c r="E54" s="772"/>
      <c r="F54" s="772"/>
      <c r="G54" s="466"/>
      <c r="H54" s="464"/>
      <c r="I54" s="739"/>
      <c r="J54" s="739"/>
      <c r="K54" s="739"/>
      <c r="L54" s="739"/>
      <c r="M54" s="739"/>
      <c r="N54" s="464"/>
      <c r="O54" s="465"/>
    </row>
    <row r="55" spans="1:15" ht="10.9" customHeight="1" x14ac:dyDescent="0.25">
      <c r="A55" s="771"/>
      <c r="B55" s="772"/>
      <c r="C55" s="772"/>
      <c r="D55" s="772"/>
      <c r="E55" s="772"/>
      <c r="F55" s="772"/>
      <c r="G55" s="776" t="s">
        <v>260</v>
      </c>
      <c r="H55" s="739"/>
      <c r="I55" s="739"/>
      <c r="J55" s="739"/>
      <c r="K55" s="739"/>
      <c r="L55" s="739"/>
      <c r="M55" s="739"/>
      <c r="N55" s="464"/>
      <c r="O55" s="465"/>
    </row>
    <row r="56" spans="1:15" ht="2.4500000000000002" customHeight="1" x14ac:dyDescent="0.25">
      <c r="A56" s="771"/>
      <c r="B56" s="772"/>
      <c r="C56" s="772"/>
      <c r="D56" s="772"/>
      <c r="E56" s="772"/>
      <c r="F56" s="772"/>
      <c r="G56" s="776"/>
      <c r="H56" s="739"/>
      <c r="I56" s="739"/>
      <c r="J56" s="739"/>
      <c r="K56" s="739"/>
      <c r="L56" s="739"/>
      <c r="M56" s="739"/>
      <c r="N56" s="739"/>
      <c r="O56" s="777"/>
    </row>
    <row r="57" spans="1:15" ht="24.6" customHeight="1" x14ac:dyDescent="0.25">
      <c r="A57" s="773"/>
      <c r="B57" s="774"/>
      <c r="C57" s="774"/>
      <c r="D57" s="774"/>
      <c r="E57" s="774"/>
      <c r="F57" s="774"/>
      <c r="G57" s="778" t="s">
        <v>261</v>
      </c>
      <c r="H57" s="767"/>
      <c r="I57" s="767"/>
      <c r="J57" s="767"/>
      <c r="K57" s="767"/>
      <c r="L57" s="767"/>
      <c r="M57" s="767"/>
      <c r="N57" s="767"/>
      <c r="O57" s="768"/>
    </row>
  </sheetData>
  <mergeCells count="211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64" t="s">
        <v>262</v>
      </c>
      <c r="C1" s="865"/>
      <c r="D1" s="865"/>
      <c r="E1" s="865"/>
      <c r="F1" s="865"/>
      <c r="G1" s="865"/>
      <c r="H1" s="865"/>
      <c r="I1" s="865"/>
      <c r="J1" s="865"/>
      <c r="K1" s="865"/>
      <c r="L1" s="755" t="s">
        <v>216</v>
      </c>
      <c r="M1" s="756"/>
      <c r="N1" s="757" t="s">
        <v>217</v>
      </c>
      <c r="O1" s="758"/>
    </row>
    <row r="2" spans="1:15" x14ac:dyDescent="0.25">
      <c r="A2" s="759" t="s">
        <v>189</v>
      </c>
      <c r="B2" s="761" t="s">
        <v>304</v>
      </c>
      <c r="C2" s="762"/>
      <c r="D2" s="762"/>
      <c r="E2" s="762"/>
      <c r="F2" s="762"/>
      <c r="G2" s="762"/>
      <c r="H2" s="762"/>
      <c r="I2" s="762"/>
      <c r="J2" s="762"/>
      <c r="K2" s="762"/>
      <c r="L2" s="559" t="s">
        <v>218</v>
      </c>
      <c r="M2" s="861"/>
      <c r="N2" s="862" t="s">
        <v>219</v>
      </c>
      <c r="O2" s="862"/>
    </row>
    <row r="3" spans="1:15" x14ac:dyDescent="0.25">
      <c r="A3" s="759"/>
      <c r="B3" s="761"/>
      <c r="C3" s="762"/>
      <c r="D3" s="762"/>
      <c r="E3" s="762"/>
      <c r="F3" s="762"/>
      <c r="G3" s="762"/>
      <c r="H3" s="762"/>
      <c r="I3" s="762"/>
      <c r="J3" s="762"/>
      <c r="K3" s="762"/>
      <c r="L3" s="559" t="s">
        <v>220</v>
      </c>
      <c r="M3" s="861"/>
      <c r="N3" s="862" t="s">
        <v>221</v>
      </c>
      <c r="O3" s="862"/>
    </row>
    <row r="4" spans="1:15" ht="15.75" thickBot="1" x14ac:dyDescent="0.3">
      <c r="A4" s="760"/>
      <c r="B4" s="866" t="s">
        <v>263</v>
      </c>
      <c r="C4" s="867"/>
      <c r="D4" s="867"/>
      <c r="E4" s="867"/>
      <c r="F4" s="867"/>
      <c r="G4" s="867"/>
      <c r="H4" s="867"/>
      <c r="I4" s="867"/>
      <c r="J4" s="867"/>
      <c r="K4" s="867"/>
      <c r="L4" s="854" t="s">
        <v>223</v>
      </c>
      <c r="M4" s="855"/>
      <c r="N4" s="856" t="s">
        <v>224</v>
      </c>
      <c r="O4" s="857"/>
    </row>
    <row r="5" spans="1:15" x14ac:dyDescent="0.25">
      <c r="A5" s="858"/>
      <c r="B5" s="858"/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</row>
    <row r="6" spans="1:15" x14ac:dyDescent="0.25">
      <c r="A6" s="336" t="s">
        <v>193</v>
      </c>
      <c r="B6" s="749">
        <f>'Granulo P1'!B6:E6</f>
        <v>43813</v>
      </c>
      <c r="C6" s="740"/>
      <c r="D6" s="740"/>
      <c r="E6" s="740"/>
      <c r="F6" s="740"/>
      <c r="G6" s="863" t="s">
        <v>194</v>
      </c>
      <c r="H6" s="863"/>
      <c r="I6" s="863"/>
      <c r="J6" s="863"/>
      <c r="K6" s="863"/>
      <c r="L6" s="740" t="str">
        <f>'Granulo P1'!K6</f>
        <v>Sable Ghris - Puit 4 -1ère couche</v>
      </c>
      <c r="M6" s="740"/>
      <c r="N6" s="740"/>
      <c r="O6" s="604"/>
    </row>
    <row r="7" spans="1:15" ht="13.9" customHeight="1" x14ac:dyDescent="0.25">
      <c r="A7" s="720"/>
      <c r="B7" s="720"/>
      <c r="C7" s="720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</row>
    <row r="8" spans="1:15" ht="4.1500000000000004" hidden="1" customHeight="1" x14ac:dyDescent="0.25">
      <c r="A8" s="742"/>
      <c r="B8" s="742"/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</row>
    <row r="9" spans="1:15" x14ac:dyDescent="0.25">
      <c r="A9" s="747" t="s">
        <v>195</v>
      </c>
      <c r="B9" s="743"/>
      <c r="C9" s="743"/>
      <c r="D9" s="743"/>
      <c r="E9" s="743"/>
      <c r="F9" s="743"/>
      <c r="G9" s="743"/>
      <c r="H9" s="743"/>
      <c r="I9" s="742"/>
      <c r="J9" s="742"/>
      <c r="K9" s="742"/>
      <c r="L9" s="742"/>
      <c r="M9" s="742"/>
      <c r="N9" s="742"/>
      <c r="O9" s="742"/>
    </row>
    <row r="10" spans="1:15" ht="7.15" customHeight="1" x14ac:dyDescent="0.25">
      <c r="A10" s="705"/>
      <c r="B10" s="705"/>
      <c r="C10" s="705"/>
      <c r="D10" s="705"/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</row>
    <row r="11" spans="1:15" ht="3.6" hidden="1" customHeight="1" x14ac:dyDescent="0.25">
      <c r="A11" s="705"/>
      <c r="B11" s="705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340"/>
    </row>
    <row r="12" spans="1:15" ht="17.25" x14ac:dyDescent="0.3">
      <c r="A12" s="439" t="s">
        <v>287</v>
      </c>
      <c r="B12" s="440">
        <v>5</v>
      </c>
      <c r="C12" s="440" t="s">
        <v>197</v>
      </c>
      <c r="D12" s="440">
        <v>8</v>
      </c>
      <c r="E12" s="440">
        <v>10</v>
      </c>
      <c r="F12" s="440" t="s">
        <v>198</v>
      </c>
      <c r="G12" s="440">
        <v>16</v>
      </c>
      <c r="H12" s="440">
        <v>20</v>
      </c>
      <c r="I12" s="440">
        <v>25</v>
      </c>
      <c r="J12" s="440" t="s">
        <v>199</v>
      </c>
      <c r="K12" s="440">
        <v>40</v>
      </c>
      <c r="L12" s="440">
        <v>63</v>
      </c>
      <c r="M12" s="440">
        <v>80</v>
      </c>
      <c r="N12" s="837" t="s">
        <v>288</v>
      </c>
      <c r="O12" s="837"/>
    </row>
    <row r="13" spans="1:15" ht="17.25" x14ac:dyDescent="0.25">
      <c r="A13" s="441" t="s">
        <v>196</v>
      </c>
      <c r="B13" s="440" t="s">
        <v>200</v>
      </c>
      <c r="C13" s="440" t="s">
        <v>201</v>
      </c>
      <c r="D13" s="440" t="s">
        <v>202</v>
      </c>
      <c r="E13" s="440" t="s">
        <v>203</v>
      </c>
      <c r="F13" s="440" t="s">
        <v>204</v>
      </c>
      <c r="G13" s="440">
        <v>2</v>
      </c>
      <c r="H13" s="440">
        <v>3</v>
      </c>
      <c r="I13" s="440">
        <v>5</v>
      </c>
      <c r="J13" s="440">
        <v>8</v>
      </c>
      <c r="K13" s="440">
        <v>12</v>
      </c>
      <c r="L13" s="440">
        <v>30</v>
      </c>
      <c r="M13" s="440">
        <v>50</v>
      </c>
      <c r="N13" s="782" t="s">
        <v>289</v>
      </c>
      <c r="O13" s="782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9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7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7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7">
        <f>'Granulo P1'!O29</f>
        <v>97.933333333333337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7">
        <f>'Granulo P1'!O32</f>
        <v>97.166666666666671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7">
        <f>'Granulo P1'!O36</f>
        <v>96.766666666666666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7">
        <f>'Granulo P1'!O39</f>
        <v>96.4</v>
      </c>
      <c r="W25" s="447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7">
        <f>'Granulo P1'!O43</f>
        <v>81.266666666666666</v>
      </c>
      <c r="W26" s="447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7">
        <f>'Granulo P1'!O46</f>
        <v>35.366666666666674</v>
      </c>
      <c r="W27" s="447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7">
        <f>'Granulo P1'!O49</f>
        <v>12.766666666666666</v>
      </c>
      <c r="W28" s="447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7">
        <f>'Granulo P1'!O50</f>
        <v>10.800000000000011</v>
      </c>
      <c r="W29" s="447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C14" zoomScale="142" zoomScaleNormal="142" workbookViewId="0">
      <selection activeCell="I4" sqref="I4:K4"/>
    </sheetView>
  </sheetViews>
  <sheetFormatPr baseColWidth="10" defaultRowHeight="15" x14ac:dyDescent="0.25"/>
  <cols>
    <col min="2" max="2" width="12.28515625" customWidth="1"/>
    <col min="3" max="3" width="12" customWidth="1"/>
    <col min="4" max="5" width="12.28515625" customWidth="1"/>
    <col min="7" max="7" width="12.28515625" customWidth="1"/>
    <col min="8" max="9" width="12.85546875" customWidth="1"/>
    <col min="10" max="10" width="12.28515625" customWidth="1"/>
    <col min="11" max="11" width="11.7109375" customWidth="1"/>
  </cols>
  <sheetData>
    <row r="1" spans="1:14" ht="18.75" x14ac:dyDescent="0.3">
      <c r="A1" s="882"/>
      <c r="B1" s="883"/>
      <c r="C1" s="884"/>
      <c r="D1" s="885"/>
      <c r="E1" s="885"/>
      <c r="F1" s="885"/>
      <c r="G1" s="885"/>
      <c r="H1" s="886"/>
      <c r="I1" s="893" t="s">
        <v>321</v>
      </c>
      <c r="J1" s="893"/>
      <c r="K1" s="481" t="s">
        <v>322</v>
      </c>
    </row>
    <row r="2" spans="1:14" ht="15.75" x14ac:dyDescent="0.25">
      <c r="A2" s="894" t="s">
        <v>189</v>
      </c>
      <c r="B2" s="895"/>
      <c r="C2" s="887"/>
      <c r="D2" s="888"/>
      <c r="E2" s="888"/>
      <c r="F2" s="888"/>
      <c r="G2" s="888"/>
      <c r="H2" s="889"/>
      <c r="I2" s="897" t="s">
        <v>323</v>
      </c>
      <c r="J2" s="897"/>
      <c r="K2" s="482">
        <v>43801</v>
      </c>
    </row>
    <row r="3" spans="1:14" ht="15.75" x14ac:dyDescent="0.25">
      <c r="A3" s="894"/>
      <c r="B3" s="895"/>
      <c r="C3" s="887"/>
      <c r="D3" s="888"/>
      <c r="E3" s="888"/>
      <c r="F3" s="888"/>
      <c r="G3" s="888"/>
      <c r="H3" s="889"/>
      <c r="I3" s="897" t="s">
        <v>324</v>
      </c>
      <c r="J3" s="897"/>
      <c r="K3" s="483" t="s">
        <v>325</v>
      </c>
    </row>
    <row r="4" spans="1:14" ht="15.75" thickBot="1" x14ac:dyDescent="0.3">
      <c r="A4" s="894"/>
      <c r="B4" s="895"/>
      <c r="C4" s="890"/>
      <c r="D4" s="891"/>
      <c r="E4" s="891"/>
      <c r="F4" s="891"/>
      <c r="G4" s="891"/>
      <c r="H4" s="892"/>
      <c r="I4" s="898"/>
      <c r="J4" s="898"/>
      <c r="K4" s="862"/>
    </row>
    <row r="5" spans="1:14" ht="15.75" thickBot="1" x14ac:dyDescent="0.3">
      <c r="A5" s="866"/>
      <c r="B5" s="896"/>
      <c r="C5" s="899" t="s">
        <v>350</v>
      </c>
      <c r="D5" s="900"/>
      <c r="E5" s="900"/>
      <c r="F5" s="900"/>
      <c r="G5" s="900"/>
      <c r="H5" s="901"/>
      <c r="I5" s="902" t="s">
        <v>326</v>
      </c>
      <c r="J5" s="902"/>
      <c r="K5" s="903"/>
    </row>
    <row r="6" spans="1:14" ht="15.75" thickBot="1" x14ac:dyDescent="0.3">
      <c r="A6" s="484"/>
      <c r="B6" s="485"/>
      <c r="C6" s="904" t="s">
        <v>327</v>
      </c>
      <c r="D6" s="905"/>
      <c r="E6" s="905"/>
      <c r="F6" s="905"/>
      <c r="G6" s="905"/>
      <c r="H6" s="906"/>
      <c r="I6" s="902"/>
      <c r="J6" s="902"/>
      <c r="K6" s="903"/>
    </row>
    <row r="7" spans="1:14" ht="15.75" thickBot="1" x14ac:dyDescent="0.3">
      <c r="A7" s="486" t="s">
        <v>328</v>
      </c>
      <c r="B7" s="487" t="s">
        <v>329</v>
      </c>
      <c r="C7" s="907" t="s">
        <v>330</v>
      </c>
      <c r="D7" s="908"/>
      <c r="E7" s="908"/>
      <c r="F7" s="908"/>
      <c r="G7" s="908"/>
      <c r="H7" s="909"/>
      <c r="I7" s="902"/>
      <c r="J7" s="902"/>
      <c r="K7" s="903"/>
    </row>
    <row r="8" spans="1:14" x14ac:dyDescent="0.25">
      <c r="A8" s="910" t="s">
        <v>331</v>
      </c>
      <c r="B8" s="911"/>
      <c r="C8" s="914" t="s">
        <v>332</v>
      </c>
      <c r="D8" s="915"/>
      <c r="E8" s="915"/>
      <c r="F8" s="915"/>
      <c r="G8" s="915"/>
      <c r="H8" s="916"/>
      <c r="I8" s="917" t="s">
        <v>333</v>
      </c>
      <c r="J8" s="918"/>
      <c r="K8" s="919"/>
    </row>
    <row r="9" spans="1:14" x14ac:dyDescent="0.25">
      <c r="A9" s="912"/>
      <c r="B9" s="913"/>
      <c r="C9" s="488">
        <v>16</v>
      </c>
      <c r="D9" s="489">
        <v>20</v>
      </c>
      <c r="E9" s="489">
        <v>24</v>
      </c>
      <c r="F9" s="489">
        <v>28</v>
      </c>
      <c r="G9" s="489">
        <v>32</v>
      </c>
      <c r="H9" s="490">
        <v>35</v>
      </c>
      <c r="I9" s="920"/>
      <c r="J9" s="921"/>
      <c r="K9" s="922"/>
    </row>
    <row r="10" spans="1:14" x14ac:dyDescent="0.25">
      <c r="A10" s="876" t="s">
        <v>334</v>
      </c>
      <c r="B10" s="877"/>
      <c r="C10" s="488">
        <v>528</v>
      </c>
      <c r="D10" s="489" t="s">
        <v>345</v>
      </c>
      <c r="E10" s="489" t="s">
        <v>346</v>
      </c>
      <c r="F10" s="489" t="s">
        <v>347</v>
      </c>
      <c r="G10" s="489" t="s">
        <v>348</v>
      </c>
      <c r="H10" s="491"/>
      <c r="I10" s="492">
        <v>402</v>
      </c>
      <c r="J10" s="489" t="s">
        <v>268</v>
      </c>
      <c r="K10" s="493" t="s">
        <v>234</v>
      </c>
    </row>
    <row r="11" spans="1:14" x14ac:dyDescent="0.25">
      <c r="A11" s="876" t="s">
        <v>335</v>
      </c>
      <c r="B11" s="877"/>
      <c r="C11" s="494">
        <v>24.02</v>
      </c>
      <c r="D11" s="495">
        <v>29.2</v>
      </c>
      <c r="E11" s="494">
        <v>28.98</v>
      </c>
      <c r="F11" s="495">
        <v>27.33</v>
      </c>
      <c r="G11" s="495">
        <v>25.18</v>
      </c>
      <c r="H11" s="496"/>
      <c r="I11" s="497">
        <v>15.53</v>
      </c>
      <c r="J11" s="495">
        <v>15.43</v>
      </c>
      <c r="K11" s="498">
        <v>15.07</v>
      </c>
    </row>
    <row r="12" spans="1:14" x14ac:dyDescent="0.25">
      <c r="A12" s="876" t="s">
        <v>336</v>
      </c>
      <c r="B12" s="877"/>
      <c r="C12" s="494">
        <v>21.49</v>
      </c>
      <c r="D12" s="495">
        <v>26.02</v>
      </c>
      <c r="E12" s="494">
        <v>25.78</v>
      </c>
      <c r="F12" s="495">
        <v>24.55</v>
      </c>
      <c r="G12" s="495">
        <v>22.73</v>
      </c>
      <c r="H12" s="496"/>
      <c r="I12" s="497">
        <v>14.84</v>
      </c>
      <c r="J12" s="495">
        <v>14.77</v>
      </c>
      <c r="K12" s="498">
        <v>14.58</v>
      </c>
    </row>
    <row r="13" spans="1:14" x14ac:dyDescent="0.25">
      <c r="A13" s="876" t="s">
        <v>337</v>
      </c>
      <c r="B13" s="877"/>
      <c r="C13" s="494">
        <v>7.87</v>
      </c>
      <c r="D13" s="495">
        <v>8.4499999999999993</v>
      </c>
      <c r="E13" s="494">
        <v>7.6</v>
      </c>
      <c r="F13" s="495">
        <v>8.27</v>
      </c>
      <c r="G13" s="495">
        <v>7.96</v>
      </c>
      <c r="H13" s="496"/>
      <c r="I13" s="497">
        <v>8.02</v>
      </c>
      <c r="J13" s="495">
        <v>8.01</v>
      </c>
      <c r="K13" s="498">
        <v>6.99</v>
      </c>
    </row>
    <row r="14" spans="1:14" x14ac:dyDescent="0.25">
      <c r="A14" s="876" t="s">
        <v>338</v>
      </c>
      <c r="B14" s="877"/>
      <c r="C14" s="494">
        <f t="shared" ref="C14:G15" si="0">C11-C12</f>
        <v>2.5300000000000011</v>
      </c>
      <c r="D14" s="495">
        <f t="shared" si="0"/>
        <v>3.1799999999999997</v>
      </c>
      <c r="E14" s="495">
        <f t="shared" si="0"/>
        <v>3.1999999999999993</v>
      </c>
      <c r="F14" s="495">
        <f>F11-F12</f>
        <v>2.7799999999999976</v>
      </c>
      <c r="G14" s="495">
        <f t="shared" si="0"/>
        <v>2.4499999999999993</v>
      </c>
      <c r="H14" s="491"/>
      <c r="I14" s="497">
        <f t="shared" ref="I14:K15" si="1">I11-I12</f>
        <v>0.6899999999999995</v>
      </c>
      <c r="J14" s="495">
        <f t="shared" si="1"/>
        <v>0.66000000000000014</v>
      </c>
      <c r="K14" s="498">
        <f t="shared" si="1"/>
        <v>0.49000000000000021</v>
      </c>
    </row>
    <row r="15" spans="1:14" x14ac:dyDescent="0.25">
      <c r="A15" s="876" t="s">
        <v>339</v>
      </c>
      <c r="B15" s="877"/>
      <c r="C15" s="494">
        <f t="shared" si="0"/>
        <v>13.619999999999997</v>
      </c>
      <c r="D15" s="495">
        <f t="shared" si="0"/>
        <v>17.57</v>
      </c>
      <c r="E15" s="495">
        <f t="shared" si="0"/>
        <v>18.18</v>
      </c>
      <c r="F15" s="495">
        <f t="shared" si="0"/>
        <v>16.28</v>
      </c>
      <c r="G15" s="495">
        <f t="shared" si="0"/>
        <v>14.77</v>
      </c>
      <c r="H15" s="491"/>
      <c r="I15" s="497">
        <f t="shared" si="1"/>
        <v>6.82</v>
      </c>
      <c r="J15" s="495">
        <f t="shared" si="1"/>
        <v>6.76</v>
      </c>
      <c r="K15" s="498">
        <f t="shared" si="1"/>
        <v>7.59</v>
      </c>
    </row>
    <row r="16" spans="1:14" ht="15.75" thickBot="1" x14ac:dyDescent="0.3">
      <c r="A16" s="878" t="s">
        <v>340</v>
      </c>
      <c r="B16" s="879"/>
      <c r="C16" s="499">
        <f>(C14/C15)*100</f>
        <v>18.575624082232022</v>
      </c>
      <c r="D16" s="500">
        <f>(D14/D15)*100</f>
        <v>18.099032441661922</v>
      </c>
      <c r="E16" s="500">
        <f>(E14/E15)*100</f>
        <v>17.601760176017596</v>
      </c>
      <c r="F16" s="500">
        <f>(F14/F15)*100</f>
        <v>17.07616707616706</v>
      </c>
      <c r="G16" s="500">
        <f>(G14/G15)*100</f>
        <v>16.587677725118478</v>
      </c>
      <c r="H16" s="501"/>
      <c r="I16" s="502">
        <f>(I14/I15)*100</f>
        <v>10.117302052785917</v>
      </c>
      <c r="J16" s="500">
        <f>(J14/J15)*100</f>
        <v>9.763313609467458</v>
      </c>
      <c r="K16" s="503">
        <f>(K14/K15)*100</f>
        <v>6.455862977602111</v>
      </c>
      <c r="M16" s="504"/>
      <c r="N16" s="504"/>
    </row>
    <row r="17" spans="1:14" x14ac:dyDescent="0.25">
      <c r="A17" s="505"/>
      <c r="B17" s="506"/>
      <c r="C17" s="507"/>
      <c r="D17" s="507"/>
      <c r="E17" s="507"/>
      <c r="F17" s="507"/>
      <c r="G17" s="507"/>
      <c r="H17" s="507"/>
      <c r="I17" s="507"/>
      <c r="J17" s="507"/>
      <c r="K17" s="508"/>
      <c r="M17" s="504"/>
      <c r="N17" s="504"/>
    </row>
    <row r="18" spans="1:14" x14ac:dyDescent="0.25">
      <c r="A18" s="505"/>
      <c r="B18" s="507"/>
      <c r="C18" s="507"/>
      <c r="D18" s="507"/>
      <c r="E18" s="507"/>
      <c r="F18" s="507"/>
      <c r="G18" s="507"/>
      <c r="H18" s="507"/>
      <c r="I18" s="507"/>
      <c r="J18" s="507"/>
      <c r="K18" s="508"/>
      <c r="M18" s="504"/>
      <c r="N18" s="504"/>
    </row>
    <row r="19" spans="1:14" x14ac:dyDescent="0.25">
      <c r="A19" s="505"/>
      <c r="B19" s="507"/>
      <c r="C19" s="507"/>
      <c r="D19" s="507"/>
      <c r="E19" s="507"/>
      <c r="F19" s="507"/>
      <c r="G19" s="507"/>
      <c r="H19" s="507"/>
      <c r="I19" s="507"/>
      <c r="J19" s="507"/>
      <c r="K19" s="508"/>
      <c r="M19" s="504"/>
      <c r="N19" s="504"/>
    </row>
    <row r="20" spans="1:14" x14ac:dyDescent="0.25">
      <c r="A20" s="505"/>
      <c r="B20" s="507"/>
      <c r="C20" s="507"/>
      <c r="D20" s="507"/>
      <c r="E20" s="507"/>
      <c r="F20" s="507"/>
      <c r="G20" s="507"/>
      <c r="H20" s="507"/>
      <c r="I20" s="507"/>
      <c r="J20" s="507"/>
      <c r="K20" s="508"/>
      <c r="L20" s="509" t="s">
        <v>13</v>
      </c>
      <c r="M20" s="510">
        <v>17.45</v>
      </c>
      <c r="N20" s="504">
        <v>25</v>
      </c>
    </row>
    <row r="21" spans="1:14" x14ac:dyDescent="0.25">
      <c r="A21" s="505"/>
      <c r="B21" s="507"/>
      <c r="C21" s="507"/>
      <c r="D21" s="507"/>
      <c r="E21" s="507"/>
      <c r="F21" s="507"/>
      <c r="G21" s="507"/>
      <c r="H21" s="507"/>
      <c r="I21" s="507"/>
      <c r="J21" s="507"/>
      <c r="K21" s="508"/>
      <c r="L21" s="509" t="s">
        <v>341</v>
      </c>
      <c r="M21" s="504">
        <f>M20</f>
        <v>17.45</v>
      </c>
      <c r="N21" s="504">
        <v>14</v>
      </c>
    </row>
    <row r="22" spans="1:14" x14ac:dyDescent="0.25">
      <c r="A22" s="505"/>
      <c r="B22" s="507"/>
      <c r="C22" s="507"/>
      <c r="D22" s="507"/>
      <c r="E22" s="507"/>
      <c r="F22" s="507"/>
      <c r="G22" s="507"/>
      <c r="H22" s="507"/>
      <c r="I22" s="507"/>
      <c r="J22" s="507"/>
      <c r="K22" s="508"/>
      <c r="M22" s="504"/>
      <c r="N22" s="504"/>
    </row>
    <row r="23" spans="1:14" x14ac:dyDescent="0.25">
      <c r="A23" s="505"/>
      <c r="B23" s="507"/>
      <c r="C23" s="507"/>
      <c r="D23" s="507"/>
      <c r="E23" s="507"/>
      <c r="F23" s="507"/>
      <c r="G23" s="507"/>
      <c r="H23" s="507"/>
      <c r="I23" s="507"/>
      <c r="J23" s="507"/>
      <c r="K23" s="508"/>
      <c r="M23" s="504">
        <v>12</v>
      </c>
      <c r="N23" s="504">
        <v>25</v>
      </c>
    </row>
    <row r="24" spans="1:14" x14ac:dyDescent="0.25">
      <c r="A24" s="505"/>
      <c r="B24" s="507"/>
      <c r="C24" s="507"/>
      <c r="D24" s="507"/>
      <c r="E24" s="507"/>
      <c r="F24" s="507"/>
      <c r="G24" s="507"/>
      <c r="H24" s="507"/>
      <c r="I24" s="507"/>
      <c r="J24" s="511" t="s">
        <v>342</v>
      </c>
      <c r="K24" s="512">
        <v>17.45</v>
      </c>
      <c r="M24" s="510">
        <v>17.45</v>
      </c>
      <c r="N24" s="504">
        <v>25</v>
      </c>
    </row>
    <row r="25" spans="1:14" x14ac:dyDescent="0.25">
      <c r="A25" s="505"/>
      <c r="B25" s="507"/>
      <c r="C25" s="507"/>
      <c r="D25" s="507"/>
      <c r="E25" s="507"/>
      <c r="F25" s="507"/>
      <c r="G25" s="507"/>
      <c r="H25" s="507"/>
      <c r="I25" s="507"/>
      <c r="J25" s="511" t="s">
        <v>343</v>
      </c>
      <c r="K25" s="513">
        <f>AVERAGE(I16:K16)</f>
        <v>8.7788262132851624</v>
      </c>
    </row>
    <row r="26" spans="1:14" x14ac:dyDescent="0.25">
      <c r="A26" s="505"/>
      <c r="B26" s="507"/>
      <c r="C26" s="507"/>
      <c r="D26" s="507"/>
      <c r="E26" s="507"/>
      <c r="F26" s="507"/>
      <c r="G26" s="507"/>
      <c r="H26" s="507"/>
      <c r="I26" s="507"/>
      <c r="J26" s="511" t="s">
        <v>344</v>
      </c>
      <c r="K26" s="514">
        <f>K24-K25</f>
        <v>8.6711737867148369</v>
      </c>
    </row>
    <row r="27" spans="1:14" x14ac:dyDescent="0.25">
      <c r="A27" s="505"/>
      <c r="B27" s="507"/>
      <c r="C27" s="507"/>
      <c r="D27" s="507"/>
      <c r="E27" s="507"/>
      <c r="F27" s="507"/>
      <c r="G27" s="507"/>
      <c r="H27" s="507"/>
      <c r="I27" s="507"/>
      <c r="J27" s="507"/>
      <c r="K27" s="508"/>
    </row>
    <row r="28" spans="1:14" ht="91.15" customHeight="1" thickBot="1" x14ac:dyDescent="0.3">
      <c r="A28" s="515"/>
      <c r="B28" s="516"/>
      <c r="C28" s="516"/>
      <c r="D28" s="516"/>
      <c r="E28" s="516"/>
      <c r="F28" s="516"/>
      <c r="G28" s="516"/>
      <c r="H28" s="516"/>
      <c r="I28" s="516"/>
      <c r="J28" s="516"/>
      <c r="K28" s="517"/>
    </row>
    <row r="29" spans="1:14" x14ac:dyDescent="0.25">
      <c r="A29" s="880"/>
      <c r="B29" s="869"/>
      <c r="C29" s="870"/>
      <c r="D29" s="868"/>
      <c r="E29" s="869"/>
      <c r="F29" s="869"/>
      <c r="G29" s="870"/>
      <c r="H29" s="868"/>
      <c r="I29" s="869"/>
      <c r="J29" s="869"/>
      <c r="K29" s="874"/>
    </row>
    <row r="30" spans="1:14" x14ac:dyDescent="0.25">
      <c r="A30" s="880"/>
      <c r="B30" s="869"/>
      <c r="C30" s="870"/>
      <c r="D30" s="868"/>
      <c r="E30" s="869"/>
      <c r="F30" s="869"/>
      <c r="G30" s="870"/>
      <c r="H30" s="868"/>
      <c r="I30" s="869"/>
      <c r="J30" s="869"/>
      <c r="K30" s="874"/>
    </row>
    <row r="31" spans="1:14" ht="52.15" customHeight="1" thickBot="1" x14ac:dyDescent="0.3">
      <c r="A31" s="881"/>
      <c r="B31" s="872"/>
      <c r="C31" s="873"/>
      <c r="D31" s="871"/>
      <c r="E31" s="872"/>
      <c r="F31" s="872"/>
      <c r="G31" s="873"/>
      <c r="H31" s="871"/>
      <c r="I31" s="872"/>
      <c r="J31" s="872"/>
      <c r="K31" s="875"/>
    </row>
  </sheetData>
  <mergeCells count="24">
    <mergeCell ref="A11:B11"/>
    <mergeCell ref="A1:B1"/>
    <mergeCell ref="C1:H4"/>
    <mergeCell ref="I1:J1"/>
    <mergeCell ref="A2:B5"/>
    <mergeCell ref="I2:J2"/>
    <mergeCell ref="I3:J3"/>
    <mergeCell ref="I4:K4"/>
    <mergeCell ref="C5:H5"/>
    <mergeCell ref="I5:K7"/>
    <mergeCell ref="C6:H6"/>
    <mergeCell ref="C7:H7"/>
    <mergeCell ref="A8:B9"/>
    <mergeCell ref="C8:H8"/>
    <mergeCell ref="I8:K9"/>
    <mergeCell ref="A10:B10"/>
    <mergeCell ref="D29:G31"/>
    <mergeCell ref="H29:K31"/>
    <mergeCell ref="A12:B12"/>
    <mergeCell ref="A13:B13"/>
    <mergeCell ref="A14:B14"/>
    <mergeCell ref="A15:B15"/>
    <mergeCell ref="A16:B16"/>
    <mergeCell ref="A29:C31"/>
  </mergeCells>
  <printOptions horizontalCentered="1"/>
  <pageMargins left="0.51181102362204722" right="0.51181102362204722" top="0.39370078740157483" bottom="0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9" zoomScale="99" zoomScaleNormal="99" workbookViewId="0">
      <selection activeCell="G24" sqref="G24:G25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55"/>
      <c r="B1" s="756"/>
      <c r="C1" s="756"/>
      <c r="D1" s="756"/>
      <c r="E1" s="756"/>
      <c r="F1" s="756"/>
      <c r="G1" s="756"/>
      <c r="H1" s="756"/>
      <c r="I1" s="924"/>
    </row>
    <row r="2" spans="1:9" x14ac:dyDescent="0.25">
      <c r="A2" s="559"/>
      <c r="B2" s="861"/>
      <c r="C2" s="861"/>
      <c r="D2" s="861"/>
      <c r="E2" s="861"/>
      <c r="F2" s="861"/>
      <c r="G2" s="861"/>
      <c r="H2" s="861"/>
      <c r="I2" s="925"/>
    </row>
    <row r="3" spans="1:9" x14ac:dyDescent="0.25">
      <c r="A3" s="559"/>
      <c r="B3" s="861"/>
      <c r="C3" s="861"/>
      <c r="D3" s="861"/>
      <c r="E3" s="861"/>
      <c r="F3" s="861"/>
      <c r="G3" s="861"/>
      <c r="H3" s="861"/>
      <c r="I3" s="925"/>
    </row>
    <row r="4" spans="1:9" x14ac:dyDescent="0.25">
      <c r="A4" s="559"/>
      <c r="B4" s="861"/>
      <c r="C4" s="861"/>
      <c r="D4" s="861"/>
      <c r="E4" s="861"/>
      <c r="F4" s="861"/>
      <c r="G4" s="861"/>
      <c r="H4" s="861"/>
      <c r="I4" s="925"/>
    </row>
    <row r="5" spans="1:9" x14ac:dyDescent="0.25">
      <c r="A5" s="559"/>
      <c r="B5" s="861"/>
      <c r="C5" s="861"/>
      <c r="D5" s="861"/>
      <c r="E5" s="861"/>
      <c r="F5" s="861"/>
      <c r="G5" s="861"/>
      <c r="H5" s="861"/>
      <c r="I5" s="925"/>
    </row>
    <row r="6" spans="1:9" x14ac:dyDescent="0.25">
      <c r="A6" s="559"/>
      <c r="B6" s="861"/>
      <c r="C6" s="861"/>
      <c r="D6" s="861"/>
      <c r="E6" s="861"/>
      <c r="F6" s="861"/>
      <c r="G6" s="861"/>
      <c r="H6" s="861"/>
      <c r="I6" s="925"/>
    </row>
    <row r="7" spans="1:9" x14ac:dyDescent="0.25">
      <c r="A7" s="559"/>
      <c r="B7" s="861"/>
      <c r="C7" s="861"/>
      <c r="D7" s="861"/>
      <c r="E7" s="861"/>
      <c r="F7" s="861"/>
      <c r="G7" s="861"/>
      <c r="H7" s="861"/>
      <c r="I7" s="925"/>
    </row>
    <row r="8" spans="1:9" x14ac:dyDescent="0.25">
      <c r="A8" s="559"/>
      <c r="B8" s="861"/>
      <c r="C8" s="861"/>
      <c r="D8" s="861"/>
      <c r="E8" s="861"/>
      <c r="F8" s="861"/>
      <c r="G8" s="861"/>
      <c r="H8" s="861"/>
      <c r="I8" s="925"/>
    </row>
    <row r="9" spans="1:9" x14ac:dyDescent="0.25">
      <c r="A9" s="559"/>
      <c r="B9" s="861"/>
      <c r="C9" s="861"/>
      <c r="D9" s="861"/>
      <c r="E9" s="861"/>
      <c r="F9" s="861"/>
      <c r="G9" s="861"/>
      <c r="H9" s="861"/>
      <c r="I9" s="925"/>
    </row>
    <row r="10" spans="1:9" x14ac:dyDescent="0.25">
      <c r="A10" s="559"/>
      <c r="B10" s="861"/>
      <c r="C10" s="861"/>
      <c r="D10" s="861"/>
      <c r="E10" s="861"/>
      <c r="F10" s="861"/>
      <c r="G10" s="861"/>
      <c r="H10" s="861"/>
      <c r="I10" s="925"/>
    </row>
    <row r="11" spans="1:9" ht="27" x14ac:dyDescent="0.5">
      <c r="A11" s="926" t="s">
        <v>373</v>
      </c>
      <c r="B11" s="927"/>
      <c r="C11" s="927"/>
      <c r="D11" s="927"/>
      <c r="E11" s="927"/>
      <c r="F11" s="927"/>
      <c r="G11" s="927"/>
      <c r="H11" s="927"/>
      <c r="I11" s="928"/>
    </row>
    <row r="12" spans="1:9" x14ac:dyDescent="0.25">
      <c r="A12" s="929"/>
      <c r="B12" s="930"/>
      <c r="C12" s="930"/>
      <c r="D12" s="930"/>
      <c r="E12" s="930"/>
      <c r="F12" s="930"/>
      <c r="G12" s="930"/>
      <c r="H12" s="930"/>
      <c r="I12" s="931"/>
    </row>
    <row r="13" spans="1:9" x14ac:dyDescent="0.25">
      <c r="A13" s="894"/>
      <c r="B13" s="923"/>
      <c r="C13" s="923"/>
      <c r="D13" s="923"/>
      <c r="E13" s="923"/>
      <c r="F13" s="923"/>
      <c r="G13" s="905" t="s">
        <v>390</v>
      </c>
      <c r="H13" s="905"/>
      <c r="I13" s="906"/>
    </row>
    <row r="14" spans="1:9" x14ac:dyDescent="0.25">
      <c r="A14" s="894"/>
      <c r="B14" s="923"/>
      <c r="C14" s="923"/>
      <c r="D14" s="923"/>
      <c r="E14" s="923"/>
      <c r="F14" s="923"/>
      <c r="G14" s="923"/>
      <c r="H14" s="923"/>
      <c r="I14" s="895"/>
    </row>
    <row r="15" spans="1:9" x14ac:dyDescent="0.25">
      <c r="A15" s="894"/>
      <c r="B15" s="923"/>
      <c r="C15" s="923"/>
      <c r="D15" s="923"/>
      <c r="E15" s="905" t="s">
        <v>391</v>
      </c>
      <c r="F15" s="905"/>
      <c r="G15" s="905"/>
      <c r="H15" s="905"/>
      <c r="I15" s="906"/>
    </row>
    <row r="16" spans="1:9" x14ac:dyDescent="0.25">
      <c r="A16" s="912" t="s">
        <v>389</v>
      </c>
      <c r="B16" s="932"/>
      <c r="C16" s="932"/>
      <c r="D16" s="932"/>
      <c r="E16" s="932"/>
      <c r="F16" s="932"/>
      <c r="G16" s="932"/>
      <c r="H16" s="932"/>
      <c r="I16" s="913"/>
    </row>
    <row r="17" spans="1:9" ht="31.9" customHeight="1" x14ac:dyDescent="0.25">
      <c r="A17" s="933" t="s">
        <v>374</v>
      </c>
      <c r="B17" s="934"/>
      <c r="C17" s="934"/>
      <c r="D17" s="934"/>
      <c r="E17" s="934"/>
      <c r="F17" s="935"/>
      <c r="G17" s="521">
        <v>3</v>
      </c>
      <c r="H17" s="522">
        <v>6</v>
      </c>
      <c r="I17" s="523"/>
    </row>
    <row r="18" spans="1:9" x14ac:dyDescent="0.25">
      <c r="A18" s="936" t="s">
        <v>375</v>
      </c>
      <c r="B18" s="937"/>
      <c r="C18" s="937"/>
      <c r="D18" s="937"/>
      <c r="E18" s="937"/>
      <c r="F18" s="938"/>
      <c r="G18" s="939">
        <v>219.7</v>
      </c>
      <c r="H18" s="939">
        <v>269.2</v>
      </c>
      <c r="I18" s="941"/>
    </row>
    <row r="19" spans="1:9" x14ac:dyDescent="0.25">
      <c r="A19" s="936"/>
      <c r="B19" s="937"/>
      <c r="C19" s="937"/>
      <c r="D19" s="937"/>
      <c r="E19" s="937"/>
      <c r="F19" s="938"/>
      <c r="G19" s="940"/>
      <c r="H19" s="940"/>
      <c r="I19" s="942"/>
    </row>
    <row r="20" spans="1:9" x14ac:dyDescent="0.25">
      <c r="A20" s="936" t="s">
        <v>376</v>
      </c>
      <c r="B20" s="937"/>
      <c r="C20" s="937"/>
      <c r="D20" s="937"/>
      <c r="E20" s="937"/>
      <c r="F20" s="938"/>
      <c r="G20" s="939">
        <v>468.9</v>
      </c>
      <c r="H20" s="939">
        <v>519.1</v>
      </c>
      <c r="I20" s="941"/>
    </row>
    <row r="21" spans="1:9" x14ac:dyDescent="0.25">
      <c r="A21" s="936"/>
      <c r="B21" s="937"/>
      <c r="C21" s="937"/>
      <c r="D21" s="937"/>
      <c r="E21" s="937"/>
      <c r="F21" s="938"/>
      <c r="G21" s="940"/>
      <c r="H21" s="940"/>
      <c r="I21" s="942"/>
    </row>
    <row r="22" spans="1:9" x14ac:dyDescent="0.25">
      <c r="A22" s="936" t="s">
        <v>377</v>
      </c>
      <c r="B22" s="937"/>
      <c r="C22" s="937"/>
      <c r="D22" s="937"/>
      <c r="E22" s="937"/>
      <c r="F22" s="938"/>
      <c r="G22" s="939">
        <v>927.6</v>
      </c>
      <c r="H22" s="939">
        <v>954.8</v>
      </c>
      <c r="I22" s="941"/>
    </row>
    <row r="23" spans="1:9" x14ac:dyDescent="0.25">
      <c r="A23" s="936"/>
      <c r="B23" s="937"/>
      <c r="C23" s="937"/>
      <c r="D23" s="937"/>
      <c r="E23" s="937"/>
      <c r="F23" s="938"/>
      <c r="G23" s="940"/>
      <c r="H23" s="940"/>
      <c r="I23" s="942"/>
    </row>
    <row r="24" spans="1:9" x14ac:dyDescent="0.25">
      <c r="A24" s="936" t="s">
        <v>378</v>
      </c>
      <c r="B24" s="937"/>
      <c r="C24" s="937"/>
      <c r="D24" s="937"/>
      <c r="E24" s="937"/>
      <c r="F24" s="938"/>
      <c r="G24" s="939">
        <v>775.3</v>
      </c>
      <c r="H24" s="939">
        <v>803.7</v>
      </c>
      <c r="I24" s="941"/>
    </row>
    <row r="25" spans="1:9" x14ac:dyDescent="0.25">
      <c r="A25" s="936"/>
      <c r="B25" s="937"/>
      <c r="C25" s="937"/>
      <c r="D25" s="937"/>
      <c r="E25" s="937"/>
      <c r="F25" s="938"/>
      <c r="G25" s="940"/>
      <c r="H25" s="940"/>
      <c r="I25" s="942"/>
    </row>
    <row r="26" spans="1:9" ht="31.9" customHeight="1" x14ac:dyDescent="0.25">
      <c r="A26" s="936"/>
      <c r="B26" s="937"/>
      <c r="C26" s="937"/>
      <c r="D26" s="937"/>
      <c r="E26" s="937"/>
      <c r="F26" s="938"/>
      <c r="G26" s="943"/>
      <c r="H26" s="944"/>
      <c r="I26" s="945"/>
    </row>
    <row r="27" spans="1:9" x14ac:dyDescent="0.25">
      <c r="A27" s="936"/>
      <c r="B27" s="937"/>
      <c r="C27" s="937"/>
      <c r="D27" s="937"/>
      <c r="E27" s="937"/>
      <c r="F27" s="938"/>
      <c r="G27" s="946"/>
      <c r="H27" s="947"/>
      <c r="I27" s="948"/>
    </row>
    <row r="28" spans="1:9" x14ac:dyDescent="0.25">
      <c r="A28" s="936" t="s">
        <v>379</v>
      </c>
      <c r="B28" s="937"/>
      <c r="C28" s="937"/>
      <c r="D28" s="937"/>
      <c r="E28" s="937"/>
      <c r="F28" s="938"/>
      <c r="G28" s="939">
        <f>G24-G18</f>
        <v>555.59999999999991</v>
      </c>
      <c r="H28" s="939">
        <f>H24-H18</f>
        <v>534.5</v>
      </c>
      <c r="I28" s="949"/>
    </row>
    <row r="29" spans="1:9" x14ac:dyDescent="0.25">
      <c r="A29" s="936"/>
      <c r="B29" s="937"/>
      <c r="C29" s="937"/>
      <c r="D29" s="937"/>
      <c r="E29" s="937"/>
      <c r="F29" s="938"/>
      <c r="G29" s="940"/>
      <c r="H29" s="940"/>
      <c r="I29" s="950"/>
    </row>
    <row r="30" spans="1:9" x14ac:dyDescent="0.25">
      <c r="A30" s="936" t="s">
        <v>380</v>
      </c>
      <c r="B30" s="937"/>
      <c r="C30" s="937"/>
      <c r="D30" s="937"/>
      <c r="E30" s="937"/>
      <c r="F30" s="938"/>
      <c r="G30" s="939">
        <f>G20-G18</f>
        <v>249.2</v>
      </c>
      <c r="H30" s="951">
        <f>H20-H18</f>
        <v>249.90000000000003</v>
      </c>
      <c r="I30" s="941"/>
    </row>
    <row r="31" spans="1:9" x14ac:dyDescent="0.25">
      <c r="A31" s="936"/>
      <c r="B31" s="937"/>
      <c r="C31" s="937"/>
      <c r="D31" s="937"/>
      <c r="E31" s="937"/>
      <c r="F31" s="938"/>
      <c r="G31" s="940"/>
      <c r="H31" s="952"/>
      <c r="I31" s="942"/>
    </row>
    <row r="32" spans="1:9" x14ac:dyDescent="0.25">
      <c r="A32" s="936" t="s">
        <v>381</v>
      </c>
      <c r="B32" s="937"/>
      <c r="C32" s="937"/>
      <c r="D32" s="937"/>
      <c r="E32" s="937"/>
      <c r="F32" s="938"/>
      <c r="G32" s="939">
        <f>G22-G20</f>
        <v>458.70000000000005</v>
      </c>
      <c r="H32" s="939">
        <f>H22-H20</f>
        <v>435.69999999999993</v>
      </c>
      <c r="I32" s="941"/>
    </row>
    <row r="33" spans="1:9" x14ac:dyDescent="0.25">
      <c r="A33" s="936"/>
      <c r="B33" s="937"/>
      <c r="C33" s="937"/>
      <c r="D33" s="937"/>
      <c r="E33" s="937"/>
      <c r="F33" s="938"/>
      <c r="G33" s="940"/>
      <c r="H33" s="940"/>
      <c r="I33" s="942"/>
    </row>
    <row r="34" spans="1:9" x14ac:dyDescent="0.25">
      <c r="A34" s="936" t="s">
        <v>382</v>
      </c>
      <c r="B34" s="937"/>
      <c r="C34" s="937"/>
      <c r="D34" s="937"/>
      <c r="E34" s="937"/>
      <c r="F34" s="938"/>
      <c r="G34" s="939">
        <f>G28-G32</f>
        <v>96.899999999999864</v>
      </c>
      <c r="H34" s="939">
        <f>H28-H32</f>
        <v>98.800000000000068</v>
      </c>
      <c r="I34" s="941"/>
    </row>
    <row r="35" spans="1:9" x14ac:dyDescent="0.25">
      <c r="A35" s="936"/>
      <c r="B35" s="937"/>
      <c r="C35" s="937"/>
      <c r="D35" s="937"/>
      <c r="E35" s="937"/>
      <c r="F35" s="938"/>
      <c r="G35" s="940"/>
      <c r="H35" s="940"/>
      <c r="I35" s="942"/>
    </row>
    <row r="36" spans="1:9" ht="38.450000000000003" customHeight="1" x14ac:dyDescent="0.25">
      <c r="A36" s="936" t="s">
        <v>383</v>
      </c>
      <c r="B36" s="937"/>
      <c r="C36" s="937"/>
      <c r="D36" s="937"/>
      <c r="E36" s="937"/>
      <c r="F36" s="938"/>
      <c r="G36" s="943"/>
      <c r="H36" s="944"/>
      <c r="I36" s="945"/>
    </row>
    <row r="37" spans="1:9" x14ac:dyDescent="0.25">
      <c r="A37" s="936"/>
      <c r="B37" s="937"/>
      <c r="C37" s="937"/>
      <c r="D37" s="937"/>
      <c r="E37" s="937"/>
      <c r="F37" s="938"/>
      <c r="G37" s="946"/>
      <c r="H37" s="947"/>
      <c r="I37" s="948"/>
    </row>
    <row r="38" spans="1:9" x14ac:dyDescent="0.25">
      <c r="A38" s="965" t="s">
        <v>384</v>
      </c>
      <c r="B38" s="966"/>
      <c r="C38" s="966"/>
      <c r="D38" s="966"/>
      <c r="E38" s="966"/>
      <c r="F38" s="967"/>
      <c r="G38" s="968">
        <f>G30/G34</f>
        <v>2.5717234262125936</v>
      </c>
      <c r="H38" s="968">
        <f>H30/H34</f>
        <v>2.5293522267206465</v>
      </c>
      <c r="I38" s="970"/>
    </row>
    <row r="39" spans="1:9" x14ac:dyDescent="0.25">
      <c r="A39" s="965"/>
      <c r="B39" s="966"/>
      <c r="C39" s="966"/>
      <c r="D39" s="966"/>
      <c r="E39" s="966"/>
      <c r="F39" s="967"/>
      <c r="G39" s="969"/>
      <c r="H39" s="969"/>
      <c r="I39" s="971"/>
    </row>
    <row r="40" spans="1:9" ht="40.9" customHeight="1" x14ac:dyDescent="0.25">
      <c r="A40" s="936"/>
      <c r="B40" s="937"/>
      <c r="C40" s="937"/>
      <c r="D40" s="937"/>
      <c r="E40" s="937"/>
      <c r="F40" s="938"/>
      <c r="G40" s="943"/>
      <c r="H40" s="944"/>
      <c r="I40" s="945"/>
    </row>
    <row r="41" spans="1:9" x14ac:dyDescent="0.25">
      <c r="A41" s="936"/>
      <c r="B41" s="937"/>
      <c r="C41" s="937"/>
      <c r="D41" s="937"/>
      <c r="E41" s="937"/>
      <c r="F41" s="938"/>
      <c r="G41" s="946"/>
      <c r="H41" s="947"/>
      <c r="I41" s="948"/>
    </row>
    <row r="42" spans="1:9" x14ac:dyDescent="0.25">
      <c r="A42" s="972" t="s">
        <v>385</v>
      </c>
      <c r="B42" s="973"/>
      <c r="C42" s="973"/>
      <c r="D42" s="973"/>
      <c r="E42" s="973"/>
      <c r="F42" s="974"/>
      <c r="G42" s="978">
        <f>AVERAGE(G38,H38,I38)</f>
        <v>2.5505378264666199</v>
      </c>
      <c r="H42" s="979"/>
      <c r="I42" s="980"/>
    </row>
    <row r="43" spans="1:9" x14ac:dyDescent="0.25">
      <c r="A43" s="975"/>
      <c r="B43" s="976"/>
      <c r="C43" s="976"/>
      <c r="D43" s="976"/>
      <c r="E43" s="976"/>
      <c r="F43" s="977"/>
      <c r="G43" s="981"/>
      <c r="H43" s="982"/>
      <c r="I43" s="983"/>
    </row>
    <row r="44" spans="1:9" x14ac:dyDescent="0.25">
      <c r="A44" s="984" t="s">
        <v>386</v>
      </c>
      <c r="B44" s="985"/>
      <c r="C44" s="985"/>
      <c r="D44" s="985"/>
      <c r="E44" s="985"/>
      <c r="F44" s="985"/>
      <c r="G44" s="985"/>
      <c r="H44" s="985"/>
      <c r="I44" s="986"/>
    </row>
    <row r="45" spans="1:9" ht="19.149999999999999" customHeight="1" thickBot="1" x14ac:dyDescent="0.3">
      <c r="A45" s="987"/>
      <c r="B45" s="988"/>
      <c r="C45" s="988"/>
      <c r="D45" s="988"/>
      <c r="E45" s="988"/>
      <c r="F45" s="988"/>
      <c r="G45" s="988"/>
      <c r="H45" s="988"/>
      <c r="I45" s="989"/>
    </row>
    <row r="46" spans="1:9" ht="14.45" customHeight="1" x14ac:dyDescent="0.25">
      <c r="A46" s="953" t="s">
        <v>387</v>
      </c>
      <c r="B46" s="954"/>
      <c r="C46" s="954"/>
      <c r="D46" s="955"/>
      <c r="E46" s="959" t="s">
        <v>388</v>
      </c>
      <c r="F46" s="960"/>
      <c r="G46" s="960"/>
      <c r="H46" s="960"/>
      <c r="I46" s="961"/>
    </row>
    <row r="47" spans="1:9" ht="36" customHeight="1" thickBot="1" x14ac:dyDescent="0.3">
      <c r="A47" s="956"/>
      <c r="B47" s="957"/>
      <c r="C47" s="957"/>
      <c r="D47" s="958"/>
      <c r="E47" s="962"/>
      <c r="F47" s="963"/>
      <c r="G47" s="963"/>
      <c r="H47" s="963"/>
      <c r="I47" s="964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1" zoomScale="130" zoomScaleNormal="130" workbookViewId="0">
      <selection activeCell="N49" sqref="N49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93"/>
      <c r="B1" s="996" t="s">
        <v>0</v>
      </c>
      <c r="C1" s="997"/>
      <c r="D1" s="997"/>
      <c r="E1" s="997"/>
      <c r="F1" s="997"/>
      <c r="G1" s="997"/>
      <c r="H1" s="997"/>
      <c r="I1" s="997"/>
      <c r="J1" s="998" t="s">
        <v>49</v>
      </c>
      <c r="K1" s="999"/>
    </row>
    <row r="2" spans="1:11" x14ac:dyDescent="0.25">
      <c r="A2" s="994"/>
      <c r="B2" s="1000" t="s">
        <v>1</v>
      </c>
      <c r="C2" s="1001"/>
      <c r="D2" s="1001"/>
      <c r="E2" s="1001"/>
      <c r="F2" s="1001"/>
      <c r="G2" s="1001"/>
      <c r="H2" s="1001"/>
      <c r="I2" s="1002"/>
      <c r="J2" s="1006" t="s">
        <v>50</v>
      </c>
      <c r="K2" s="1007"/>
    </row>
    <row r="3" spans="1:11" ht="11.45" customHeight="1" thickBot="1" x14ac:dyDescent="0.3">
      <c r="A3" s="995"/>
      <c r="B3" s="1003"/>
      <c r="C3" s="1004"/>
      <c r="D3" s="1004"/>
      <c r="E3" s="1004"/>
      <c r="F3" s="1004"/>
      <c r="G3" s="1004"/>
      <c r="H3" s="1004"/>
      <c r="I3" s="1005"/>
      <c r="J3" s="1008" t="s">
        <v>2</v>
      </c>
      <c r="K3" s="1009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10" t="s">
        <v>3</v>
      </c>
      <c r="B5" s="1012" t="s">
        <v>4</v>
      </c>
      <c r="C5" s="1013"/>
      <c r="D5" s="1013"/>
      <c r="E5" s="1013"/>
      <c r="F5" s="1013"/>
      <c r="G5" s="1013"/>
      <c r="H5" s="1013"/>
      <c r="I5" s="1013"/>
      <c r="J5" s="1013"/>
      <c r="K5" s="1014"/>
    </row>
    <row r="6" spans="1:11" ht="11.45" customHeight="1" x14ac:dyDescent="0.25">
      <c r="A6" s="1011"/>
      <c r="B6" s="1015" t="s">
        <v>5</v>
      </c>
      <c r="C6" s="937"/>
      <c r="D6" s="937"/>
      <c r="E6" s="937"/>
      <c r="F6" s="937"/>
      <c r="G6" s="937"/>
      <c r="H6" s="937"/>
      <c r="I6" s="937"/>
      <c r="J6" s="937"/>
      <c r="K6" s="1016"/>
    </row>
    <row r="7" spans="1:11" ht="16.899999999999999" customHeight="1" thickBot="1" x14ac:dyDescent="0.3">
      <c r="A7" s="24"/>
      <c r="B7" s="1017" t="s">
        <v>6</v>
      </c>
      <c r="C7" s="1018"/>
      <c r="D7" s="1018"/>
      <c r="E7" s="1018"/>
      <c r="F7" s="1018"/>
      <c r="G7" s="1018"/>
      <c r="H7" s="1018"/>
      <c r="I7" s="1018"/>
      <c r="J7" s="1018"/>
      <c r="K7" s="1019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20" t="s">
        <v>7</v>
      </c>
      <c r="B10" s="1021"/>
      <c r="C10" s="1021"/>
      <c r="D10" s="1021"/>
      <c r="E10" s="1021"/>
      <c r="F10" s="1021"/>
      <c r="G10" s="1021"/>
      <c r="H10" s="1021"/>
      <c r="I10" s="1021"/>
      <c r="J10" s="1021"/>
      <c r="K10" s="1022"/>
    </row>
    <row r="11" spans="1:11" x14ac:dyDescent="0.25">
      <c r="A11" s="990" t="s">
        <v>351</v>
      </c>
      <c r="B11" s="991"/>
      <c r="C11" s="991"/>
      <c r="D11" s="991"/>
      <c r="E11" s="991"/>
      <c r="F11" s="991"/>
      <c r="G11" s="991"/>
      <c r="H11" s="991"/>
      <c r="I11" s="991"/>
      <c r="J11" s="991"/>
      <c r="K11" s="992"/>
    </row>
    <row r="12" spans="1:11" ht="13.15" customHeight="1" x14ac:dyDescent="0.25">
      <c r="A12" s="990" t="s">
        <v>56</v>
      </c>
      <c r="B12" s="1023"/>
      <c r="C12" s="1023"/>
      <c r="D12" s="1024"/>
      <c r="E12" s="1025" t="s">
        <v>353</v>
      </c>
      <c r="F12" s="1026"/>
      <c r="G12" s="1026"/>
      <c r="H12" s="1026"/>
      <c r="I12" s="1026"/>
      <c r="J12" s="1026"/>
      <c r="K12" s="1027"/>
    </row>
    <row r="13" spans="1:11" ht="13.15" customHeight="1" x14ac:dyDescent="0.25">
      <c r="A13" s="990" t="s">
        <v>317</v>
      </c>
      <c r="B13" s="1023"/>
      <c r="C13" s="1023"/>
      <c r="D13" s="1024"/>
      <c r="E13" s="1025" t="s">
        <v>8</v>
      </c>
      <c r="F13" s="1026"/>
      <c r="G13" s="1026"/>
      <c r="H13" s="1026"/>
      <c r="I13" s="1026"/>
      <c r="J13" s="1026"/>
      <c r="K13" s="1027"/>
    </row>
    <row r="14" spans="1:11" ht="13.9" customHeight="1" x14ac:dyDescent="0.25">
      <c r="A14" s="990" t="s">
        <v>59</v>
      </c>
      <c r="B14" s="1023"/>
      <c r="C14" s="1023"/>
      <c r="D14" s="1023"/>
      <c r="E14" s="1028" t="s">
        <v>9</v>
      </c>
      <c r="F14" s="1023"/>
      <c r="G14" s="1023"/>
      <c r="H14" s="1023"/>
      <c r="I14" s="1023"/>
      <c r="J14" s="1023"/>
      <c r="K14" s="1029"/>
    </row>
    <row r="15" spans="1:11" ht="15.6" customHeight="1" thickBot="1" x14ac:dyDescent="0.3">
      <c r="A15" s="1030" t="s">
        <v>352</v>
      </c>
      <c r="B15" s="1031"/>
      <c r="C15" s="1031"/>
      <c r="D15" s="1031"/>
      <c r="E15" s="1032" t="s">
        <v>306</v>
      </c>
      <c r="F15" s="1031"/>
      <c r="G15" s="1031"/>
      <c r="H15" s="1031"/>
      <c r="I15" s="1031"/>
      <c r="J15" s="1031"/>
      <c r="K15" s="1033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1034" t="s">
        <v>10</v>
      </c>
      <c r="B17" s="26"/>
      <c r="C17" s="1036" t="s">
        <v>11</v>
      </c>
      <c r="D17" s="1021"/>
      <c r="E17" s="1037"/>
      <c r="F17" s="27"/>
      <c r="G17" s="26"/>
      <c r="H17" s="1038" t="s">
        <v>12</v>
      </c>
      <c r="I17" s="1039"/>
      <c r="J17" s="1040"/>
      <c r="K17" s="28" t="s">
        <v>13</v>
      </c>
    </row>
    <row r="18" spans="1:11" ht="13.9" customHeight="1" x14ac:dyDescent="0.25">
      <c r="A18" s="1035"/>
      <c r="B18" s="29"/>
      <c r="C18" s="1041" t="s">
        <v>14</v>
      </c>
      <c r="D18" s="1042"/>
      <c r="E18" s="1041" t="s">
        <v>15</v>
      </c>
      <c r="F18" s="1042"/>
      <c r="G18" s="29"/>
      <c r="H18" s="1043" t="s">
        <v>14</v>
      </c>
      <c r="I18" s="1044"/>
      <c r="J18" s="1043" t="s">
        <v>15</v>
      </c>
      <c r="K18" s="1045"/>
    </row>
    <row r="19" spans="1:11" ht="12" customHeight="1" x14ac:dyDescent="0.25">
      <c r="A19" s="30" t="s">
        <v>16</v>
      </c>
      <c r="B19" s="1"/>
      <c r="C19" s="1046" t="s">
        <v>51</v>
      </c>
      <c r="D19" s="1047"/>
      <c r="E19" s="1047"/>
      <c r="F19" s="1048"/>
      <c r="G19" s="1"/>
      <c r="H19" s="1049" t="s">
        <v>52</v>
      </c>
      <c r="I19" s="1050"/>
      <c r="J19" s="1050"/>
      <c r="K19" s="1051"/>
    </row>
    <row r="20" spans="1:11" ht="13.15" customHeight="1" x14ac:dyDescent="0.25">
      <c r="A20" s="30" t="s">
        <v>17</v>
      </c>
      <c r="B20" s="1"/>
      <c r="C20" s="1046" t="s">
        <v>18</v>
      </c>
      <c r="D20" s="1047"/>
      <c r="E20" s="1047"/>
      <c r="F20" s="1048"/>
      <c r="G20" s="1"/>
      <c r="H20" s="1049" t="s">
        <v>18</v>
      </c>
      <c r="I20" s="1050"/>
      <c r="J20" s="1050"/>
      <c r="K20" s="1051"/>
    </row>
    <row r="21" spans="1:11" x14ac:dyDescent="0.25">
      <c r="A21" s="30" t="s">
        <v>19</v>
      </c>
      <c r="B21" s="2"/>
      <c r="C21" s="1046" t="s">
        <v>20</v>
      </c>
      <c r="D21" s="1047"/>
      <c r="E21" s="1047"/>
      <c r="F21" s="1048"/>
      <c r="G21" s="2"/>
      <c r="H21" s="1049" t="s">
        <v>21</v>
      </c>
      <c r="I21" s="1050"/>
      <c r="J21" s="1050"/>
      <c r="K21" s="1051"/>
    </row>
    <row r="22" spans="1:11" ht="13.15" customHeight="1" x14ac:dyDescent="0.25">
      <c r="A22" s="30" t="s">
        <v>22</v>
      </c>
      <c r="B22" s="3"/>
      <c r="C22" s="1052">
        <v>3</v>
      </c>
      <c r="D22" s="1053"/>
      <c r="E22" s="1053"/>
      <c r="F22" s="1054"/>
      <c r="G22" s="4"/>
      <c r="H22" s="1055">
        <v>5</v>
      </c>
      <c r="I22" s="1056"/>
      <c r="J22" s="1056"/>
      <c r="K22" s="1057"/>
    </row>
    <row r="23" spans="1:11" ht="15.75" thickBot="1" x14ac:dyDescent="0.3">
      <c r="A23" s="31" t="s">
        <v>23</v>
      </c>
      <c r="B23" s="32"/>
      <c r="C23" s="1058">
        <v>25</v>
      </c>
      <c r="D23" s="1059"/>
      <c r="E23" s="1060">
        <v>56</v>
      </c>
      <c r="F23" s="1061"/>
      <c r="G23" s="5"/>
      <c r="H23" s="1062">
        <v>25</v>
      </c>
      <c r="I23" s="1063"/>
      <c r="J23" s="1062">
        <v>56</v>
      </c>
      <c r="K23" s="1064"/>
    </row>
    <row r="24" spans="1:11" ht="16.5" thickTop="1" thickBot="1" x14ac:dyDescent="0.3">
      <c r="A24" s="33" t="s">
        <v>24</v>
      </c>
      <c r="B24" s="1065">
        <v>1</v>
      </c>
      <c r="C24" s="1066"/>
      <c r="D24" s="480"/>
      <c r="E24" s="1067" t="s">
        <v>53</v>
      </c>
      <c r="F24" s="1068"/>
      <c r="G24" s="1068"/>
      <c r="H24" s="1069"/>
      <c r="I24" s="1070">
        <v>0</v>
      </c>
      <c r="J24" s="1071"/>
      <c r="K24" s="6"/>
    </row>
    <row r="25" spans="1:11" ht="12.6" customHeight="1" thickBot="1" x14ac:dyDescent="0.3">
      <c r="A25" s="1072" t="s">
        <v>25</v>
      </c>
      <c r="B25" s="1073"/>
      <c r="C25" s="1073"/>
      <c r="D25" s="1073"/>
      <c r="E25" s="1073"/>
      <c r="F25" s="1073"/>
      <c r="G25" s="1073"/>
      <c r="H25" s="1073"/>
      <c r="I25" s="1073"/>
      <c r="J25" s="1073"/>
      <c r="K25" s="1074"/>
    </row>
    <row r="26" spans="1:11" ht="13.9" customHeight="1" thickTop="1" x14ac:dyDescent="0.25">
      <c r="A26" s="34" t="s">
        <v>26</v>
      </c>
      <c r="B26" s="1075" t="s">
        <v>305</v>
      </c>
      <c r="C26" s="1076"/>
      <c r="D26" s="1075" t="s">
        <v>305</v>
      </c>
      <c r="E26" s="1076"/>
      <c r="F26" s="1075" t="s">
        <v>305</v>
      </c>
      <c r="G26" s="1076"/>
      <c r="H26" s="1075" t="s">
        <v>305</v>
      </c>
      <c r="I26" s="1076"/>
      <c r="J26" s="1077" t="s">
        <v>305</v>
      </c>
      <c r="K26" s="1078"/>
    </row>
    <row r="27" spans="1:11" ht="13.9" customHeight="1" x14ac:dyDescent="0.25">
      <c r="A27" s="35" t="s">
        <v>54</v>
      </c>
      <c r="B27" s="1079">
        <v>4</v>
      </c>
      <c r="C27" s="1080"/>
      <c r="D27" s="1079">
        <v>8</v>
      </c>
      <c r="E27" s="1080"/>
      <c r="F27" s="1079">
        <v>10</v>
      </c>
      <c r="G27" s="1080"/>
      <c r="H27" s="1079">
        <v>12</v>
      </c>
      <c r="I27" s="1080"/>
      <c r="J27" s="1068">
        <v>12</v>
      </c>
      <c r="K27" s="1081"/>
    </row>
    <row r="28" spans="1:11" ht="10.9" customHeight="1" x14ac:dyDescent="0.25">
      <c r="A28" s="35" t="s">
        <v>27</v>
      </c>
      <c r="B28" s="1079">
        <v>4032</v>
      </c>
      <c r="C28" s="1080"/>
      <c r="D28" s="1079">
        <v>4032</v>
      </c>
      <c r="E28" s="1080"/>
      <c r="F28" s="1079">
        <v>4032</v>
      </c>
      <c r="G28" s="1080"/>
      <c r="H28" s="1079">
        <v>4032</v>
      </c>
      <c r="I28" s="1080"/>
      <c r="J28" s="1079">
        <v>5242</v>
      </c>
      <c r="K28" s="1080"/>
    </row>
    <row r="29" spans="1:11" ht="13.9" customHeight="1" x14ac:dyDescent="0.25">
      <c r="A29" s="35" t="s">
        <v>28</v>
      </c>
      <c r="B29" s="1079">
        <v>5844</v>
      </c>
      <c r="C29" s="1080"/>
      <c r="D29" s="1079">
        <v>5982</v>
      </c>
      <c r="E29" s="1080"/>
      <c r="F29" s="1079">
        <v>6048</v>
      </c>
      <c r="G29" s="1080"/>
      <c r="H29" s="1079">
        <v>6036</v>
      </c>
      <c r="I29" s="1080"/>
      <c r="J29" s="1068">
        <v>9920</v>
      </c>
      <c r="K29" s="1081"/>
    </row>
    <row r="30" spans="1:11" ht="12" customHeight="1" x14ac:dyDescent="0.25">
      <c r="A30" s="36" t="s">
        <v>29</v>
      </c>
      <c r="B30" s="1079">
        <f>B29-B28</f>
        <v>1812</v>
      </c>
      <c r="C30" s="1080"/>
      <c r="D30" s="1079">
        <f>D29-D28</f>
        <v>1950</v>
      </c>
      <c r="E30" s="1080"/>
      <c r="F30" s="1079">
        <f>F29-F28</f>
        <v>2016</v>
      </c>
      <c r="G30" s="1080"/>
      <c r="H30" s="1079">
        <f>H29-H28</f>
        <v>2004</v>
      </c>
      <c r="I30" s="1080"/>
      <c r="J30" s="1082">
        <f>J29-J28</f>
        <v>4678</v>
      </c>
      <c r="K30" s="1083"/>
    </row>
    <row r="31" spans="1:11" ht="12.6" customHeight="1" x14ac:dyDescent="0.25">
      <c r="A31" s="37" t="s">
        <v>30</v>
      </c>
      <c r="B31" s="1087">
        <v>947</v>
      </c>
      <c r="C31" s="1088"/>
      <c r="D31" s="1087">
        <v>947</v>
      </c>
      <c r="E31" s="1088"/>
      <c r="F31" s="1087">
        <v>947</v>
      </c>
      <c r="G31" s="1088"/>
      <c r="H31" s="1087">
        <v>947</v>
      </c>
      <c r="I31" s="1088"/>
      <c r="J31" s="1087">
        <v>2300</v>
      </c>
      <c r="K31" s="1088"/>
    </row>
    <row r="32" spans="1:11" ht="13.9" customHeight="1" x14ac:dyDescent="0.25">
      <c r="A32" s="38" t="s">
        <v>31</v>
      </c>
      <c r="B32" s="1089">
        <f>B30*1/B31</f>
        <v>1.9134107708553327</v>
      </c>
      <c r="C32" s="1090"/>
      <c r="D32" s="1089">
        <f>D30*1/D31</f>
        <v>2.0591341077085534</v>
      </c>
      <c r="E32" s="1090"/>
      <c r="F32" s="1089">
        <f>F30*1/F31</f>
        <v>2.1288278775079199</v>
      </c>
      <c r="G32" s="1090"/>
      <c r="H32" s="1089">
        <f>H30*1/H31</f>
        <v>2.116156282998944</v>
      </c>
      <c r="I32" s="1090"/>
      <c r="J32" s="1091">
        <f>J30*1/J31</f>
        <v>2.0339130434782611</v>
      </c>
      <c r="K32" s="1092"/>
    </row>
    <row r="33" spans="1:11" ht="12" customHeight="1" thickBot="1" x14ac:dyDescent="0.3">
      <c r="A33" s="39" t="s">
        <v>32</v>
      </c>
      <c r="B33" s="595">
        <f>(B32)*100/(100+B41)</f>
        <v>1.8030002704019166</v>
      </c>
      <c r="C33" s="611"/>
      <c r="D33" s="595">
        <f>(D32)*100/(100+D41)</f>
        <v>1.9031622242473263</v>
      </c>
      <c r="E33" s="611"/>
      <c r="F33" s="595">
        <f>(F32)*100/(100+F41)</f>
        <v>1.9319821677107556</v>
      </c>
      <c r="G33" s="611"/>
      <c r="H33" s="595">
        <f>(H32)*100/(100+H41)</f>
        <v>1.8865610395455956</v>
      </c>
      <c r="I33" s="611"/>
      <c r="J33" s="595">
        <f>(J32)*100/(100+J41)</f>
        <v>1.7827643775255797</v>
      </c>
      <c r="K33" s="596"/>
    </row>
    <row r="34" spans="1:11" ht="11.45" customHeight="1" thickTop="1" thickBot="1" x14ac:dyDescent="0.3">
      <c r="A34" s="1084" t="s">
        <v>33</v>
      </c>
      <c r="B34" s="1085"/>
      <c r="C34" s="1085"/>
      <c r="D34" s="1085"/>
      <c r="E34" s="1085"/>
      <c r="F34" s="1085"/>
      <c r="G34" s="1085"/>
      <c r="H34" s="1085"/>
      <c r="I34" s="1085"/>
      <c r="J34" s="1085"/>
      <c r="K34" s="1086"/>
    </row>
    <row r="35" spans="1:11" ht="15.75" thickTop="1" x14ac:dyDescent="0.25">
      <c r="A35" s="40" t="s">
        <v>34</v>
      </c>
      <c r="B35" s="41" t="s">
        <v>319</v>
      </c>
      <c r="C35" s="42" t="s">
        <v>320</v>
      </c>
      <c r="D35" s="41" t="s">
        <v>354</v>
      </c>
      <c r="E35" s="42" t="s">
        <v>355</v>
      </c>
      <c r="F35" s="41">
        <v>13</v>
      </c>
      <c r="G35" s="42" t="s">
        <v>356</v>
      </c>
      <c r="H35" s="41" t="s">
        <v>357</v>
      </c>
      <c r="I35" s="42" t="s">
        <v>358</v>
      </c>
      <c r="J35" s="41" t="s">
        <v>318</v>
      </c>
      <c r="K35" s="43" t="s">
        <v>268</v>
      </c>
    </row>
    <row r="36" spans="1:11" ht="16.149999999999999" customHeight="1" x14ac:dyDescent="0.25">
      <c r="A36" s="44" t="s">
        <v>35</v>
      </c>
      <c r="B36" s="45">
        <v>33.200000000000003</v>
      </c>
      <c r="C36" s="46">
        <v>34.9</v>
      </c>
      <c r="D36" s="45">
        <v>32.9</v>
      </c>
      <c r="E36" s="46">
        <v>23.4</v>
      </c>
      <c r="F36" s="45">
        <v>35.200000000000003</v>
      </c>
      <c r="G36" s="46">
        <v>34.799999999999997</v>
      </c>
      <c r="H36" s="45">
        <v>34.700000000000003</v>
      </c>
      <c r="I36" s="46">
        <v>35.4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275</v>
      </c>
      <c r="C37" s="46">
        <v>287.2</v>
      </c>
      <c r="D37" s="45">
        <v>263</v>
      </c>
      <c r="E37" s="46">
        <v>194.4</v>
      </c>
      <c r="F37" s="45">
        <v>266</v>
      </c>
      <c r="G37" s="46">
        <v>244.2</v>
      </c>
      <c r="H37" s="45">
        <v>281.2</v>
      </c>
      <c r="I37" s="46">
        <v>259</v>
      </c>
      <c r="J37" s="45">
        <v>269.2</v>
      </c>
      <c r="K37" s="47">
        <v>274.39999999999998</v>
      </c>
    </row>
    <row r="38" spans="1:11" ht="16.149999999999999" customHeight="1" x14ac:dyDescent="0.25">
      <c r="A38" s="44" t="s">
        <v>37</v>
      </c>
      <c r="B38" s="45">
        <v>260.8</v>
      </c>
      <c r="C38" s="46">
        <v>272.89999999999998</v>
      </c>
      <c r="D38" s="45">
        <v>245.5</v>
      </c>
      <c r="E38" s="46">
        <v>181.5</v>
      </c>
      <c r="F38" s="45">
        <v>244.7</v>
      </c>
      <c r="G38" s="46">
        <v>224.8</v>
      </c>
      <c r="H38" s="45">
        <v>254.5</v>
      </c>
      <c r="I38" s="46">
        <v>234.7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227.60000000000002</v>
      </c>
      <c r="C39" s="46">
        <f>C38-C36</f>
        <v>237.99999999999997</v>
      </c>
      <c r="D39" s="45">
        <f t="shared" ref="D39:K39" si="0">D38-D36</f>
        <v>212.6</v>
      </c>
      <c r="E39" s="46">
        <f t="shared" si="0"/>
        <v>158.1</v>
      </c>
      <c r="F39" s="45">
        <f t="shared" si="0"/>
        <v>209.5</v>
      </c>
      <c r="G39" s="46">
        <f t="shared" si="0"/>
        <v>190</v>
      </c>
      <c r="H39" s="45">
        <f t="shared" si="0"/>
        <v>219.8</v>
      </c>
      <c r="I39" s="46">
        <f t="shared" si="0"/>
        <v>199.29999999999998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6.2390158172231933</v>
      </c>
      <c r="C40" s="50">
        <f>((C37)-(C38))*100/C39</f>
        <v>6.0084033613445431</v>
      </c>
      <c r="D40" s="49">
        <f t="shared" ref="D40:K40" si="1">((D37)-(D38))*100/D39</f>
        <v>8.231420507996237</v>
      </c>
      <c r="E40" s="50">
        <f t="shared" si="1"/>
        <v>8.1593927893738165</v>
      </c>
      <c r="F40" s="49">
        <f t="shared" si="1"/>
        <v>10.167064439140816</v>
      </c>
      <c r="G40" s="50">
        <f t="shared" si="1"/>
        <v>10.210526315789462</v>
      </c>
      <c r="H40" s="49">
        <f t="shared" si="1"/>
        <v>12.147406733393989</v>
      </c>
      <c r="I40" s="50">
        <f t="shared" si="1"/>
        <v>12.192674360260918</v>
      </c>
      <c r="J40" s="49">
        <f t="shared" si="1"/>
        <v>14.188861985472146</v>
      </c>
      <c r="K40" s="51">
        <f t="shared" si="1"/>
        <v>13.986332574031886</v>
      </c>
    </row>
    <row r="41" spans="1:11" ht="13.9" customHeight="1" thickBot="1" x14ac:dyDescent="0.3">
      <c r="A41" s="52" t="s">
        <v>40</v>
      </c>
      <c r="B41" s="533">
        <f>AVERAGE(B40:C40)</f>
        <v>6.1237095892838678</v>
      </c>
      <c r="C41" s="533"/>
      <c r="D41" s="533">
        <f>AVERAGE(D40:E40)</f>
        <v>8.1954066486850259</v>
      </c>
      <c r="E41" s="533"/>
      <c r="F41" s="533">
        <f>AVERAGE(F40:G40)</f>
        <v>10.188795377465139</v>
      </c>
      <c r="G41" s="533"/>
      <c r="H41" s="533">
        <f>AVERAGE(H40:I40)</f>
        <v>12.170040546827455</v>
      </c>
      <c r="I41" s="533"/>
      <c r="J41" s="533">
        <f>AVERAGE(J40:K40)</f>
        <v>14.087597279752016</v>
      </c>
      <c r="K41" s="608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93">
        <f>O52</f>
        <v>1.9330000000000001</v>
      </c>
      <c r="C43" s="1094"/>
      <c r="D43" s="54"/>
      <c r="E43" s="54"/>
      <c r="F43" s="1095" t="s">
        <v>41</v>
      </c>
      <c r="G43" s="1096"/>
      <c r="H43" s="1097"/>
      <c r="I43" s="1101">
        <f>B43</f>
        <v>1.9330000000000001</v>
      </c>
      <c r="J43" s="1102"/>
      <c r="K43" s="54" t="s">
        <v>42</v>
      </c>
    </row>
    <row r="44" spans="1:11" ht="13.9" customHeight="1" x14ac:dyDescent="0.25">
      <c r="A44" s="55" t="s">
        <v>43</v>
      </c>
      <c r="B44" s="1093">
        <f>N52</f>
        <v>9.9</v>
      </c>
      <c r="C44" s="1094"/>
      <c r="D44" s="54"/>
      <c r="E44" s="54"/>
      <c r="F44" s="1098"/>
      <c r="G44" s="1099"/>
      <c r="H44" s="1100"/>
      <c r="I44" s="1103">
        <f>B44</f>
        <v>9.9</v>
      </c>
      <c r="J44" s="1104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9.9</v>
      </c>
      <c r="O52" s="9">
        <v>1.9330000000000001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9.9</v>
      </c>
      <c r="O53" s="9">
        <v>1.84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1.9330000000000001</v>
      </c>
      <c r="O55" s="9">
        <v>13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1.9330000000000001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53"/>
  <sheetViews>
    <sheetView topLeftCell="A38" zoomScale="160" zoomScaleNormal="160" workbookViewId="0">
      <selection activeCell="H29" sqref="H2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05" t="s">
        <v>60</v>
      </c>
      <c r="H1" s="1106"/>
      <c r="I1" s="1106"/>
      <c r="J1" s="1106"/>
      <c r="K1" s="1106"/>
      <c r="L1" s="1107"/>
      <c r="M1" s="61"/>
      <c r="N1" s="1111" t="s">
        <v>61</v>
      </c>
      <c r="O1" s="1112"/>
      <c r="P1" s="1112"/>
      <c r="Q1" s="1113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08"/>
      <c r="H2" s="1109"/>
      <c r="I2" s="1109"/>
      <c r="J2" s="1109"/>
      <c r="K2" s="1109"/>
      <c r="L2" s="1110"/>
      <c r="M2" s="66"/>
      <c r="N2" s="1114" t="s">
        <v>311</v>
      </c>
      <c r="O2" s="1115"/>
      <c r="P2" s="1115"/>
      <c r="Q2" s="1116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17" t="s">
        <v>62</v>
      </c>
      <c r="H3" s="1118"/>
      <c r="I3" s="1118"/>
      <c r="J3" s="1118"/>
      <c r="K3" s="1118"/>
      <c r="L3" s="1119"/>
      <c r="M3" s="63"/>
      <c r="N3" s="70"/>
      <c r="O3" s="70"/>
      <c r="P3" s="70"/>
      <c r="Q3" s="71"/>
      <c r="R3" s="65"/>
    </row>
    <row r="4" spans="1:18" ht="15.75" thickBot="1" x14ac:dyDescent="0.3">
      <c r="A4" s="1120" t="s">
        <v>63</v>
      </c>
      <c r="B4" s="1121"/>
      <c r="C4" s="1122"/>
      <c r="D4" s="1123" t="s">
        <v>363</v>
      </c>
      <c r="E4" s="1124"/>
      <c r="F4" s="1124"/>
      <c r="G4" s="1124"/>
      <c r="H4" s="1124"/>
      <c r="I4" s="1125"/>
      <c r="J4" s="1121" t="s">
        <v>64</v>
      </c>
      <c r="K4" s="1121"/>
      <c r="L4" s="1121"/>
      <c r="M4" s="1122"/>
      <c r="N4" s="1126"/>
      <c r="O4" s="1124"/>
      <c r="P4" s="1124"/>
      <c r="Q4" s="1125"/>
      <c r="R4" s="72"/>
    </row>
    <row r="5" spans="1:18" ht="15.75" thickBot="1" x14ac:dyDescent="0.3">
      <c r="A5" s="1120" t="s">
        <v>65</v>
      </c>
      <c r="B5" s="1121"/>
      <c r="C5" s="1122"/>
      <c r="D5" s="1135" t="s">
        <v>359</v>
      </c>
      <c r="E5" s="1130"/>
      <c r="F5" s="1130"/>
      <c r="G5" s="1130"/>
      <c r="H5" s="1130"/>
      <c r="I5" s="1131"/>
      <c r="J5" s="1121" t="s">
        <v>66</v>
      </c>
      <c r="K5" s="1121"/>
      <c r="L5" s="1121"/>
      <c r="M5" s="1122"/>
      <c r="N5" s="1126" t="s">
        <v>361</v>
      </c>
      <c r="O5" s="1124"/>
      <c r="P5" s="1124"/>
      <c r="Q5" s="1125"/>
      <c r="R5" s="72"/>
    </row>
    <row r="6" spans="1:18" ht="12.6" customHeight="1" thickBot="1" x14ac:dyDescent="0.3">
      <c r="A6" s="1120" t="s">
        <v>67</v>
      </c>
      <c r="B6" s="1121"/>
      <c r="C6" s="1122"/>
      <c r="D6" s="1136"/>
      <c r="E6" s="1130"/>
      <c r="F6" s="1130"/>
      <c r="G6" s="1130"/>
      <c r="H6" s="1130"/>
      <c r="I6" s="1131"/>
      <c r="J6" s="1121" t="s">
        <v>68</v>
      </c>
      <c r="K6" s="1121"/>
      <c r="L6" s="1121"/>
      <c r="M6" s="1122"/>
      <c r="N6" s="1136"/>
      <c r="O6" s="1130"/>
      <c r="P6" s="1130"/>
      <c r="Q6" s="1131"/>
      <c r="R6" s="72"/>
    </row>
    <row r="7" spans="1:18" ht="12.6" customHeight="1" thickBot="1" x14ac:dyDescent="0.3">
      <c r="A7" s="1120" t="s">
        <v>69</v>
      </c>
      <c r="B7" s="1121"/>
      <c r="C7" s="1121"/>
      <c r="D7" s="1126" t="s">
        <v>360</v>
      </c>
      <c r="E7" s="1127"/>
      <c r="F7" s="1127"/>
      <c r="G7" s="1127"/>
      <c r="H7" s="1127"/>
      <c r="I7" s="1128"/>
      <c r="J7" s="1121" t="s">
        <v>70</v>
      </c>
      <c r="K7" s="1121"/>
      <c r="L7" s="1121"/>
      <c r="M7" s="1122"/>
      <c r="N7" s="1129"/>
      <c r="O7" s="1130"/>
      <c r="P7" s="1130"/>
      <c r="Q7" s="1131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21" t="s">
        <v>71</v>
      </c>
      <c r="K8" s="1121"/>
      <c r="L8" s="1121"/>
      <c r="M8" s="1122"/>
      <c r="N8" s="1132" t="s">
        <v>362</v>
      </c>
      <c r="O8" s="1133"/>
      <c r="P8" s="1133"/>
      <c r="Q8" s="1134"/>
      <c r="R8" s="72"/>
    </row>
    <row r="9" spans="1:18" ht="15.75" thickBot="1" x14ac:dyDescent="0.3">
      <c r="A9" s="1148" t="s">
        <v>72</v>
      </c>
      <c r="B9" s="1151" t="s">
        <v>73</v>
      </c>
      <c r="C9" s="1152"/>
      <c r="D9" s="1153"/>
      <c r="E9" s="76"/>
      <c r="F9" s="77"/>
      <c r="G9" s="78"/>
      <c r="H9" s="1154" t="s">
        <v>74</v>
      </c>
      <c r="I9" s="1143" t="s">
        <v>75</v>
      </c>
      <c r="J9" s="1144"/>
      <c r="K9" s="76" t="s">
        <v>76</v>
      </c>
      <c r="L9" s="78"/>
      <c r="M9" s="1156" t="s">
        <v>77</v>
      </c>
      <c r="N9" s="1157"/>
      <c r="O9" s="1143" t="s">
        <v>78</v>
      </c>
      <c r="P9" s="1144"/>
      <c r="Q9" s="79" t="s">
        <v>76</v>
      </c>
      <c r="R9" s="72"/>
    </row>
    <row r="10" spans="1:18" ht="19.149999999999999" customHeight="1" thickBot="1" x14ac:dyDescent="0.3">
      <c r="A10" s="1149"/>
      <c r="B10" s="1143" t="s">
        <v>79</v>
      </c>
      <c r="C10" s="1162"/>
      <c r="D10" s="1144"/>
      <c r="E10" s="80" t="s">
        <v>76</v>
      </c>
      <c r="F10" s="77"/>
      <c r="G10" s="78"/>
      <c r="H10" s="1155"/>
      <c r="I10" s="1163" t="s">
        <v>80</v>
      </c>
      <c r="J10" s="1164"/>
      <c r="K10" s="80">
        <v>2</v>
      </c>
      <c r="L10" s="78"/>
      <c r="M10" s="1158"/>
      <c r="N10" s="1159"/>
      <c r="O10" s="1143" t="s">
        <v>81</v>
      </c>
      <c r="P10" s="1144"/>
      <c r="Q10" s="81"/>
      <c r="R10" s="72"/>
    </row>
    <row r="11" spans="1:18" ht="12" customHeight="1" thickBot="1" x14ac:dyDescent="0.3">
      <c r="A11" s="1149"/>
      <c r="B11" s="1165" t="s">
        <v>82</v>
      </c>
      <c r="C11" s="1166"/>
      <c r="D11" s="1167"/>
      <c r="E11" s="82"/>
      <c r="F11" s="77"/>
      <c r="G11" s="77"/>
      <c r="H11" s="83"/>
      <c r="I11" s="1137"/>
      <c r="J11" s="1137"/>
      <c r="K11" s="83"/>
      <c r="L11" s="78"/>
      <c r="M11" s="1160"/>
      <c r="N11" s="1161"/>
      <c r="O11" s="84" t="s">
        <v>83</v>
      </c>
      <c r="P11" s="1138" t="s">
        <v>84</v>
      </c>
      <c r="Q11" s="1139"/>
      <c r="R11" s="72"/>
    </row>
    <row r="12" spans="1:18" ht="15.75" thickBot="1" x14ac:dyDescent="0.3">
      <c r="A12" s="1150"/>
      <c r="B12" s="1140" t="s">
        <v>85</v>
      </c>
      <c r="C12" s="1141"/>
      <c r="D12" s="1142"/>
      <c r="E12" s="85" t="s">
        <v>86</v>
      </c>
      <c r="F12" s="77"/>
      <c r="G12" s="78"/>
      <c r="H12" s="1143" t="s">
        <v>87</v>
      </c>
      <c r="I12" s="1144"/>
      <c r="J12" s="310">
        <f>'Proctor C01'!B43</f>
        <v>1.9330000000000001</v>
      </c>
      <c r="K12" s="86" t="s">
        <v>88</v>
      </c>
      <c r="L12" s="78"/>
      <c r="M12" s="1145" t="s">
        <v>89</v>
      </c>
      <c r="N12" s="1146"/>
      <c r="O12" s="1147"/>
      <c r="P12" s="312">
        <f>J12</f>
        <v>1.9330000000000001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140" t="s">
        <v>91</v>
      </c>
      <c r="I13" s="1142"/>
      <c r="J13" s="311">
        <f>'Proctor C01'!B44</f>
        <v>9.9</v>
      </c>
      <c r="K13" s="86" t="s">
        <v>44</v>
      </c>
      <c r="L13" s="77"/>
      <c r="M13" s="1143" t="s">
        <v>92</v>
      </c>
      <c r="N13" s="1144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168" t="s">
        <v>94</v>
      </c>
      <c r="B14" s="1169"/>
      <c r="C14" s="1169"/>
      <c r="D14" s="1169"/>
      <c r="E14" s="1169"/>
      <c r="F14" s="1169"/>
      <c r="G14" s="1169"/>
      <c r="H14" s="1169"/>
      <c r="I14" s="1169"/>
      <c r="J14" s="1169"/>
      <c r="K14" s="1169"/>
      <c r="L14" s="1169"/>
      <c r="M14" s="1169"/>
      <c r="N14" s="1169"/>
      <c r="O14" s="1169"/>
      <c r="P14" s="1169"/>
      <c r="Q14" s="1169"/>
      <c r="R14" s="1170"/>
    </row>
    <row r="15" spans="1:18" ht="15.75" thickBot="1" x14ac:dyDescent="0.3">
      <c r="A15" s="1171" t="s">
        <v>95</v>
      </c>
      <c r="B15" s="1172"/>
      <c r="C15" s="1172"/>
      <c r="D15" s="1172"/>
      <c r="E15" s="1172"/>
      <c r="F15" s="1172"/>
      <c r="G15" s="1172"/>
      <c r="H15" s="1172"/>
      <c r="I15" s="1172"/>
      <c r="J15" s="1172"/>
      <c r="K15" s="1171" t="s">
        <v>96</v>
      </c>
      <c r="L15" s="1172"/>
      <c r="M15" s="1172"/>
      <c r="N15" s="1172"/>
      <c r="O15" s="1172"/>
      <c r="P15" s="1172"/>
      <c r="Q15" s="1172"/>
      <c r="R15" s="1173"/>
    </row>
    <row r="16" spans="1:18" x14ac:dyDescent="0.25">
      <c r="A16" s="1174" t="s">
        <v>97</v>
      </c>
      <c r="B16" s="1175"/>
      <c r="C16" s="1176">
        <v>56</v>
      </c>
      <c r="D16" s="1177"/>
      <c r="E16" s="1178">
        <v>25</v>
      </c>
      <c r="F16" s="1179"/>
      <c r="G16" s="1176">
        <v>10</v>
      </c>
      <c r="H16" s="1177"/>
      <c r="I16" s="91"/>
      <c r="J16" s="1175" t="s">
        <v>98</v>
      </c>
      <c r="K16" s="1175"/>
      <c r="L16" s="1175"/>
      <c r="M16" s="1180" t="s">
        <v>99</v>
      </c>
      <c r="N16" s="1180"/>
      <c r="O16" s="1180"/>
      <c r="P16" s="1175" t="s">
        <v>100</v>
      </c>
      <c r="Q16" s="1175"/>
      <c r="R16" s="1181"/>
    </row>
    <row r="17" spans="1:18" ht="18.75" thickBot="1" x14ac:dyDescent="0.3">
      <c r="A17" s="1187" t="s">
        <v>101</v>
      </c>
      <c r="B17" s="1188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182" t="s">
        <v>105</v>
      </c>
      <c r="B18" s="1183"/>
      <c r="C18" s="98" t="s">
        <v>364</v>
      </c>
      <c r="D18" s="99">
        <v>35</v>
      </c>
      <c r="E18" s="98">
        <v>38</v>
      </c>
      <c r="F18" s="99" t="s">
        <v>365</v>
      </c>
      <c r="G18" s="99">
        <v>29</v>
      </c>
      <c r="H18" s="99" t="s">
        <v>366</v>
      </c>
      <c r="I18" s="100"/>
      <c r="J18" s="101">
        <v>0</v>
      </c>
      <c r="K18" s="472">
        <v>0</v>
      </c>
      <c r="L18" s="471">
        <v>0</v>
      </c>
      <c r="M18" s="92">
        <v>0</v>
      </c>
      <c r="N18" s="472">
        <v>0</v>
      </c>
      <c r="O18" s="471">
        <v>0</v>
      </c>
      <c r="P18" s="92">
        <v>0</v>
      </c>
      <c r="Q18" s="474">
        <v>0</v>
      </c>
      <c r="R18" s="471">
        <v>0</v>
      </c>
    </row>
    <row r="19" spans="1:18" x14ac:dyDescent="0.25">
      <c r="A19" s="1182" t="s">
        <v>106</v>
      </c>
      <c r="B19" s="1183"/>
      <c r="C19" s="102">
        <v>35.6</v>
      </c>
      <c r="D19" s="103">
        <v>35.299999999999997</v>
      </c>
      <c r="E19" s="102">
        <v>37.200000000000003</v>
      </c>
      <c r="F19" s="103">
        <v>33.299999999999997</v>
      </c>
      <c r="G19" s="103">
        <v>35.799999999999997</v>
      </c>
      <c r="H19" s="103">
        <v>36.299999999999997</v>
      </c>
      <c r="I19" s="104"/>
      <c r="J19" s="105">
        <v>0.5</v>
      </c>
      <c r="K19" s="128">
        <v>0.12</v>
      </c>
      <c r="L19" s="471">
        <f t="shared" ref="L19:L26" si="0">((K19*9.8977)-0.3056)*10</f>
        <v>8.8212399999999995</v>
      </c>
      <c r="M19" s="106">
        <v>0.5</v>
      </c>
      <c r="N19" s="128">
        <v>0.06</v>
      </c>
      <c r="O19" s="471">
        <f t="shared" ref="O19:O26" si="1">((N19*9.8977)-0.3056)*10</f>
        <v>2.8826200000000002</v>
      </c>
      <c r="P19" s="106">
        <v>0.5</v>
      </c>
      <c r="Q19" s="475">
        <v>0.05</v>
      </c>
      <c r="R19" s="471">
        <f t="shared" ref="R19:R26" si="2">((Q19*9.8977)-0.3056)*10</f>
        <v>1.8928500000000004</v>
      </c>
    </row>
    <row r="20" spans="1:18" x14ac:dyDescent="0.25">
      <c r="A20" s="1182" t="s">
        <v>107</v>
      </c>
      <c r="B20" s="1183"/>
      <c r="C20" s="98">
        <v>220.4</v>
      </c>
      <c r="D20" s="107">
        <v>213.5</v>
      </c>
      <c r="E20" s="98">
        <v>197.6</v>
      </c>
      <c r="F20" s="103">
        <v>208.4</v>
      </c>
      <c r="G20" s="99">
        <v>182.6</v>
      </c>
      <c r="H20" s="99">
        <v>212.8</v>
      </c>
      <c r="I20" s="100"/>
      <c r="J20" s="108">
        <v>1</v>
      </c>
      <c r="K20" s="128">
        <v>0.2</v>
      </c>
      <c r="L20" s="471">
        <f t="shared" si="0"/>
        <v>16.7394</v>
      </c>
      <c r="M20" s="93">
        <v>1</v>
      </c>
      <c r="N20" s="128">
        <v>0.12</v>
      </c>
      <c r="O20" s="471">
        <f t="shared" si="1"/>
        <v>8.8212399999999995</v>
      </c>
      <c r="P20" s="93">
        <v>1</v>
      </c>
      <c r="Q20" s="475">
        <v>0.06</v>
      </c>
      <c r="R20" s="471">
        <f t="shared" si="2"/>
        <v>2.8826200000000002</v>
      </c>
    </row>
    <row r="21" spans="1:18" x14ac:dyDescent="0.25">
      <c r="A21" s="1182" t="s">
        <v>108</v>
      </c>
      <c r="B21" s="1183"/>
      <c r="C21" s="98">
        <v>203.7</v>
      </c>
      <c r="D21" s="99">
        <v>197.5</v>
      </c>
      <c r="E21" s="98">
        <v>183.1</v>
      </c>
      <c r="F21" s="99">
        <v>192.7</v>
      </c>
      <c r="G21" s="99">
        <v>169.4</v>
      </c>
      <c r="H21" s="99">
        <v>196.9</v>
      </c>
      <c r="I21" s="100"/>
      <c r="J21" s="109">
        <v>1.5</v>
      </c>
      <c r="K21" s="128">
        <v>0.38</v>
      </c>
      <c r="L21" s="471">
        <f t="shared" si="0"/>
        <v>34.555259999999997</v>
      </c>
      <c r="M21" s="110">
        <v>1.5</v>
      </c>
      <c r="N21" s="128">
        <v>0.21</v>
      </c>
      <c r="O21" s="471">
        <f t="shared" si="1"/>
        <v>17.72917</v>
      </c>
      <c r="P21" s="110">
        <v>1.5</v>
      </c>
      <c r="Q21" s="128">
        <v>0.1</v>
      </c>
      <c r="R21" s="471">
        <f t="shared" si="2"/>
        <v>6.8417000000000003</v>
      </c>
    </row>
    <row r="22" spans="1:18" x14ac:dyDescent="0.25">
      <c r="A22" s="1182" t="s">
        <v>109</v>
      </c>
      <c r="B22" s="1183"/>
      <c r="C22" s="111">
        <f>IF(C21&lt;&gt;0, (C20-C21)/(C21-C19)*100, "")</f>
        <v>9.9345627602617608</v>
      </c>
      <c r="D22" s="112">
        <f>(D20-D21)/(D21-D19)*100</f>
        <v>9.8643649815043162</v>
      </c>
      <c r="E22" s="111">
        <f>IF(E21&lt;&gt;0, (E20-E21)/(E21-E19)*100, "")</f>
        <v>9.9383139136394814</v>
      </c>
      <c r="F22" s="112">
        <f>(F20-F21)/(F21-F19)*100</f>
        <v>9.8494353826850816</v>
      </c>
      <c r="G22" s="112">
        <f>(G20-G21)/(G21-G19)*100</f>
        <v>9.8802395209580745</v>
      </c>
      <c r="H22" s="112">
        <f>(H20-H21)/(H21-H19)*100</f>
        <v>9.9003735990037374</v>
      </c>
      <c r="I22" s="113"/>
      <c r="J22" s="109">
        <v>2</v>
      </c>
      <c r="K22" s="470">
        <v>0.6</v>
      </c>
      <c r="L22" s="471">
        <f t="shared" si="0"/>
        <v>56.330200000000005</v>
      </c>
      <c r="M22" s="110">
        <v>2</v>
      </c>
      <c r="N22" s="470">
        <v>0.32</v>
      </c>
      <c r="O22" s="471">
        <f t="shared" si="1"/>
        <v>28.616640000000004</v>
      </c>
      <c r="P22" s="110">
        <v>2</v>
      </c>
      <c r="Q22" s="128">
        <v>0.2</v>
      </c>
      <c r="R22" s="471">
        <f t="shared" si="2"/>
        <v>16.7394</v>
      </c>
    </row>
    <row r="23" spans="1:18" x14ac:dyDescent="0.25">
      <c r="A23" s="1182" t="s">
        <v>110</v>
      </c>
      <c r="B23" s="1183"/>
      <c r="C23" s="531">
        <f>AVERAGE(C22:D22)</f>
        <v>9.8994638708830394</v>
      </c>
      <c r="D23" s="532"/>
      <c r="E23" s="531">
        <f>AVERAGE(E22:F22)</f>
        <v>9.8938746481622815</v>
      </c>
      <c r="F23" s="532"/>
      <c r="G23" s="531">
        <f>AVERAGE(G22:H22)</f>
        <v>9.8903065599809068</v>
      </c>
      <c r="H23" s="532"/>
      <c r="I23" s="114"/>
      <c r="J23" s="109">
        <v>2.5</v>
      </c>
      <c r="K23" s="128">
        <v>0.79</v>
      </c>
      <c r="L23" s="471">
        <f t="shared" si="0"/>
        <v>75.135829999999999</v>
      </c>
      <c r="M23" s="110">
        <v>2.5</v>
      </c>
      <c r="N23" s="128">
        <v>0.49</v>
      </c>
      <c r="O23" s="471">
        <f t="shared" si="1"/>
        <v>45.442730000000005</v>
      </c>
      <c r="P23" s="110">
        <v>2.5</v>
      </c>
      <c r="Q23" s="128">
        <v>0.3</v>
      </c>
      <c r="R23" s="471">
        <f t="shared" si="2"/>
        <v>26.6371</v>
      </c>
    </row>
    <row r="24" spans="1:18" x14ac:dyDescent="0.25">
      <c r="A24" s="1184" t="s">
        <v>111</v>
      </c>
      <c r="B24" s="1185"/>
      <c r="C24" s="1186">
        <f>C23/J13*100</f>
        <v>99.994584554374129</v>
      </c>
      <c r="D24" s="1186"/>
      <c r="E24" s="1186">
        <f>E23/J13*100</f>
        <v>99.93812775921495</v>
      </c>
      <c r="F24" s="1186"/>
      <c r="G24" s="531">
        <f>G23/J13*100</f>
        <v>99.902086464453603</v>
      </c>
      <c r="H24" s="532"/>
      <c r="I24" s="114"/>
      <c r="J24" s="109">
        <v>5</v>
      </c>
      <c r="K24" s="128">
        <v>2.35</v>
      </c>
      <c r="L24" s="471">
        <f t="shared" si="0"/>
        <v>229.53995000000003</v>
      </c>
      <c r="M24" s="110">
        <v>5</v>
      </c>
      <c r="N24" s="128">
        <v>1.62</v>
      </c>
      <c r="O24" s="471">
        <f t="shared" si="1"/>
        <v>157.28674000000001</v>
      </c>
      <c r="P24" s="110">
        <v>5</v>
      </c>
      <c r="Q24" s="128">
        <v>0.89</v>
      </c>
      <c r="R24" s="471">
        <f t="shared" si="2"/>
        <v>85.033530000000013</v>
      </c>
    </row>
    <row r="25" spans="1:18" x14ac:dyDescent="0.25">
      <c r="A25" s="1192" t="s">
        <v>112</v>
      </c>
      <c r="B25" s="1193"/>
      <c r="C25" s="1193"/>
      <c r="D25" s="1193"/>
      <c r="E25" s="1193"/>
      <c r="F25" s="1193"/>
      <c r="G25" s="1193"/>
      <c r="H25" s="1194"/>
      <c r="I25" s="115"/>
      <c r="J25" s="109">
        <v>6</v>
      </c>
      <c r="K25" s="128">
        <v>2.68</v>
      </c>
      <c r="L25" s="471">
        <f t="shared" si="0"/>
        <v>262.20236000000006</v>
      </c>
      <c r="M25" s="110">
        <v>6</v>
      </c>
      <c r="N25" s="128">
        <v>1.9</v>
      </c>
      <c r="O25" s="471">
        <f t="shared" si="1"/>
        <v>185.00030000000004</v>
      </c>
      <c r="P25" s="110">
        <v>6</v>
      </c>
      <c r="Q25" s="128">
        <v>1.2</v>
      </c>
      <c r="R25" s="471">
        <f t="shared" si="2"/>
        <v>115.71640000000001</v>
      </c>
    </row>
    <row r="26" spans="1:18" ht="15.75" thickBot="1" x14ac:dyDescent="0.3">
      <c r="A26" s="1189" t="s">
        <v>113</v>
      </c>
      <c r="B26" s="1190"/>
      <c r="C26" s="1190"/>
      <c r="D26" s="99" t="s">
        <v>367</v>
      </c>
      <c r="E26" s="116"/>
      <c r="F26" s="99" t="s">
        <v>341</v>
      </c>
      <c r="G26" s="117"/>
      <c r="H26" s="99" t="s">
        <v>368</v>
      </c>
      <c r="I26" s="100"/>
      <c r="J26" s="118">
        <v>10</v>
      </c>
      <c r="K26" s="473">
        <v>3.45</v>
      </c>
      <c r="L26" s="471">
        <f t="shared" si="0"/>
        <v>338.41465000000005</v>
      </c>
      <c r="M26" s="119">
        <v>10</v>
      </c>
      <c r="N26" s="473">
        <v>3.1</v>
      </c>
      <c r="O26" s="471">
        <f t="shared" si="1"/>
        <v>303.77270000000004</v>
      </c>
      <c r="P26" s="119">
        <v>10</v>
      </c>
      <c r="Q26" s="473">
        <v>2.48</v>
      </c>
      <c r="R26" s="471">
        <f t="shared" si="2"/>
        <v>242.40696000000003</v>
      </c>
    </row>
    <row r="27" spans="1:18" ht="15.75" thickBot="1" x14ac:dyDescent="0.3">
      <c r="A27" s="1189" t="s">
        <v>114</v>
      </c>
      <c r="B27" s="1190"/>
      <c r="C27" s="1190"/>
      <c r="D27" s="120">
        <v>5228</v>
      </c>
      <c r="E27" s="121"/>
      <c r="F27" s="120">
        <v>5254</v>
      </c>
      <c r="G27" s="122"/>
      <c r="H27" s="120">
        <v>3592</v>
      </c>
      <c r="I27" s="122"/>
      <c r="J27" s="1195"/>
      <c r="K27" s="1195"/>
      <c r="L27" s="1195"/>
      <c r="M27" s="1195"/>
      <c r="N27" s="1195"/>
      <c r="O27" s="1195"/>
      <c r="P27" s="1195"/>
      <c r="Q27" s="1195"/>
      <c r="R27" s="1196"/>
    </row>
    <row r="28" spans="1:18" x14ac:dyDescent="0.25">
      <c r="A28" s="1189" t="s">
        <v>115</v>
      </c>
      <c r="B28" s="1190"/>
      <c r="C28" s="1190"/>
      <c r="D28" s="120">
        <v>10114</v>
      </c>
      <c r="E28" s="121"/>
      <c r="F28" s="120">
        <v>9895</v>
      </c>
      <c r="G28" s="122"/>
      <c r="H28" s="120">
        <v>7989</v>
      </c>
      <c r="I28" s="123"/>
      <c r="J28" s="1197" t="s">
        <v>98</v>
      </c>
      <c r="K28" s="1198"/>
      <c r="L28" s="1198"/>
      <c r="M28" s="1198" t="s">
        <v>99</v>
      </c>
      <c r="N28" s="1198"/>
      <c r="O28" s="1198"/>
      <c r="P28" s="1198" t="s">
        <v>100</v>
      </c>
      <c r="Q28" s="1198"/>
      <c r="R28" s="1199"/>
    </row>
    <row r="29" spans="1:18" x14ac:dyDescent="0.25">
      <c r="A29" s="1189" t="s">
        <v>116</v>
      </c>
      <c r="B29" s="1190"/>
      <c r="C29" s="1190"/>
      <c r="D29" s="120">
        <v>2300</v>
      </c>
      <c r="E29" s="121"/>
      <c r="F29" s="120">
        <v>2300</v>
      </c>
      <c r="G29" s="124"/>
      <c r="H29" s="120">
        <v>2300</v>
      </c>
      <c r="I29" s="125"/>
      <c r="J29" s="1191" t="s">
        <v>105</v>
      </c>
      <c r="K29" s="1183"/>
      <c r="L29" s="99">
        <v>4</v>
      </c>
      <c r="M29" s="1183" t="s">
        <v>105</v>
      </c>
      <c r="N29" s="1183"/>
      <c r="O29" s="126" t="s">
        <v>314</v>
      </c>
      <c r="P29" s="1183" t="s">
        <v>105</v>
      </c>
      <c r="Q29" s="1183"/>
      <c r="R29" s="127" t="s">
        <v>312</v>
      </c>
    </row>
    <row r="30" spans="1:18" x14ac:dyDescent="0.25">
      <c r="A30" s="1182" t="s">
        <v>117</v>
      </c>
      <c r="B30" s="1183"/>
      <c r="C30" s="1183"/>
      <c r="D30" s="128">
        <f>IF(D28&lt;&gt;0, (D28-D27)/D29, "")</f>
        <v>2.1243478260869564</v>
      </c>
      <c r="E30" s="121"/>
      <c r="F30" s="128">
        <f>IF(F28&lt;&gt;0, (F28-F27)/F29*1, "")</f>
        <v>2.0178260869565219</v>
      </c>
      <c r="G30" s="122"/>
      <c r="H30" s="128">
        <f>IF(H28&lt;&gt;0, (H28-H27)/H29*1, "")</f>
        <v>1.9117391304347826</v>
      </c>
      <c r="I30" s="123"/>
      <c r="J30" s="1191" t="s">
        <v>118</v>
      </c>
      <c r="K30" s="1183"/>
      <c r="L30" s="99">
        <v>34.799999999999997</v>
      </c>
      <c r="M30" s="1183" t="s">
        <v>118</v>
      </c>
      <c r="N30" s="1183"/>
      <c r="O30" s="99">
        <v>23.6</v>
      </c>
      <c r="P30" s="1183" t="s">
        <v>118</v>
      </c>
      <c r="Q30" s="1183"/>
      <c r="R30" s="127">
        <v>40.5</v>
      </c>
    </row>
    <row r="31" spans="1:18" x14ac:dyDescent="0.25">
      <c r="A31" s="1182" t="s">
        <v>119</v>
      </c>
      <c r="B31" s="1183"/>
      <c r="C31" s="1183"/>
      <c r="D31" s="128">
        <f>IF(D28&lt;&gt;0, D30/(1+C23*0.01), "")</f>
        <v>1.9329919830935454</v>
      </c>
      <c r="E31" s="129"/>
      <c r="F31" s="128">
        <f>IF(F28&lt;&gt;0, F30/(1+E23*0.01), "")</f>
        <v>1.8361588336172707</v>
      </c>
      <c r="G31" s="130"/>
      <c r="H31" s="128">
        <f>IF(H28&lt;&gt;0, H30/(1+G23*0.01), "")</f>
        <v>1.7396794951985206</v>
      </c>
      <c r="I31" s="123"/>
      <c r="J31" s="1191" t="s">
        <v>107</v>
      </c>
      <c r="K31" s="1183"/>
      <c r="L31" s="99">
        <v>187.4</v>
      </c>
      <c r="M31" s="1183" t="s">
        <v>107</v>
      </c>
      <c r="N31" s="1183"/>
      <c r="O31" s="99">
        <v>146.9</v>
      </c>
      <c r="P31" s="1183" t="s">
        <v>107</v>
      </c>
      <c r="Q31" s="1183"/>
      <c r="R31" s="127">
        <v>187.3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91" t="s">
        <v>120</v>
      </c>
      <c r="K32" s="1183"/>
      <c r="L32" s="99">
        <v>171.5</v>
      </c>
      <c r="M32" s="1183" t="s">
        <v>120</v>
      </c>
      <c r="N32" s="1183"/>
      <c r="O32" s="99">
        <v>133.69999999999999</v>
      </c>
      <c r="P32" s="1183" t="s">
        <v>120</v>
      </c>
      <c r="Q32" s="1183"/>
      <c r="R32" s="127">
        <v>171.2</v>
      </c>
    </row>
    <row r="33" spans="1:18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200" t="s">
        <v>109</v>
      </c>
      <c r="K33" s="1201"/>
      <c r="L33" s="136">
        <f>(L31-L32)/(L32-L30)*100</f>
        <v>11.631309436722756</v>
      </c>
      <c r="M33" s="1201" t="s">
        <v>109</v>
      </c>
      <c r="N33" s="1201"/>
      <c r="O33" s="136">
        <f>(O31-O32)/(O32-O30)*100</f>
        <v>11.989100817438707</v>
      </c>
      <c r="P33" s="1201" t="s">
        <v>109</v>
      </c>
      <c r="Q33" s="1201"/>
      <c r="R33" s="136">
        <f>(R31-R32)/(R32-R30)*100</f>
        <v>12.318286151491984</v>
      </c>
    </row>
    <row r="34" spans="1:18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202" t="s">
        <v>121</v>
      </c>
      <c r="K34" s="1203"/>
      <c r="L34" s="1203"/>
      <c r="M34" s="1203"/>
      <c r="N34" s="1203"/>
      <c r="O34" s="1203"/>
      <c r="P34" s="1203"/>
      <c r="Q34" s="1203"/>
      <c r="R34" s="1204"/>
    </row>
    <row r="35" spans="1:18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205" t="s">
        <v>122</v>
      </c>
      <c r="K35" s="1206"/>
      <c r="L35" s="1207" t="s">
        <v>99</v>
      </c>
      <c r="M35" s="1206"/>
      <c r="N35" s="1207" t="s">
        <v>100</v>
      </c>
      <c r="O35" s="1206"/>
      <c r="P35" s="1208" t="s">
        <v>123</v>
      </c>
      <c r="Q35" s="1209"/>
      <c r="R35" s="1210"/>
    </row>
    <row r="36" spans="1:18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221" t="e">
        <f>AVERAGE(K37,K38,M37,M38,O37,O38)</f>
        <v>#DIV/0!</v>
      </c>
      <c r="Q36" s="1222"/>
      <c r="R36" s="1223"/>
    </row>
    <row r="37" spans="1:18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221"/>
      <c r="Q37" s="1222"/>
      <c r="R37" s="1223"/>
    </row>
    <row r="38" spans="1:18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224"/>
      <c r="Q38" s="1225"/>
      <c r="R38" s="1226"/>
    </row>
    <row r="39" spans="1:18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18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227" t="s">
        <v>125</v>
      </c>
      <c r="K40" s="1227"/>
      <c r="L40" s="1227"/>
      <c r="M40" s="1227"/>
      <c r="N40" s="1227"/>
      <c r="O40" s="1227"/>
      <c r="P40" s="1227"/>
      <c r="Q40" s="1227"/>
      <c r="R40" s="1228"/>
    </row>
    <row r="41" spans="1:18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211" t="s">
        <v>98</v>
      </c>
      <c r="K41" s="1211"/>
      <c r="L41" s="1211"/>
      <c r="M41" s="1211"/>
      <c r="N41" s="1211"/>
      <c r="O41" s="1211"/>
      <c r="P41" s="1211"/>
      <c r="Q41" s="1211"/>
      <c r="R41" s="1212"/>
    </row>
    <row r="42" spans="1:18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75.135829999999999</v>
      </c>
      <c r="L42" s="156" t="s">
        <v>127</v>
      </c>
      <c r="M42" s="157"/>
      <c r="N42" s="1213" t="s">
        <v>128</v>
      </c>
      <c r="O42" s="1214"/>
      <c r="P42" s="158">
        <f>(((K42)/13.58))</f>
        <v>5.5328298969072165</v>
      </c>
      <c r="Q42" s="1215" t="s">
        <v>129</v>
      </c>
      <c r="R42" s="1217">
        <f>MAX(P42:P43)</f>
        <v>11.153544703595726</v>
      </c>
    </row>
    <row r="43" spans="1:18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229.53995000000003</v>
      </c>
      <c r="L43" s="161" t="s">
        <v>127</v>
      </c>
      <c r="M43" s="157"/>
      <c r="N43" s="1219" t="s">
        <v>131</v>
      </c>
      <c r="O43" s="1220"/>
      <c r="P43" s="162">
        <f>(((K43)/20.58))</f>
        <v>11.153544703595726</v>
      </c>
      <c r="Q43" s="1216"/>
      <c r="R43" s="1218"/>
    </row>
    <row r="44" spans="1:18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18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211" t="s">
        <v>99</v>
      </c>
      <c r="K45" s="1211"/>
      <c r="L45" s="1211"/>
      <c r="M45" s="1211"/>
      <c r="N45" s="1211"/>
      <c r="O45" s="1211"/>
      <c r="P45" s="1211"/>
      <c r="Q45" s="1211"/>
      <c r="R45" s="1212"/>
    </row>
    <row r="46" spans="1:18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45.442730000000005</v>
      </c>
      <c r="L46" s="156" t="s">
        <v>127</v>
      </c>
      <c r="M46" s="165"/>
      <c r="N46" s="1213" t="s">
        <v>128</v>
      </c>
      <c r="O46" s="1214"/>
      <c r="P46" s="158">
        <f>(((K46)/13.58))</f>
        <v>3.34629823269514</v>
      </c>
      <c r="Q46" s="1215" t="s">
        <v>129</v>
      </c>
      <c r="R46" s="1217">
        <f>MAX(P46:P47)</f>
        <v>7.642698736637513</v>
      </c>
    </row>
    <row r="47" spans="1:18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157.28674000000001</v>
      </c>
      <c r="L47" s="161" t="s">
        <v>127</v>
      </c>
      <c r="M47" s="165"/>
      <c r="N47" s="1219" t="s">
        <v>131</v>
      </c>
      <c r="O47" s="1220"/>
      <c r="P47" s="162">
        <f>(((K47)/20.58))</f>
        <v>7.642698736637513</v>
      </c>
      <c r="Q47" s="1216"/>
      <c r="R47" s="1218"/>
    </row>
    <row r="48" spans="1:18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211" t="s">
        <v>100</v>
      </c>
      <c r="K49" s="1211"/>
      <c r="L49" s="1211"/>
      <c r="M49" s="1211"/>
      <c r="N49" s="1211"/>
      <c r="O49" s="1211"/>
      <c r="P49" s="1211"/>
      <c r="Q49" s="1211"/>
      <c r="R49" s="1212"/>
    </row>
    <row r="50" spans="1:18" ht="15.75" thickBot="1" x14ac:dyDescent="0.3">
      <c r="A50" s="141"/>
      <c r="B50" s="1222"/>
      <c r="C50" s="1222"/>
      <c r="D50" s="1222"/>
      <c r="E50" s="1222"/>
      <c r="F50" s="1222"/>
      <c r="G50" s="1222"/>
      <c r="H50" s="1222"/>
      <c r="I50" s="140"/>
      <c r="J50" s="154" t="s">
        <v>126</v>
      </c>
      <c r="K50" s="155">
        <f>R23</f>
        <v>26.6371</v>
      </c>
      <c r="L50" s="156" t="s">
        <v>127</v>
      </c>
      <c r="M50" s="165"/>
      <c r="N50" s="1213" t="s">
        <v>128</v>
      </c>
      <c r="O50" s="1214"/>
      <c r="P50" s="158">
        <f>(((K50)/13.58))</f>
        <v>1.9614948453608247</v>
      </c>
      <c r="Q50" s="1215" t="s">
        <v>129</v>
      </c>
      <c r="R50" s="1217">
        <f>MAX(P50:P51)</f>
        <v>4.131852769679301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85.033530000000013</v>
      </c>
      <c r="L51" s="161" t="s">
        <v>127</v>
      </c>
      <c r="M51" s="167"/>
      <c r="N51" s="1219" t="s">
        <v>131</v>
      </c>
      <c r="O51" s="1220"/>
      <c r="P51" s="162">
        <f>(((K51)/20.58))</f>
        <v>4.131852769679301</v>
      </c>
      <c r="Q51" s="1216"/>
      <c r="R51" s="1218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231" t="s">
        <v>132</v>
      </c>
      <c r="K52" s="1231"/>
      <c r="L52" s="1231"/>
      <c r="M52" s="1232" t="s">
        <v>269</v>
      </c>
      <c r="N52" s="1232"/>
      <c r="O52" s="1232"/>
      <c r="P52" s="1232"/>
      <c r="Q52" s="1232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229" t="s">
        <v>134</v>
      </c>
      <c r="I53" s="1229"/>
      <c r="J53" s="1229"/>
      <c r="K53" s="1229"/>
      <c r="L53" s="1229"/>
      <c r="M53" s="1230" t="s">
        <v>270</v>
      </c>
      <c r="N53" s="1230"/>
      <c r="O53" s="1230"/>
      <c r="P53" s="1230"/>
      <c r="Q53" s="1230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B20" zoomScale="142" zoomScaleNormal="142" workbookViewId="0">
      <selection activeCell="T38" sqref="T38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33" t="s">
        <v>75</v>
      </c>
      <c r="H1" s="1233"/>
      <c r="I1" s="1233"/>
      <c r="J1" s="1233"/>
      <c r="K1" s="1233"/>
      <c r="L1" s="1234"/>
      <c r="M1" s="175"/>
      <c r="N1" s="1237" t="s">
        <v>61</v>
      </c>
      <c r="O1" s="1238"/>
      <c r="P1" s="1238"/>
      <c r="Q1" s="1239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35"/>
      <c r="H2" s="1235"/>
      <c r="I2" s="1235"/>
      <c r="J2" s="1235"/>
      <c r="K2" s="1235"/>
      <c r="L2" s="1236"/>
      <c r="M2" s="180"/>
      <c r="N2" s="1240" t="s">
        <v>313</v>
      </c>
      <c r="O2" s="1241"/>
      <c r="P2" s="1241"/>
      <c r="Q2" s="1242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43" t="s">
        <v>135</v>
      </c>
      <c r="H3" s="1243"/>
      <c r="I3" s="1243"/>
      <c r="J3" s="1243"/>
      <c r="K3" s="1243"/>
      <c r="L3" s="1244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0" t="s">
        <v>63</v>
      </c>
      <c r="B5" s="1121"/>
      <c r="C5" s="1121"/>
      <c r="D5" s="1245" t="str">
        <f>' CBR Poinc'!D4:I4</f>
        <v>Corniche Pont du Djoué</v>
      </c>
      <c r="E5" s="1246"/>
      <c r="F5" s="1246"/>
      <c r="G5" s="1246"/>
      <c r="H5" s="1246"/>
      <c r="I5" s="1247"/>
      <c r="J5" s="1121" t="s">
        <v>64</v>
      </c>
      <c r="K5" s="1121"/>
      <c r="L5" s="1121"/>
      <c r="M5" s="1122"/>
      <c r="N5" s="1135" t="s">
        <v>136</v>
      </c>
      <c r="O5" s="1130"/>
      <c r="P5" s="1130"/>
      <c r="Q5" s="1131"/>
      <c r="R5" s="179"/>
    </row>
    <row r="6" spans="1:18" ht="12" customHeight="1" thickBot="1" x14ac:dyDescent="0.3">
      <c r="A6" s="1120" t="s">
        <v>65</v>
      </c>
      <c r="B6" s="1121"/>
      <c r="C6" s="1121"/>
      <c r="D6" s="1135"/>
      <c r="E6" s="1130"/>
      <c r="F6" s="1130"/>
      <c r="G6" s="1130"/>
      <c r="H6" s="1130"/>
      <c r="I6" s="1131"/>
      <c r="J6" s="1121" t="s">
        <v>66</v>
      </c>
      <c r="K6" s="1121"/>
      <c r="L6" s="1121"/>
      <c r="M6" s="1122"/>
      <c r="N6" s="1248" t="str">
        <f>' CBR Poinc'!N5:Q5</f>
        <v>Puit 4 - 1ème couche</v>
      </c>
      <c r="O6" s="1230"/>
      <c r="P6" s="1230"/>
      <c r="Q6" s="1249"/>
      <c r="R6" s="179"/>
    </row>
    <row r="7" spans="1:18" ht="10.9" customHeight="1" thickBot="1" x14ac:dyDescent="0.3">
      <c r="A7" s="1120" t="s">
        <v>67</v>
      </c>
      <c r="B7" s="1121"/>
      <c r="C7" s="1121"/>
      <c r="D7" s="1250"/>
      <c r="E7" s="1251"/>
      <c r="F7" s="1251"/>
      <c r="G7" s="1251"/>
      <c r="H7" s="1251"/>
      <c r="I7" s="1252"/>
      <c r="J7" s="1121" t="s">
        <v>137</v>
      </c>
      <c r="K7" s="1121"/>
      <c r="L7" s="1121"/>
      <c r="M7" s="1122"/>
      <c r="N7" s="1253"/>
      <c r="O7" s="1254"/>
      <c r="P7" s="1254"/>
      <c r="Q7" s="1255"/>
      <c r="R7" s="179"/>
    </row>
    <row r="8" spans="1:18" ht="11.45" customHeight="1" thickBot="1" x14ac:dyDescent="0.3">
      <c r="A8" s="1120" t="s">
        <v>69</v>
      </c>
      <c r="B8" s="1121"/>
      <c r="C8" s="1121"/>
      <c r="D8" s="1126" t="str">
        <f>' CBR Poinc'!D7:I7</f>
        <v>Du 10/12/2019 au 27/12/2019</v>
      </c>
      <c r="E8" s="1127"/>
      <c r="F8" s="1127"/>
      <c r="G8" s="1127"/>
      <c r="H8" s="1127"/>
      <c r="I8" s="1128"/>
      <c r="J8" s="1121" t="s">
        <v>70</v>
      </c>
      <c r="K8" s="1121"/>
      <c r="L8" s="1121"/>
      <c r="M8" s="1122"/>
      <c r="N8" s="1136" t="s">
        <v>136</v>
      </c>
      <c r="O8" s="1130"/>
      <c r="P8" s="1130"/>
      <c r="Q8" s="1131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21" t="s">
        <v>71</v>
      </c>
      <c r="K9" s="1121"/>
      <c r="L9" s="1121"/>
      <c r="M9" s="1122"/>
      <c r="N9" s="1136" t="str">
        <f>' CBR Poinc'!N8:Q8</f>
        <v>Sable Gris</v>
      </c>
      <c r="O9" s="1130"/>
      <c r="P9" s="1130"/>
      <c r="Q9" s="1131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71" t="s">
        <v>72</v>
      </c>
      <c r="B11" s="1274" t="s">
        <v>73</v>
      </c>
      <c r="C11" s="1275"/>
      <c r="D11" s="1276"/>
      <c r="E11" s="193"/>
      <c r="F11" s="177"/>
      <c r="G11" s="194"/>
      <c r="H11" s="1277" t="s">
        <v>74</v>
      </c>
      <c r="I11" s="1279" t="s">
        <v>75</v>
      </c>
      <c r="J11" s="1276"/>
      <c r="K11" s="195" t="s">
        <v>76</v>
      </c>
      <c r="L11" s="194"/>
      <c r="M11" s="1280" t="s">
        <v>77</v>
      </c>
      <c r="N11" s="1281"/>
      <c r="O11" s="1286" t="s">
        <v>78</v>
      </c>
      <c r="P11" s="1270"/>
      <c r="Q11" s="196" t="s">
        <v>76</v>
      </c>
      <c r="R11" s="179"/>
    </row>
    <row r="12" spans="1:18" ht="16.5" thickBot="1" x14ac:dyDescent="0.3">
      <c r="A12" s="1272"/>
      <c r="B12" s="1274" t="s">
        <v>79</v>
      </c>
      <c r="C12" s="1275"/>
      <c r="D12" s="1276"/>
      <c r="E12" s="193" t="s">
        <v>76</v>
      </c>
      <c r="F12" s="177"/>
      <c r="G12" s="194"/>
      <c r="H12" s="1278"/>
      <c r="I12" s="1287" t="s">
        <v>80</v>
      </c>
      <c r="J12" s="1288"/>
      <c r="K12" s="197">
        <v>2</v>
      </c>
      <c r="L12" s="194"/>
      <c r="M12" s="1282"/>
      <c r="N12" s="1283"/>
      <c r="O12" s="1289" t="s">
        <v>81</v>
      </c>
      <c r="P12" s="1290"/>
      <c r="Q12" s="198"/>
      <c r="R12" s="179"/>
    </row>
    <row r="13" spans="1:18" ht="16.5" thickBot="1" x14ac:dyDescent="0.3">
      <c r="A13" s="1272"/>
      <c r="B13" s="1259" t="s">
        <v>82</v>
      </c>
      <c r="C13" s="1260"/>
      <c r="D13" s="1261"/>
      <c r="E13" s="199"/>
      <c r="F13" s="177"/>
      <c r="G13" s="177"/>
      <c r="H13" s="200"/>
      <c r="I13" s="1256"/>
      <c r="J13" s="1256"/>
      <c r="K13" s="201"/>
      <c r="L13" s="194"/>
      <c r="M13" s="1284"/>
      <c r="N13" s="1285"/>
      <c r="O13" s="202" t="s">
        <v>83</v>
      </c>
      <c r="P13" s="1257" t="s">
        <v>84</v>
      </c>
      <c r="Q13" s="1258"/>
      <c r="R13" s="179"/>
    </row>
    <row r="14" spans="1:18" ht="16.5" thickBot="1" x14ac:dyDescent="0.3">
      <c r="A14" s="1273"/>
      <c r="B14" s="1259" t="s">
        <v>138</v>
      </c>
      <c r="C14" s="1260"/>
      <c r="D14" s="1261"/>
      <c r="E14" s="199"/>
      <c r="F14" s="177"/>
      <c r="G14" s="177"/>
      <c r="H14" s="1262" t="s">
        <v>139</v>
      </c>
      <c r="I14" s="1263"/>
      <c r="J14" s="327">
        <f>' CBR Poinc'!J12</f>
        <v>1.9330000000000001</v>
      </c>
      <c r="K14" s="203" t="str">
        <f>[1]CBR!K15</f>
        <v>t/m3</v>
      </c>
      <c r="L14" s="194"/>
      <c r="M14" s="1264" t="s">
        <v>140</v>
      </c>
      <c r="N14" s="1265"/>
      <c r="O14" s="1266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67" t="s">
        <v>142</v>
      </c>
      <c r="I15" s="1268"/>
      <c r="J15" s="328">
        <f>' CBR Poinc'!J13</f>
        <v>9.9</v>
      </c>
      <c r="K15" s="86" t="s">
        <v>44</v>
      </c>
      <c r="L15" s="177"/>
      <c r="M15" s="1269" t="s">
        <v>92</v>
      </c>
      <c r="N15" s="1270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99" t="s">
        <v>145</v>
      </c>
      <c r="N18" s="1299"/>
      <c r="O18" s="223" t="s">
        <v>146</v>
      </c>
      <c r="P18" s="223"/>
      <c r="Q18" s="1300" t="s">
        <v>147</v>
      </c>
      <c r="R18" s="1301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302"/>
      <c r="R19" s="1303"/>
    </row>
    <row r="20" spans="1:21" x14ac:dyDescent="0.25">
      <c r="A20" s="1304" t="s">
        <v>153</v>
      </c>
      <c r="B20" s="1292"/>
      <c r="C20" s="1292"/>
      <c r="D20" s="1305">
        <f>J14</f>
        <v>1.9330000000000001</v>
      </c>
      <c r="E20" s="1305"/>
      <c r="F20" s="1305"/>
      <c r="G20" s="1306"/>
      <c r="H20" s="1307"/>
      <c r="I20" s="1308"/>
      <c r="J20" s="231">
        <v>56</v>
      </c>
      <c r="K20" s="232"/>
      <c r="L20" s="232"/>
      <c r="M20" s="1293">
        <f>C27</f>
        <v>1.9329919830935454</v>
      </c>
      <c r="N20" s="1293"/>
      <c r="O20" s="1309">
        <f>' CBR Poinc'!C23</f>
        <v>9.8994638708830394</v>
      </c>
      <c r="P20" s="1310"/>
      <c r="Q20" s="1297"/>
      <c r="R20" s="1298"/>
    </row>
    <row r="21" spans="1:21" x14ac:dyDescent="0.25">
      <c r="A21" s="1291" t="s">
        <v>154</v>
      </c>
      <c r="B21" s="1292"/>
      <c r="C21" s="1292"/>
      <c r="D21" s="1293">
        <f>J15</f>
        <v>9.9</v>
      </c>
      <c r="E21" s="1293"/>
      <c r="F21" s="1293"/>
      <c r="G21" s="1294"/>
      <c r="H21" s="1295"/>
      <c r="I21" s="1296"/>
      <c r="J21" s="233">
        <v>25</v>
      </c>
      <c r="K21" s="234"/>
      <c r="L21" s="234"/>
      <c r="M21" s="1293">
        <f>D27</f>
        <v>1.8361588336172707</v>
      </c>
      <c r="N21" s="1293"/>
      <c r="O21" s="1293">
        <f>' CBR Poinc'!E23</f>
        <v>9.8938746481622815</v>
      </c>
      <c r="P21" s="1293"/>
      <c r="Q21" s="1297"/>
      <c r="R21" s="1298"/>
    </row>
    <row r="22" spans="1:21" ht="15.75" thickBot="1" x14ac:dyDescent="0.3">
      <c r="A22" s="1319" t="s">
        <v>155</v>
      </c>
      <c r="B22" s="1320"/>
      <c r="C22" s="1320"/>
      <c r="D22" s="1321"/>
      <c r="E22" s="1321"/>
      <c r="F22" s="1321"/>
      <c r="G22" s="1322"/>
      <c r="H22" s="1322"/>
      <c r="I22" s="1322"/>
      <c r="J22" s="235">
        <v>10</v>
      </c>
      <c r="K22" s="236"/>
      <c r="L22" s="236"/>
      <c r="M22" s="1323">
        <f>E27</f>
        <v>1.7396794951985206</v>
      </c>
      <c r="N22" s="1323"/>
      <c r="O22" s="1323">
        <f>' CBR Poinc'!G23</f>
        <v>9.8903065599809068</v>
      </c>
      <c r="P22" s="1323"/>
      <c r="Q22" s="1324"/>
      <c r="R22" s="1325"/>
    </row>
    <row r="23" spans="1:21" x14ac:dyDescent="0.25">
      <c r="A23" s="1311"/>
      <c r="B23" s="1312"/>
      <c r="C23" s="237"/>
      <c r="D23" s="237"/>
      <c r="E23" s="238"/>
      <c r="F23" s="239"/>
      <c r="G23" s="238"/>
      <c r="H23" s="240"/>
      <c r="I23" s="238"/>
      <c r="J23" s="1312"/>
      <c r="K23" s="1312"/>
      <c r="L23" s="237"/>
      <c r="M23" s="237"/>
      <c r="N23" s="238"/>
      <c r="O23" s="239"/>
      <c r="P23" s="241"/>
      <c r="Q23" s="1313"/>
      <c r="R23" s="1314"/>
    </row>
    <row r="24" spans="1:21" ht="15.75" thickBot="1" x14ac:dyDescent="0.3">
      <c r="A24" s="1315"/>
      <c r="B24" s="1316"/>
      <c r="C24" s="242"/>
      <c r="D24" s="243"/>
      <c r="E24" s="244"/>
      <c r="F24" s="245"/>
      <c r="G24" s="246"/>
      <c r="H24" s="240"/>
      <c r="I24" s="244"/>
      <c r="J24" s="1316"/>
      <c r="K24" s="1316"/>
      <c r="L24" s="242"/>
      <c r="M24" s="242"/>
      <c r="N24" s="244"/>
      <c r="O24" s="247"/>
      <c r="P24" s="248"/>
      <c r="Q24" s="1317"/>
      <c r="R24" s="1318"/>
    </row>
    <row r="25" spans="1:21" x14ac:dyDescent="0.25">
      <c r="A25" s="1326" t="s">
        <v>156</v>
      </c>
      <c r="B25" s="1327"/>
      <c r="C25" s="249">
        <v>56</v>
      </c>
      <c r="D25" s="249">
        <v>25</v>
      </c>
      <c r="E25" s="250">
        <v>10</v>
      </c>
      <c r="F25" s="245"/>
      <c r="G25" s="246"/>
      <c r="H25" s="251"/>
      <c r="I25" s="1328" t="s">
        <v>157</v>
      </c>
      <c r="J25" s="1329"/>
      <c r="K25" s="1330">
        <v>0.98</v>
      </c>
      <c r="L25" s="1330"/>
      <c r="M25" s="1331">
        <v>0.95</v>
      </c>
      <c r="N25" s="1331"/>
      <c r="O25" s="252">
        <v>0.94</v>
      </c>
      <c r="P25" s="252">
        <v>0.92</v>
      </c>
      <c r="Q25" s="1330">
        <v>0.9</v>
      </c>
      <c r="R25" s="1332"/>
    </row>
    <row r="26" spans="1:21" x14ac:dyDescent="0.25">
      <c r="A26" s="1333" t="s">
        <v>158</v>
      </c>
      <c r="B26" s="1334"/>
      <c r="C26" s="253">
        <f>' CBR Poinc'!R42</f>
        <v>11.153544703595726</v>
      </c>
      <c r="D26" s="253">
        <f>' CBR Poinc'!R46</f>
        <v>7.642698736637513</v>
      </c>
      <c r="E26" s="254">
        <f>' CBR Poinc'!R50</f>
        <v>4.131852769679301</v>
      </c>
      <c r="F26" s="245"/>
      <c r="G26" s="246"/>
      <c r="H26" s="251"/>
      <c r="I26" s="1335" t="s">
        <v>75</v>
      </c>
      <c r="J26" s="1336"/>
      <c r="K26" s="1337"/>
      <c r="L26" s="1337"/>
      <c r="M26" s="1338">
        <f>T28</f>
        <v>7.7</v>
      </c>
      <c r="N26" s="1338"/>
      <c r="O26" s="255"/>
      <c r="P26" s="256"/>
      <c r="Q26" s="1339"/>
      <c r="R26" s="1340"/>
    </row>
    <row r="27" spans="1:21" ht="16.5" thickBot="1" x14ac:dyDescent="0.3">
      <c r="A27" s="1349" t="s">
        <v>159</v>
      </c>
      <c r="B27" s="1350"/>
      <c r="C27" s="257">
        <f>' CBR Poinc'!D31</f>
        <v>1.9329919830935454</v>
      </c>
      <c r="D27" s="257">
        <f>' CBR Poinc'!F31</f>
        <v>1.8361588336172707</v>
      </c>
      <c r="E27" s="258">
        <f>' CBR Poinc'!H31</f>
        <v>1.7396794951985206</v>
      </c>
      <c r="F27" s="245"/>
      <c r="G27" s="246"/>
      <c r="H27" s="251"/>
      <c r="I27" s="1351" t="s">
        <v>159</v>
      </c>
      <c r="J27" s="1350"/>
      <c r="K27" s="1323"/>
      <c r="L27" s="1323"/>
      <c r="M27" s="1352">
        <f>J14*0.95</f>
        <v>1.8363499999999999</v>
      </c>
      <c r="N27" s="1352"/>
      <c r="O27" s="259"/>
      <c r="P27" s="259"/>
      <c r="Q27" s="1353"/>
      <c r="R27" s="1354"/>
      <c r="T27" s="609" t="s">
        <v>160</v>
      </c>
      <c r="U27" s="610"/>
    </row>
    <row r="28" spans="1:21" x14ac:dyDescent="0.25">
      <c r="A28" s="1341"/>
      <c r="B28" s="1342"/>
      <c r="C28" s="1342"/>
      <c r="D28" s="260"/>
      <c r="E28" s="261"/>
      <c r="F28" s="262"/>
      <c r="G28" s="263"/>
      <c r="H28" s="264"/>
      <c r="I28" s="261"/>
      <c r="J28" s="1342"/>
      <c r="K28" s="1342"/>
      <c r="L28" s="1342"/>
      <c r="M28" s="260"/>
      <c r="N28" s="265"/>
      <c r="O28" s="262"/>
      <c r="P28" s="212"/>
      <c r="Q28" s="1343"/>
      <c r="R28" s="1344"/>
      <c r="T28" s="266">
        <v>7.7</v>
      </c>
      <c r="U28" s="267">
        <f>M27</f>
        <v>1.8363499999999999</v>
      </c>
    </row>
    <row r="29" spans="1:21" x14ac:dyDescent="0.25">
      <c r="A29" s="1345"/>
      <c r="B29" s="1346"/>
      <c r="C29" s="1346"/>
      <c r="D29" s="268"/>
      <c r="E29" s="261"/>
      <c r="F29" s="261"/>
      <c r="G29" s="261"/>
      <c r="H29" s="261"/>
      <c r="I29" s="261"/>
      <c r="J29" s="1347"/>
      <c r="K29" s="1348"/>
      <c r="L29" s="1348"/>
      <c r="M29" s="269"/>
      <c r="N29" s="1346"/>
      <c r="O29" s="1346"/>
      <c r="P29" s="1346"/>
      <c r="Q29" s="1346"/>
      <c r="R29" s="270"/>
      <c r="T29" s="271">
        <f>T28</f>
        <v>7.7</v>
      </c>
      <c r="U29" s="272">
        <v>1.72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346"/>
      <c r="O30" s="1346"/>
      <c r="P30" s="1346"/>
      <c r="Q30" s="1346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366"/>
      <c r="K31" s="1366"/>
      <c r="L31" s="1366"/>
      <c r="M31" s="261"/>
      <c r="N31" s="1346"/>
      <c r="O31" s="1346"/>
      <c r="P31" s="1346"/>
      <c r="Q31" s="1346"/>
      <c r="R31" s="270"/>
      <c r="T31" s="271">
        <f>T28</f>
        <v>7.7</v>
      </c>
      <c r="U31" s="272">
        <f>U28</f>
        <v>1.8363499999999999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367"/>
      <c r="K32" s="1367"/>
      <c r="L32" s="281"/>
      <c r="M32" s="265"/>
      <c r="N32" s="1346"/>
      <c r="O32" s="1346"/>
      <c r="P32" s="1346"/>
      <c r="Q32" s="1346"/>
      <c r="R32" s="270"/>
      <c r="T32" s="282">
        <v>2</v>
      </c>
      <c r="U32" s="283">
        <f>U31</f>
        <v>1.8363499999999999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355"/>
      <c r="K33" s="1356"/>
      <c r="L33" s="287"/>
      <c r="M33" s="280"/>
      <c r="N33" s="1357"/>
      <c r="O33" s="1358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359"/>
      <c r="K34" s="1360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359"/>
      <c r="K35" s="1360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361"/>
      <c r="K36" s="1362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363"/>
      <c r="K38" s="1364"/>
      <c r="L38" s="1364"/>
      <c r="M38" s="1364"/>
      <c r="N38" s="1364"/>
      <c r="O38" s="1364"/>
      <c r="P38" s="1364"/>
      <c r="Q38" s="1364"/>
      <c r="R38" s="1365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371"/>
      <c r="K39" s="1372"/>
      <c r="L39" s="1372"/>
      <c r="M39" s="1372"/>
      <c r="N39" s="1372"/>
      <c r="O39" s="1372"/>
      <c r="P39" s="1372"/>
      <c r="Q39" s="1372"/>
      <c r="R39" s="1373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374"/>
      <c r="O41" s="1375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371"/>
      <c r="K43" s="1372"/>
      <c r="L43" s="1372"/>
      <c r="M43" s="1372"/>
      <c r="N43" s="1372"/>
      <c r="O43" s="1372"/>
      <c r="P43" s="1372"/>
      <c r="Q43" s="1372"/>
      <c r="R43" s="1373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376"/>
      <c r="O44" s="1377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378"/>
      <c r="O45" s="1378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379" t="s">
        <v>132</v>
      </c>
      <c r="K46" s="1379"/>
      <c r="L46" s="1379"/>
      <c r="M46" s="1380" t="s">
        <v>270</v>
      </c>
      <c r="N46" s="1380"/>
      <c r="O46" s="1380"/>
      <c r="P46" s="1380"/>
      <c r="Q46" s="1380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368" t="s">
        <v>369</v>
      </c>
      <c r="I47" s="1369"/>
      <c r="J47" s="1369"/>
      <c r="K47" s="1369"/>
      <c r="L47" s="1369"/>
      <c r="M47" s="1370"/>
      <c r="N47" s="1370"/>
      <c r="O47" s="1370"/>
      <c r="P47" s="1370"/>
      <c r="Q47" s="1370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PAGE RECAP  P1</vt:lpstr>
      <vt:lpstr>Teneur en eau 2 P1 </vt:lpstr>
      <vt:lpstr>Granulo P1</vt:lpstr>
      <vt:lpstr>Courbe P1 (2)</vt:lpstr>
      <vt:lpstr>Limite 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2020-01-10T06:01:09Z</cp:lastPrinted>
  <dcterms:created xsi:type="dcterms:W3CDTF">2018-08-30T08:30:49Z</dcterms:created>
  <dcterms:modified xsi:type="dcterms:W3CDTF">2020-01-10T06:03:50Z</dcterms:modified>
</cp:coreProperties>
</file>