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1" r:id="rId5"/>
    <sheet name="Proctor C01 (2)" sheetId="40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>#REF!</definedName>
    <definedName name="B" localSheetId="5">#REF!</definedName>
    <definedName name="B">#REF!</definedName>
    <definedName name="Compactação" localSheetId="5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 localSheetId="5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 localSheetId="5">#REF!</definedName>
    <definedName name="Plasticidade">#REF!</definedName>
    <definedName name="Platicidade" localSheetId="5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1" l="1"/>
  <c r="G32" i="41"/>
  <c r="H30" i="41"/>
  <c r="G30" i="41"/>
  <c r="H28" i="41"/>
  <c r="H34" i="41" s="1"/>
  <c r="G28" i="41"/>
  <c r="G34" i="41" s="1"/>
  <c r="G38" i="41" l="1"/>
  <c r="H38" i="41"/>
  <c r="G42" i="41" s="1"/>
  <c r="K12" i="25" s="1"/>
  <c r="L6" i="29"/>
  <c r="B6" i="29"/>
  <c r="N9" i="24"/>
  <c r="D5" i="24"/>
  <c r="D8" i="24"/>
  <c r="N6" i="24"/>
  <c r="B39" i="40" l="1"/>
  <c r="B44" i="40" l="1"/>
  <c r="I44" i="40" s="1"/>
  <c r="B43" i="40"/>
  <c r="I43" i="40" s="1"/>
  <c r="K39" i="40"/>
  <c r="K40" i="40" s="1"/>
  <c r="J39" i="40"/>
  <c r="J40" i="40" s="1"/>
  <c r="I39" i="40"/>
  <c r="I40" i="40" s="1"/>
  <c r="H39" i="40"/>
  <c r="H40" i="40" s="1"/>
  <c r="G39" i="40"/>
  <c r="G40" i="40" s="1"/>
  <c r="F39" i="40"/>
  <c r="F40" i="40" s="1"/>
  <c r="E39" i="40"/>
  <c r="E40" i="40" s="1"/>
  <c r="D39" i="40"/>
  <c r="D40" i="40" s="1"/>
  <c r="C39" i="40"/>
  <c r="C40" i="40" s="1"/>
  <c r="B40" i="40"/>
  <c r="J30" i="40"/>
  <c r="J32" i="40" s="1"/>
  <c r="H30" i="40"/>
  <c r="H32" i="40" s="1"/>
  <c r="F30" i="40"/>
  <c r="F32" i="40" s="1"/>
  <c r="D30" i="40"/>
  <c r="D32" i="40" s="1"/>
  <c r="B30" i="40"/>
  <c r="B32" i="40" s="1"/>
  <c r="H44" i="25" l="1"/>
  <c r="Y54" i="25" s="1"/>
  <c r="H43" i="25"/>
  <c r="X54" i="25" s="1"/>
  <c r="J13" i="23"/>
  <c r="J12" i="23"/>
  <c r="B41" i="40"/>
  <c r="B43" i="25" s="1"/>
  <c r="D41" i="40"/>
  <c r="C43" i="25" s="1"/>
  <c r="F41" i="40"/>
  <c r="D43" i="25" s="1"/>
  <c r="H41" i="40"/>
  <c r="E43" i="25" s="1"/>
  <c r="J41" i="40"/>
  <c r="F43" i="25" s="1"/>
  <c r="J33" i="40" l="1"/>
  <c r="F44" i="25" s="1"/>
  <c r="H33" i="40"/>
  <c r="E44" i="25" s="1"/>
  <c r="F33" i="40"/>
  <c r="D44" i="25" s="1"/>
  <c r="D33" i="40"/>
  <c r="C44" i="25" s="1"/>
  <c r="B33" i="40"/>
  <c r="B44" i="25" s="1"/>
  <c r="X55" i="25" l="1"/>
  <c r="M26" i="24" l="1"/>
  <c r="X47" i="25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31" i="24" l="1"/>
  <c r="T29" i="24"/>
  <c r="R33" i="23" l="1"/>
  <c r="S40" i="25" s="1"/>
  <c r="O33" i="23"/>
  <c r="S39" i="25" s="1"/>
  <c r="L33" i="23"/>
  <c r="S38" i="25" s="1"/>
  <c r="T37" i="26" l="1"/>
  <c r="S37" i="26"/>
  <c r="L23" i="27"/>
  <c r="N23" i="27" s="1"/>
  <c r="O23" i="27" s="1"/>
  <c r="U19" i="29" s="1"/>
  <c r="L24" i="27" l="1"/>
  <c r="C17" i="25"/>
  <c r="D17" i="25" s="1"/>
  <c r="E17" i="25" s="1"/>
  <c r="AD18" i="25" s="1"/>
  <c r="C18" i="25"/>
  <c r="D18" i="25" s="1"/>
  <c r="E18" i="25" s="1"/>
  <c r="AD19" i="25" s="1"/>
  <c r="L26" i="27"/>
  <c r="F41" i="26"/>
  <c r="K11" i="25" s="1"/>
  <c r="N26" i="27"/>
  <c r="O26" i="27" s="1"/>
  <c r="U21" i="29" s="1"/>
  <c r="N24" i="27"/>
  <c r="O24" i="27" s="1"/>
  <c r="U20" i="29" s="1"/>
  <c r="C19" i="25" l="1"/>
  <c r="D19" i="25" s="1"/>
  <c r="E19" i="25" s="1"/>
  <c r="AD20" i="25" s="1"/>
  <c r="L29" i="27"/>
  <c r="L32" i="27" l="1"/>
  <c r="N32" i="27" s="1"/>
  <c r="O32" i="27" s="1"/>
  <c r="U23" i="29" s="1"/>
  <c r="C20" i="25"/>
  <c r="D20" i="25" s="1"/>
  <c r="E20" i="25" s="1"/>
  <c r="AD21" i="25" s="1"/>
  <c r="N29" i="27"/>
  <c r="O29" i="27" s="1"/>
  <c r="U22" i="29" s="1"/>
  <c r="L36" i="27" l="1"/>
  <c r="C22" i="25"/>
  <c r="D22" i="25" s="1"/>
  <c r="E22" i="25" s="1"/>
  <c r="AD22" i="25" s="1"/>
  <c r="N36" i="27"/>
  <c r="O36" i="27" s="1"/>
  <c r="U24" i="29" s="1"/>
  <c r="L39" i="27" l="1"/>
  <c r="C25" i="25"/>
  <c r="D25" i="25" s="1"/>
  <c r="E25" i="25" s="1"/>
  <c r="AD23" i="25" s="1"/>
  <c r="N39" i="27"/>
  <c r="O39" i="27" s="1"/>
  <c r="U25" i="29" s="1"/>
  <c r="L43" i="27" l="1"/>
  <c r="C27" i="25"/>
  <c r="D27" i="25" s="1"/>
  <c r="E27" i="25" s="1"/>
  <c r="AD24" i="25" s="1"/>
  <c r="N43" i="27"/>
  <c r="O43" i="27" s="1"/>
  <c r="U26" i="29" s="1"/>
  <c r="L46" i="27" l="1"/>
  <c r="L49" i="27" s="1"/>
  <c r="L50" i="27" s="1"/>
  <c r="C29" i="25"/>
  <c r="D29" i="25" s="1"/>
  <c r="E29" i="25" s="1"/>
  <c r="AD25" i="25" s="1"/>
  <c r="N46" i="27"/>
  <c r="O46" i="27" s="1"/>
  <c r="U27" i="29" s="1"/>
  <c r="C31" i="25" l="1"/>
  <c r="D31" i="25" s="1"/>
  <c r="E31" i="25" s="1"/>
  <c r="AD26" i="25" s="1"/>
  <c r="N49" i="27"/>
  <c r="O49" i="27" s="1"/>
  <c r="U28" i="29" s="1"/>
  <c r="C33" i="25" l="1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1" i="24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<sst xmlns="http://schemas.openxmlformats.org/spreadsheetml/2006/main" count="532" uniqueCount="362">
  <si>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</si>
  <si>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</si>
  <si>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</si>
  <si>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</si>
  <si>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</si>
  <si>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</si>
  <si>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</si>
  <si>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</si>
  <si>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</si>
  <si>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</si>
  <si>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</si>
  <si>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</si>
  <si>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</si>
  <si>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</si>
  <si>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</si>
  <si>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</si>
  <si>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</si>
  <si>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</si>
  <si>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</si>
  <si>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</si>
  <si>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</si>
  <si>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</si>
  <si>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</si>
  <si>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</si>
  <si>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</si>
  <si>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</si>
  <si>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</si>
  <si>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</si>
  <si>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</si>
  <si>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</si>
  <si>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</si>
  <si>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</si>
  <si>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</si>
  <si>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</si>
  <si>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</si>
  <si>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</si>
  <si>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</si>
  <si>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</si>
  <si>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</si>
  <si>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</si>
  <si>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</si>
  <si>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</si>
  <si>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</si>
  <si>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</si>
  <si>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</si>
  <si>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</si>
  <si>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</si>
  <si>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</si>
  <si>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</si>
  <si>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</si>
  <si>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</si>
  <si>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</si>
  <si>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</si>
  <si>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</si>
  <si>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</si>
  <si>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</si>
  <si>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</si>
  <si>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</si>
  <si>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</si>
  <si>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</si>
  <si>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</si>
  <si>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</si>
  <si>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</si>
  <si>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</si>
  <si>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</si>
  <si>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</si>
  <si>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</si>
  <si>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</si>
  <si>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</si>
  <si>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</si>
  <si>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</si>
  <si>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</si>
  <si>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</si>
  <si>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</si>
  <si>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</si>
  <si>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</si>
  <si>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</si>
  <si>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</si>
  <si>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</si>
  <si>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</si>
  <si>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</si>
  <si>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</si>
  <si>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</si>
  <si>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</si>
  <si>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</si>
  <si>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</si>
  <si>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</si>
  <si>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</si>
  <si>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</si>
  <si>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</si>
  <si>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</si>
  <si>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</si>
  <si>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</si>
  <si>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</si>
  <si>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</si>
  <si>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</si>
  <si>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</si>
  <si>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</si>
  <si>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</si>
  <si>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</si>
  <si>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</si>
  <si>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</si>
  <si>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</si>
  <si>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</si>
  <si>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</si>
  <si>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</si>
  <si>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</si>
  <si>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</si>
  <si>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</si>
  <si>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</si>
  <si>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</si>
  <si>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</si>
  <si>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</si>
  <si>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</si>
  <si>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</si>
  <si>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</si>
  <si>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</si>
  <si>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</si>
  <si>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</si>
  <si>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</si>
  <si>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</si>
  <si>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</si>
  <si>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</si>
  <si>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</si>
  <si>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</si>
  <si>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</si>
  <si>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</si>
  <si>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</si>
  <si>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</si>
  <si>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</si>
  <si>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</si>
  <si>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</si>
  <si>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</si>
  <si>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</si>
  <si>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</si>
  <si>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</si>
  <si>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</si>
  <si>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</si>
  <si>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</si>
  <si>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</si>
  <si>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</si>
  <si>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</si>
  <si>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</si>
  <si>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</si>
  <si>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</si>
  <si>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</si>
  <si>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</si>
  <si>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</si>
  <si>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</si>
  <si>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</si>
  <si>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</si>
  <si>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</si>
  <si>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</si>
  <si>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</si>
  <si>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</si>
  <si>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</si>
  <si>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</si>
  <si>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</si>
  <si>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</si>
  <si>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</si>
  <si>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</si>
  <si>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</si>
  <si>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</si>
  <si>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</si>
  <si>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</si>
  <si>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</si>
  <si>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</si>
  <si>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</si>
  <si>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</si>
  <si>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</si>
  <si>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</si>
  <si>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</si>
  <si>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</si>
  <si>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</si>
  <si>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</si>
  <si>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</si>
  <si>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</si>
  <si>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</si>
  <si>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</si>
  <si>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</si>
  <si>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</si>
  <si>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</si>
  <si>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</si>
  <si>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</si>
  <si>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</si>
  <si>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</si>
  <si>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</si>
  <si>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</si>
  <si>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</si>
  <si>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</si>
  <si>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</si>
  <si>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</si>
  <si>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</si>
  <si>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</si>
  <si>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</si>
  <si>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</si>
  <si>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</si>
  <si>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</si>
  <si>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</si>
  <si>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</si>
  <si>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</si>
  <si>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</si>
  <si>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</si>
  <si>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</si>
  <si>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</si>
  <si>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</si>
  <si>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</si>
  <si>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</si>
  <si>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</si>
  <si>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</si>
  <si>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</si>
  <si>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</si>
  <si>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</si>
  <si>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</si>
  <si>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</si>
  <si>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</si>
  <si>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</si>
  <si>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</si>
  <si>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</si>
  <si>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</si>
  <si>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</si>
  <si>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</si>
  <si>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</si>
  <si>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</si>
  <si>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</si>
  <si>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</si>
  <si>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</si>
  <si>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</si>
  <si>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</si>
  <si>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</si>
  <si>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</si>
  <si>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</si>
  <si>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</si>
  <si>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</si>
  <si>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</si>
  <si>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</si>
  <si>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</si>
  <si>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</si>
  <si>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</si>
  <si>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</si>
  <si>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</si>
  <si>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</si>
  <si>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</si>
  <si>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</si>
  <si>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</si>
  <si>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</si>
  <si>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</si>
  <si>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</si>
  <si>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</si>
  <si>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</si>
  <si>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</si>
  <si>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</si>
  <si>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</si>
  <si>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</si>
  <si>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</si>
  <si>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</si>
  <si>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</si>
  <si>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</si>
  <si>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</si>
  <si>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</si>
  <si>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</si>
  <si>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</si>
  <si>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</si>
  <si>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</si>
  <si>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</si>
  <si>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</si>
  <si>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</si>
  <si>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</si>
  <si>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</si>
  <si>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</si>
  <si>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</si>
  <si>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</si>
  <si>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</si>
  <si>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</si>
  <si>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</si>
  <si>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</si>
  <si>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</si>
  <si>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</si>
  <si>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</si>
  <si>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</si>
  <si>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</si>
  <si>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</si>
  <si>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</si>
  <si>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</si>
  <si>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</si>
  <si>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</si>
  <si>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</si>
  <si>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</si>
  <si>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</si>
  <si>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</si>
  <si>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</si>
  <si>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</si>
  <si>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</si>
  <si>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</si>
  <si>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</si>
  <si>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</si>
  <si>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</si>
  <si>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</si>
  <si>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</si>
  <si>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</si>
  <si>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</si>
  <si>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</si>
  <si>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</si>
  <si>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</si>
  <si>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</si>
  <si>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</si>
  <si>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</si>
  <si>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</si>
  <si>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</si>
  <si>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</si>
  <si>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ETUDE</t>
  </si>
  <si>
    <t xml:space="preserve">Poids refus </t>
  </si>
  <si>
    <t>Pourcentage cumulé</t>
  </si>
  <si>
    <t>DB1</t>
  </si>
  <si>
    <t xml:space="preserve">N° de reception: </t>
  </si>
  <si>
    <t>Bureau de Contrôle du Bâtiment et des Travaux Publics</t>
  </si>
  <si>
    <t>Localisation du chantier:  Corniche Pont du Djoué</t>
  </si>
  <si>
    <r>
      <t>Nature de materiaux</t>
    </r>
    <r>
      <rPr>
        <sz val="11"/>
        <color theme="1"/>
        <rFont val="Calibri"/>
        <family val="2"/>
      </rPr>
      <t xml:space="preserve">: </t>
    </r>
  </si>
  <si>
    <t>Provenance:  Puit 5 3ème   couche</t>
  </si>
  <si>
    <t>B19</t>
  </si>
  <si>
    <t>ME</t>
  </si>
  <si>
    <t>03</t>
  </si>
  <si>
    <t>B23</t>
  </si>
  <si>
    <t>B100</t>
  </si>
  <si>
    <t>C</t>
  </si>
  <si>
    <t>36A</t>
  </si>
  <si>
    <t>B48</t>
  </si>
  <si>
    <t>Corniche Pont du Djoué</t>
  </si>
  <si>
    <t>Du 10/12/2019 au 28/12/2019</t>
  </si>
  <si>
    <t>Puit 5 - 3ème couche</t>
  </si>
  <si>
    <t>Sable Gris</t>
  </si>
  <si>
    <t>B9</t>
  </si>
  <si>
    <t>I</t>
  </si>
  <si>
    <t>BG</t>
  </si>
  <si>
    <t>Q</t>
  </si>
  <si>
    <t>Puit 5 - Sable Gris - 3 ème couche</t>
  </si>
  <si>
    <t>T/8</t>
  </si>
  <si>
    <t>Sable Gris  - Puit 5 - 3ème couche</t>
  </si>
  <si>
    <t>Profondeur 1,10 m - 1,50 m</t>
  </si>
  <si>
    <t>B/ville, 28/12/2019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</si>
  <si>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</si>
  <si>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</si>
  <si>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</si>
  <si>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</si>
  <si>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</si>
  <si>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</si>
  <si>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</si>
  <si>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</si>
  <si>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</si>
  <si>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</si>
  <si>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</si>
  <si>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</si>
  <si>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</si>
  <si>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</si>
  <si>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</si>
  <si>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</si>
  <si>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Expérimentateur :BEANGE Grace</t>
  </si>
  <si>
    <t>Date :         17/12/2019</t>
  </si>
  <si>
    <t>Nature :Sable Gris ,Profondeur  1,10 m  - 1,50 m, Puit 5 - 3 ème couche</t>
  </si>
  <si>
    <t>Sable limoneux gris</t>
  </si>
  <si>
    <t>Corniche Brazzaville - Tronçon Fulbert YOULOU Pont du Djoué  - Puit 5 - 3ème couche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</si>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</sst>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302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5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8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9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80" xfId="0" applyNumberFormat="1" applyFont="1" applyFill="1" applyBorder="1" applyAlignment="1">
      <alignment horizontal="center" vertical="center"/>
    </xf>
    <xf numFmtId="9" fontId="44" fillId="9" borderId="181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9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9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9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0" fontId="113" fillId="0" borderId="87" xfId="0" applyFont="1" applyBorder="1" applyAlignment="1">
      <alignment horizontal="right" vertical="center"/>
    </xf>
    <xf numFmtId="164" fontId="113" fillId="0" borderId="87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101" fillId="9" borderId="174" xfId="0" applyFont="1" applyFill="1" applyBorder="1" applyAlignment="1">
      <alignment horizontal="center" vertical="center"/>
    </xf>
    <xf numFmtId="0" fontId="82" fillId="0" borderId="3" xfId="0" applyFont="1" applyBorder="1"/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0" borderId="141" xfId="0" applyFont="1" applyBorder="1" applyAlignment="1">
      <alignment horizontal="right" vertical="center"/>
    </xf>
    <xf numFmtId="49" fontId="5" fillId="0" borderId="67" xfId="0" applyNumberFormat="1" applyFont="1" applyFill="1" applyBorder="1" applyAlignment="1">
      <alignment horizontal="center" vertical="center" wrapText="1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4" xfId="0" applyFont="1" applyFill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0" fillId="0" borderId="76" xfId="0" applyNumberFormat="1" applyFont="1" applyFill="1" applyBorder="1" applyAlignment="1">
      <alignment horizontal="center" vertical="center" wrapText="1"/>
    </xf>
    <xf numFmtId="164" fontId="35" fillId="0" borderId="87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5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0" fontId="79" fillId="0" borderId="148" xfId="0" applyFont="1" applyBorder="1" applyAlignment="1">
      <alignment horizontal="left" vertical="center"/>
    </xf>
    <xf numFmtId="0" fontId="82" fillId="0" borderId="2" xfId="0" applyFont="1" applyBorder="1" applyAlignment="1">
      <alignment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9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" fontId="113" fillId="0" borderId="87" xfId="0" applyNumberFormat="1" applyFont="1" applyBorder="1" applyAlignment="1">
      <alignment horizontal="center" vertical="center"/>
    </xf>
    <xf numFmtId="1" fontId="113" fillId="0" borderId="183" xfId="0" applyNumberFormat="1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0" fontId="102" fillId="9" borderId="175" xfId="0" applyFont="1" applyFill="1" applyBorder="1" applyAlignment="1">
      <alignment horizontal="center" wrapText="1"/>
    </xf>
    <xf numFmtId="0" fontId="102" fillId="9" borderId="8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" fontId="41" fillId="0" borderId="165" xfId="0" applyNumberFormat="1" applyFont="1" applyBorder="1" applyAlignment="1">
      <alignment horizontal="center" vertical="center"/>
    </xf>
    <xf numFmtId="0" fontId="41" fillId="0" borderId="166" xfId="0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5" xfId="0" applyFont="1" applyFill="1" applyBorder="1" applyAlignment="1">
      <alignment horizontal="center" vertical="center" wrapText="1"/>
    </xf>
    <xf numFmtId="0" fontId="102" fillId="9" borderId="8" xfId="0" applyFont="1" applyFill="1" applyBorder="1" applyAlignment="1">
      <alignment horizontal="center" vertical="center" wrapText="1"/>
    </xf>
    <xf numFmtId="0" fontId="101" fillId="9" borderId="176" xfId="0" applyFont="1" applyFill="1" applyBorder="1" applyAlignment="1">
      <alignment horizontal="center" vertical="center"/>
    </xf>
    <xf numFmtId="0" fontId="101" fillId="9" borderId="146" xfId="0" applyFont="1" applyFill="1" applyBorder="1" applyAlignment="1">
      <alignment horizontal="center" vertical="center"/>
    </xf>
    <xf numFmtId="0" fontId="101" fillId="9" borderId="7" xfId="0" applyFont="1" applyFill="1" applyBorder="1" applyAlignment="1">
      <alignment horizontal="center" vertical="center"/>
    </xf>
    <xf numFmtId="0" fontId="101" fillId="9" borderId="170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1" fillId="0" borderId="0" xfId="0" applyFont="1" applyBorder="1" applyAlignment="1">
      <alignment horizontal="left"/>
    </xf>
    <xf numFmtId="0" fontId="82" fillId="0" borderId="4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2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182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1" fillId="0" borderId="0" xfId="0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4" fillId="0" borderId="0" xfId="0" applyFont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81" fillId="0" borderId="5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90" xfId="0" applyFont="1" applyBorder="1" applyAlignment="1">
      <alignment horizontal="center"/>
    </xf>
    <xf numFmtId="164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87" xfId="0" applyFont="1" applyBorder="1" applyAlignment="1">
      <alignment horizontal="center"/>
    </xf>
    <xf numFmtId="164" fontId="82" fillId="0" borderId="1" xfId="0" applyNumberFormat="1" applyFont="1" applyBorder="1" applyAlignment="1">
      <alignment horizontal="center"/>
    </xf>
    <xf numFmtId="0" fontId="81" fillId="0" borderId="87" xfId="0" applyFont="1" applyBorder="1" applyAlignment="1">
      <alignment horizontal="left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0" xfId="0" applyFont="1" applyBorder="1" applyAlignment="1">
      <alignment horizontal="left" vertical="center" wrapText="1"/>
    </xf>
    <xf numFmtId="0" fontId="81" fillId="0" borderId="91" xfId="0" applyFont="1" applyBorder="1" applyAlignment="1">
      <alignment horizontal="left" vertical="center" wrapText="1"/>
    </xf>
    <xf numFmtId="0" fontId="81" fillId="0" borderId="5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4" xfId="0" applyFont="1" applyBorder="1" applyAlignment="1">
      <alignment horizontal="left"/>
    </xf>
    <xf numFmtId="0" fontId="81" fillId="0" borderId="88" xfId="0" applyFont="1" applyBorder="1" applyAlignment="1">
      <alignment horizontal="center" vertic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/>
    </xf>
    <xf numFmtId="0" fontId="81" fillId="0" borderId="90" xfId="0" applyFont="1" applyBorder="1" applyAlignment="1">
      <alignment horizontal="center" wrapText="1"/>
    </xf>
    <xf numFmtId="0" fontId="81" fillId="0" borderId="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0" fontId="81" fillId="0" borderId="8" xfId="0" applyFont="1" applyBorder="1" applyAlignment="1">
      <alignment horizontal="left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6" fillId="0" borderId="2" xfId="0" applyFont="1" applyBorder="1" applyAlignment="1">
      <alignment horizontal="center" wrapText="1"/>
    </xf>
    <xf numFmtId="0" fontId="86" fillId="0" borderId="3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2" fillId="0" borderId="2" xfId="0" applyFont="1" applyBorder="1" applyAlignment="1">
      <alignment horizontal="left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2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85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2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6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8" xfId="0" applyFont="1" applyBorder="1" applyAlignment="1">
      <alignment vertical="top" wrapText="1"/>
    </xf>
    <xf numFmtId="0" fontId="7" fillId="0" borderId="187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9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5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2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2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2" fillId="3" borderId="40" xfId="0" applyNumberFormat="1" applyFont="1" applyFill="1" applyBorder="1" applyAlignment="1">
      <alignment horizontal="center" vertical="center" wrapText="1"/>
    </xf>
    <xf numFmtId="164" fontId="2" fillId="3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8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0" fillId="0" borderId="101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wrapText="1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3" fillId="6" borderId="7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515"/>
          <c:h val="0.9233989566551491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93.7</c:v>
                </c:pt>
                <c:pt idx="3">
                  <c:v>93.7</c:v>
                </c:pt>
                <c:pt idx="4">
                  <c:v>92.3</c:v>
                </c:pt>
                <c:pt idx="5">
                  <c:v>90.766666666666666</c:v>
                </c:pt>
                <c:pt idx="6">
                  <c:v>88.733333333333334</c:v>
                </c:pt>
                <c:pt idx="7">
                  <c:v>72.26666666666668</c:v>
                </c:pt>
                <c:pt idx="8">
                  <c:v>44.20000000000001</c:v>
                </c:pt>
                <c:pt idx="9">
                  <c:v>23.933333333333337</c:v>
                </c:pt>
                <c:pt idx="10">
                  <c:v>21.066666666666663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854848"/>
        <c:axId val="255896960"/>
      </c:scatterChart>
      <c:valAx>
        <c:axId val="255854848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55896960"/>
        <c:crosses val="autoZero"/>
        <c:crossBetween val="midCat"/>
      </c:valAx>
      <c:valAx>
        <c:axId val="25589696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55854848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25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6.0735008797428716</c:v>
                </c:pt>
                <c:pt idx="1">
                  <c:v>8.0130121579681681</c:v>
                </c:pt>
                <c:pt idx="2">
                  <c:v>10.024207032517285</c:v>
                </c:pt>
                <c:pt idx="3">
                  <c:v>12.247274195719477</c:v>
                </c:pt>
                <c:pt idx="4">
                  <c:v>14.153554994536464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1.7998716834881141</c:v>
                </c:pt>
                <c:pt idx="1">
                  <c:v>1.9151746278169886</c:v>
                </c:pt>
                <c:pt idx="2">
                  <c:v>1.9771016300663706</c:v>
                </c:pt>
                <c:pt idx="3">
                  <c:v>1.8956112088644199</c:v>
                </c:pt>
                <c:pt idx="4">
                  <c:v>1.8093785209421618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 formatCode="0.00">
                  <c:v>9.9</c:v>
                </c:pt>
                <c:pt idx="1">
                  <c:v>9.9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 formatCode="0.000">
                  <c:v>1.9750000000000001</c:v>
                </c:pt>
                <c:pt idx="1">
                  <c:v>1.86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9.9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1.9750000000000001</c:v>
                </c:pt>
                <c:pt idx="1">
                  <c:v>1.9750000000000001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236672"/>
        <c:axId val="271202176"/>
      </c:scatterChart>
      <c:valAx>
        <c:axId val="270236672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1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1202176"/>
        <c:crossesAt val="1.2"/>
        <c:crossBetween val="midCat"/>
        <c:majorUnit val="2"/>
      </c:valAx>
      <c:valAx>
        <c:axId val="271202176"/>
        <c:scaling>
          <c:orientation val="minMax"/>
          <c:max val="2"/>
          <c:min val="1.76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0236672"/>
        <c:crossesAt val="1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24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12.933014577259481</c:v>
                </c:pt>
                <c:pt idx="1">
                  <c:v>9.2778872691933945</c:v>
                </c:pt>
                <c:pt idx="2">
                  <c:v>5.8151350826044714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1.974835917276859</c:v>
                </c:pt>
                <c:pt idx="1">
                  <c:v>1.8762613554023981</c:v>
                </c:pt>
                <c:pt idx="2">
                  <c:v>1.7777783914527467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9.3000000000000007</c:v>
                </c:pt>
                <c:pt idx="1">
                  <c:v>9.3000000000000007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1.87625</c:v>
                </c:pt>
                <c:pt idx="1">
                  <c:v>1.74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4</c:v>
                </c:pt>
                <c:pt idx="1">
                  <c:v>9.3000000000000007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1.87625</c:v>
                </c:pt>
                <c:pt idx="1">
                  <c:v>1.87625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370304"/>
        <c:axId val="270397440"/>
      </c:scatterChart>
      <c:valAx>
        <c:axId val="270370304"/>
        <c:scaling>
          <c:orientation val="minMax"/>
          <c:max val="15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2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0397440"/>
        <c:crossesAt val="1.4"/>
        <c:crossBetween val="midCat"/>
        <c:majorUnit val="4"/>
        <c:minorUnit val="0.4"/>
      </c:valAx>
      <c:valAx>
        <c:axId val="270397440"/>
        <c:scaling>
          <c:orientation val="minMax"/>
          <c:max val="2"/>
          <c:min val="1.74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2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0370304"/>
        <c:crossesAt val="0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73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46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93.7</c:v>
                </c:pt>
                <c:pt idx="3">
                  <c:v>93.7</c:v>
                </c:pt>
                <c:pt idx="4">
                  <c:v>92.3</c:v>
                </c:pt>
                <c:pt idx="5">
                  <c:v>90.766666666666666</c:v>
                </c:pt>
                <c:pt idx="6">
                  <c:v>88.733333333333334</c:v>
                </c:pt>
                <c:pt idx="7">
                  <c:v>72.266666666666666</c:v>
                </c:pt>
                <c:pt idx="8">
                  <c:v>44.2</c:v>
                </c:pt>
                <c:pt idx="9">
                  <c:v>23.933333333333337</c:v>
                </c:pt>
                <c:pt idx="10">
                  <c:v>21.066666666666663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899840"/>
        <c:axId val="270935168"/>
      </c:scatterChart>
      <c:valAx>
        <c:axId val="270899840"/>
        <c:scaling>
          <c:logBase val="10"/>
          <c:orientation val="maxMin"/>
          <c:max val="100"/>
          <c:min val="1.0000000000000022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36"/>
              <c:y val="0.910251233648479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70935168"/>
        <c:crosses val="autoZero"/>
        <c:crossBetween val="midCat"/>
        <c:majorUnit val="10"/>
      </c:valAx>
      <c:valAx>
        <c:axId val="270935168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70899840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" footer="0.4921259845000005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5 3 ème 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4409007088084442"/>
          <c:y val="1.104362161005022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94"/>
          <c:h val="0.73334272240360243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 (2)'!$B$41,'Proctor C01 (2)'!$D$41,'Proctor C01 (2)'!$F$41,'Proctor C01 (2)'!$H$41,'Proctor C01 (2)'!$J$41)</c:f>
              <c:numCache>
                <c:formatCode>0.0</c:formatCode>
                <c:ptCount val="5"/>
                <c:pt idx="0">
                  <c:v>6.0735008797428716</c:v>
                </c:pt>
                <c:pt idx="1">
                  <c:v>8.0130121579681681</c:v>
                </c:pt>
                <c:pt idx="2">
                  <c:v>10.024207032517285</c:v>
                </c:pt>
                <c:pt idx="3">
                  <c:v>12.247274195719477</c:v>
                </c:pt>
                <c:pt idx="4">
                  <c:v>14.153554994536464</c:v>
                </c:pt>
              </c:numCache>
            </c:numRef>
          </c:xVal>
          <c:yVal>
            <c:numRef>
              <c:f>('Proctor C01 (2)'!$B$33,'Proctor C01 (2)'!$D$33,'Proctor C01 (2)'!$F$33,'Proctor C01 (2)'!$H$33,'Proctor C01 (2)'!$J$33)</c:f>
              <c:numCache>
                <c:formatCode>0.00</c:formatCode>
                <c:ptCount val="5"/>
                <c:pt idx="0">
                  <c:v>1.7998716834881141</c:v>
                </c:pt>
                <c:pt idx="1">
                  <c:v>1.9151746278169886</c:v>
                </c:pt>
                <c:pt idx="2">
                  <c:v>1.9771016300663706</c:v>
                </c:pt>
                <c:pt idx="3">
                  <c:v>1.8956112088644199</c:v>
                </c:pt>
                <c:pt idx="4">
                  <c:v>1.8093785209421618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37A-49D7-AA84-66BC4695A133}"/>
            </c:ext>
          </c:extLst>
        </c:ser>
        <c:ser>
          <c:idx val="1"/>
          <c:order val="1"/>
          <c:tx>
            <c:strRef>
              <c:f>'Proctor C01 (2)'!$O$52:$O$53</c:f>
              <c:strCache>
                <c:ptCount val="1"/>
                <c:pt idx="0">
                  <c:v>1,975 1,86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 (2)'!$N$52:$N$53</c:f>
              <c:numCache>
                <c:formatCode>General</c:formatCode>
                <c:ptCount val="2"/>
                <c:pt idx="0">
                  <c:v>9.9</c:v>
                </c:pt>
                <c:pt idx="1">
                  <c:v>9.9</c:v>
                </c:pt>
              </c:numCache>
            </c:numRef>
          </c:xVal>
          <c:yVal>
            <c:numRef>
              <c:f>'Proctor C01 (2)'!$O$52:$O$53</c:f>
              <c:numCache>
                <c:formatCode>General</c:formatCode>
                <c:ptCount val="2"/>
                <c:pt idx="0">
                  <c:v>1.9750000000000001</c:v>
                </c:pt>
                <c:pt idx="1">
                  <c:v>1.86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37A-49D7-AA84-66BC4695A133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 (2)'!$O$55:$O$56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xVal>
          <c:yVal>
            <c:numRef>
              <c:f>'Proctor C01 (2)'!$N$55:$N$56</c:f>
              <c:numCache>
                <c:formatCode>General</c:formatCode>
                <c:ptCount val="2"/>
                <c:pt idx="0">
                  <c:v>1.9750000000000001</c:v>
                </c:pt>
                <c:pt idx="1">
                  <c:v>1.9750000000000001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37A-49D7-AA84-66BC4695A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176832"/>
        <c:axId val="271178752"/>
      </c:scatterChart>
      <c:valAx>
        <c:axId val="271176832"/>
        <c:scaling>
          <c:orientation val="minMax"/>
          <c:max val="1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1178752"/>
        <c:crosses val="autoZero"/>
        <c:crossBetween val="midCat"/>
        <c:minorUnit val="0.2"/>
      </c:valAx>
      <c:valAx>
        <c:axId val="271178752"/>
        <c:scaling>
          <c:orientation val="minMax"/>
          <c:max val="2.02"/>
          <c:min val="1.7800000000000002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1176832"/>
        <c:crosses val="autoZero"/>
        <c:crossBetween val="midCat"/>
        <c:majorUnit val="8.0000000000000043E-2"/>
        <c:minorUnit val="8.0000000000000071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4.8621600000000011</c:v>
                </c:pt>
                <c:pt idx="2">
                  <c:v>28.616640000000004</c:v>
                </c:pt>
                <c:pt idx="3">
                  <c:v>62.268820000000005</c:v>
                </c:pt>
                <c:pt idx="4">
                  <c:v>88.00284000000002</c:v>
                </c:pt>
                <c:pt idx="5">
                  <c:v>113.73685999999999</c:v>
                </c:pt>
                <c:pt idx="6">
                  <c:v>266.16144000000008</c:v>
                </c:pt>
                <c:pt idx="7">
                  <c:v>318.61924999999997</c:v>
                </c:pt>
                <c:pt idx="8">
                  <c:v>481.93130000000002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2.8826200000000002</c:v>
                </c:pt>
                <c:pt idx="2">
                  <c:v>11.79055</c:v>
                </c:pt>
                <c:pt idx="3">
                  <c:v>24.657560000000004</c:v>
                </c:pt>
                <c:pt idx="4">
                  <c:v>41.483649999999997</c:v>
                </c:pt>
                <c:pt idx="5">
                  <c:v>71.176749999999998</c:v>
                </c:pt>
                <c:pt idx="6">
                  <c:v>190.93892000000005</c:v>
                </c:pt>
                <c:pt idx="7">
                  <c:v>239.43765000000002</c:v>
                </c:pt>
                <c:pt idx="8">
                  <c:v>381.96453000000008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0.90308000000000055</c:v>
                </c:pt>
                <c:pt idx="2">
                  <c:v>4.8621600000000011</c:v>
                </c:pt>
                <c:pt idx="3">
                  <c:v>11.79055</c:v>
                </c:pt>
                <c:pt idx="4">
                  <c:v>26.6371</c:v>
                </c:pt>
                <c:pt idx="5">
                  <c:v>46.432500000000005</c:v>
                </c:pt>
                <c:pt idx="6">
                  <c:v>119.67548000000001</c:v>
                </c:pt>
                <c:pt idx="7">
                  <c:v>139.47088000000002</c:v>
                </c:pt>
                <c:pt idx="8">
                  <c:v>279.02845000000002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431936"/>
        <c:axId val="271450112"/>
      </c:scatterChart>
      <c:valAx>
        <c:axId val="271431936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1450112"/>
        <c:crosses val="autoZero"/>
        <c:crossBetween val="midCat"/>
        <c:majorUnit val="1"/>
      </c:valAx>
      <c:valAx>
        <c:axId val="27145011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53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1431936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28"/>
          <c:y val="7.8300011497037192E-2"/>
          <c:w val="0.25008721592916122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4" footer="0.49212598450000034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5 - 3ème couche</a:t>
            </a:r>
            <a:endParaRPr lang="fr-FR" b="1"/>
          </a:p>
        </c:rich>
      </c:tx>
      <c:layout>
        <c:manualLayout>
          <c:xMode val="edge"/>
          <c:yMode val="edge"/>
          <c:x val="0.31941590407260051"/>
          <c:y val="3.92586119329487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5004E-2"/>
          <c:y val="0.13004239854633581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12.933014577259481</c:v>
                </c:pt>
                <c:pt idx="1">
                  <c:v>9.2778872691933945</c:v>
                </c:pt>
                <c:pt idx="2">
                  <c:v>5.8151350826044714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1.974835917276859</c:v>
                </c:pt>
                <c:pt idx="1">
                  <c:v>1.8762613554023981</c:v>
                </c:pt>
                <c:pt idx="2">
                  <c:v>1.7777783914527467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9.3000000000000007</c:v>
                </c:pt>
                <c:pt idx="1">
                  <c:v>9.3000000000000007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1.87625</c:v>
                </c:pt>
                <c:pt idx="1">
                  <c:v>1.76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9.3000000000000007</c:v>
                </c:pt>
                <c:pt idx="1">
                  <c:v>4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1.87625</c:v>
                </c:pt>
                <c:pt idx="1">
                  <c:v>1.87625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871040"/>
        <c:axId val="274873344"/>
      </c:scatterChart>
      <c:valAx>
        <c:axId val="274871040"/>
        <c:scaling>
          <c:orientation val="minMax"/>
          <c:max val="14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4873344"/>
        <c:crossesAt val="1.4"/>
        <c:crossBetween val="midCat"/>
        <c:majorUnit val="2"/>
        <c:minorUnit val="0.2"/>
      </c:valAx>
      <c:valAx>
        <c:axId val="274873344"/>
        <c:scaling>
          <c:orientation val="minMax"/>
          <c:max val="2"/>
          <c:min val="1.76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799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4871040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45" footer="0.4921259845000004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156320</xdr:colOff>
      <xdr:row>47</xdr:row>
      <xdr:rowOff>185628</xdr:rowOff>
    </xdr:from>
    <xdr:to>
      <xdr:col>14</xdr:col>
      <xdr:colOff>105614</xdr:colOff>
      <xdr:row>49</xdr:row>
      <xdr:rowOff>136184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859864" y="7856054"/>
          <a:ext cx="1036265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14</xdr:col>
      <xdr:colOff>390245</xdr:colOff>
      <xdr:row>54</xdr:row>
      <xdr:rowOff>68077</xdr:rowOff>
    </xdr:from>
    <xdr:to>
      <xdr:col>18</xdr:col>
      <xdr:colOff>287150</xdr:colOff>
      <xdr:row>55</xdr:row>
      <xdr:rowOff>133543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790080" y="9011772"/>
          <a:ext cx="821390" cy="25456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9</a:t>
          </a:r>
        </a:p>
      </xdr:txBody>
    </xdr:sp>
    <xdr:clientData/>
  </xdr:twoCellAnchor>
  <xdr:twoCellAnchor>
    <xdr:from>
      <xdr:col>3</xdr:col>
      <xdr:colOff>247931</xdr:colOff>
      <xdr:row>50</xdr:row>
      <xdr:rowOff>178790</xdr:rowOff>
    </xdr:from>
    <xdr:to>
      <xdr:col>6</xdr:col>
      <xdr:colOff>175541</xdr:colOff>
      <xdr:row>52</xdr:row>
      <xdr:rowOff>192797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298482" y="8352080"/>
          <a:ext cx="1300331" cy="392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1,975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9,9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393854</xdr:colOff>
      <xdr:row>13</xdr:row>
      <xdr:rowOff>27323</xdr:rowOff>
    </xdr:from>
    <xdr:to>
      <xdr:col>8</xdr:col>
      <xdr:colOff>671984</xdr:colOff>
      <xdr:row>13</xdr:row>
      <xdr:rowOff>27323</xdr:rowOff>
    </xdr:to>
    <xdr:cxnSp macro="">
      <xdr:nvCxnSpPr>
        <xdr:cNvPr id="4" name="Connecteur droit 3"/>
        <xdr:cNvCxnSpPr/>
      </xdr:nvCxnSpPr>
      <xdr:spPr>
        <a:xfrm>
          <a:off x="5358399" y="2682778"/>
          <a:ext cx="17790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14</xdr:row>
      <xdr:rowOff>175645</xdr:rowOff>
    </xdr:from>
    <xdr:to>
      <xdr:col>9</xdr:col>
      <xdr:colOff>405</xdr:colOff>
      <xdr:row>14</xdr:row>
      <xdr:rowOff>175645</xdr:rowOff>
    </xdr:to>
    <xdr:cxnSp macro="">
      <xdr:nvCxnSpPr>
        <xdr:cNvPr id="5" name="Connecteur droit 4"/>
        <xdr:cNvCxnSpPr/>
      </xdr:nvCxnSpPr>
      <xdr:spPr>
        <a:xfrm flipV="1">
          <a:off x="4451927" y="3023524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  <xdr:twoCellAnchor>
    <xdr:from>
      <xdr:col>5</xdr:col>
      <xdr:colOff>266700</xdr:colOff>
      <xdr:row>14</xdr:row>
      <xdr:rowOff>185266</xdr:rowOff>
    </xdr:from>
    <xdr:to>
      <xdr:col>9</xdr:col>
      <xdr:colOff>405</xdr:colOff>
      <xdr:row>14</xdr:row>
      <xdr:rowOff>185266</xdr:rowOff>
    </xdr:to>
    <xdr:cxnSp macro="">
      <xdr:nvCxnSpPr>
        <xdr:cNvPr id="12" name="Connecteur droit 11"/>
        <xdr:cNvCxnSpPr/>
      </xdr:nvCxnSpPr>
      <xdr:spPr>
        <a:xfrm flipV="1">
          <a:off x="4457700" y="3004666"/>
          <a:ext cx="27436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13335</xdr:rowOff>
    </xdr:from>
    <xdr:to>
      <xdr:col>11</xdr:col>
      <xdr:colOff>7620</xdr:colOff>
      <xdr:row>55</xdr:row>
      <xdr:rowOff>276225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0.41025</cdr:x>
      <cdr:y>0.56569</cdr:y>
    </cdr:from>
    <cdr:to>
      <cdr:x>0.62268</cdr:x>
      <cdr:y>0.78859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3045917" y="1337282"/>
          <a:ext cx="1577189" cy="52693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dens.1,975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9,9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47</xdr:row>
      <xdr:rowOff>53340</xdr:rowOff>
    </xdr:from>
    <xdr:to>
      <xdr:col>4</xdr:col>
      <xdr:colOff>166140</xdr:colOff>
      <xdr:row>47</xdr:row>
      <xdr:rowOff>53340</xdr:rowOff>
    </xdr:to>
    <xdr:cxnSp macro="">
      <xdr:nvCxnSpPr>
        <xdr:cNvPr id="4" name="Connecteur droit avec flèche 3"/>
        <xdr:cNvCxnSpPr/>
      </xdr:nvCxnSpPr>
      <xdr:spPr>
        <a:xfrm flipH="1" flipV="1">
          <a:off x="137160" y="8940165"/>
          <a:ext cx="147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48</xdr:row>
      <xdr:rowOff>38100</xdr:rowOff>
    </xdr:from>
    <xdr:to>
      <xdr:col>2</xdr:col>
      <xdr:colOff>236220</xdr:colOff>
      <xdr:row>48</xdr:row>
      <xdr:rowOff>38100</xdr:rowOff>
    </xdr:to>
    <xdr:cxnSp macro="">
      <xdr:nvCxnSpPr>
        <xdr:cNvPr id="5" name="Connecteur droit avec flèche 4"/>
        <xdr:cNvCxnSpPr/>
      </xdr:nvCxnSpPr>
      <xdr:spPr>
        <a:xfrm flipH="1">
          <a:off x="144780" y="9029700"/>
          <a:ext cx="7486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9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36" zoomScaleNormal="136" workbookViewId="0">
      <selection activeCell="G12" sqref="G12:J12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91" t="s">
        <v>315</v>
      </c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2"/>
    </row>
    <row r="2" spans="1:29" ht="19.149999999999999" customHeight="1" x14ac:dyDescent="0.25">
      <c r="A2" s="593"/>
      <c r="B2" s="594"/>
      <c r="C2" s="594"/>
      <c r="D2" s="594"/>
      <c r="E2" s="595"/>
      <c r="F2" s="595"/>
      <c r="G2" s="595"/>
      <c r="H2" s="595"/>
      <c r="I2" s="595"/>
      <c r="J2" s="595"/>
      <c r="K2" s="595"/>
      <c r="L2" s="595"/>
      <c r="M2" s="596" t="s">
        <v>305</v>
      </c>
      <c r="N2" s="596"/>
      <c r="O2" s="596"/>
      <c r="P2" s="596"/>
      <c r="Q2" s="596"/>
      <c r="R2" s="596"/>
      <c r="S2" s="596"/>
      <c r="T2" s="596"/>
      <c r="U2" s="596"/>
      <c r="V2" s="597"/>
    </row>
    <row r="3" spans="1:29" ht="16.149999999999999" customHeight="1" x14ac:dyDescent="0.25">
      <c r="A3" s="598" t="s">
        <v>161</v>
      </c>
      <c r="B3" s="599"/>
      <c r="C3" s="599"/>
      <c r="D3" s="599"/>
      <c r="E3" s="600" t="s">
        <v>360</v>
      </c>
      <c r="F3" s="601"/>
      <c r="G3" s="601"/>
      <c r="H3" s="601"/>
      <c r="I3" s="601"/>
      <c r="J3" s="601"/>
      <c r="K3" s="601"/>
      <c r="L3" s="601"/>
      <c r="M3" s="601"/>
      <c r="N3" s="601"/>
      <c r="O3" s="601"/>
      <c r="P3" s="601"/>
      <c r="Q3" s="601"/>
      <c r="R3" s="601"/>
      <c r="S3" s="601"/>
      <c r="T3" s="601"/>
      <c r="U3" s="601"/>
      <c r="V3" s="602"/>
    </row>
    <row r="4" spans="1:29" ht="20.45" customHeight="1" x14ac:dyDescent="0.25">
      <c r="A4" s="603" t="s">
        <v>162</v>
      </c>
      <c r="B4" s="541"/>
      <c r="C4" s="541"/>
      <c r="D4" s="541"/>
      <c r="E4" s="604"/>
      <c r="F4" s="605">
        <v>43808</v>
      </c>
      <c r="G4" s="606"/>
      <c r="H4" s="606"/>
      <c r="I4" s="607"/>
      <c r="J4" s="608" t="s">
        <v>163</v>
      </c>
      <c r="K4" s="609"/>
      <c r="L4" s="609"/>
      <c r="M4" s="610"/>
      <c r="N4" s="611">
        <v>43809</v>
      </c>
      <c r="O4" s="612"/>
      <c r="P4" s="612"/>
      <c r="Q4" s="612"/>
      <c r="R4" s="612"/>
      <c r="S4" s="353" t="s">
        <v>136</v>
      </c>
      <c r="T4" s="612">
        <v>43827</v>
      </c>
      <c r="U4" s="613"/>
      <c r="V4" s="614"/>
    </row>
    <row r="5" spans="1:29" ht="7.15" customHeight="1" thickBot="1" x14ac:dyDescent="0.3">
      <c r="A5" s="588"/>
      <c r="B5" s="589"/>
      <c r="C5" s="589"/>
      <c r="D5" s="589"/>
      <c r="E5" s="589"/>
      <c r="F5" s="589"/>
      <c r="G5" s="589"/>
      <c r="H5" s="589"/>
      <c r="I5" s="589"/>
      <c r="J5" s="589"/>
      <c r="K5" s="589"/>
      <c r="L5" s="589"/>
      <c r="M5" s="589"/>
      <c r="N5" s="589"/>
      <c r="O5" s="589"/>
      <c r="P5" s="589"/>
      <c r="Q5" s="589"/>
      <c r="R5" s="589"/>
      <c r="S5" s="589"/>
      <c r="T5" s="589"/>
      <c r="U5" s="589"/>
      <c r="V5" s="590"/>
    </row>
    <row r="6" spans="1:29" ht="16.5" thickBot="1" x14ac:dyDescent="0.3">
      <c r="A6" s="631" t="s">
        <v>164</v>
      </c>
      <c r="B6" s="632"/>
      <c r="C6" s="632"/>
      <c r="D6" s="632"/>
      <c r="E6" s="633"/>
      <c r="F6" s="634" t="s">
        <v>359</v>
      </c>
      <c r="G6" s="635"/>
      <c r="H6" s="635"/>
      <c r="I6" s="635"/>
      <c r="J6" s="635"/>
      <c r="K6" s="635"/>
      <c r="L6" s="635"/>
      <c r="M6" s="635"/>
      <c r="N6" s="635"/>
      <c r="O6" s="635"/>
      <c r="P6" s="635"/>
      <c r="Q6" s="635"/>
      <c r="R6" s="635"/>
      <c r="S6" s="635"/>
      <c r="T6" s="635"/>
      <c r="U6" s="635"/>
      <c r="V6" s="636"/>
    </row>
    <row r="7" spans="1:29" ht="14.45" customHeight="1" x14ac:dyDescent="0.25">
      <c r="A7" s="637" t="s">
        <v>165</v>
      </c>
      <c r="B7" s="638"/>
      <c r="C7" s="638"/>
      <c r="D7" s="638"/>
      <c r="E7" s="638"/>
      <c r="F7" s="639" t="s">
        <v>338</v>
      </c>
      <c r="G7" s="639"/>
      <c r="H7" s="639"/>
      <c r="I7" s="639"/>
      <c r="J7" s="639"/>
      <c r="K7" s="639"/>
      <c r="L7" s="639"/>
      <c r="M7" s="639"/>
      <c r="N7" s="639"/>
      <c r="O7" s="639"/>
      <c r="P7" s="639"/>
      <c r="Q7" s="639"/>
      <c r="R7" s="639"/>
      <c r="S7" s="639"/>
      <c r="T7" s="639"/>
      <c r="U7" s="639"/>
      <c r="V7" s="640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641"/>
      <c r="B9" s="642"/>
      <c r="C9" s="642"/>
      <c r="D9" s="642"/>
      <c r="E9" s="642"/>
      <c r="F9" s="642"/>
      <c r="G9" s="642"/>
      <c r="H9" s="642"/>
      <c r="I9" s="642"/>
      <c r="J9" s="642"/>
      <c r="K9" s="642"/>
      <c r="L9" s="642"/>
      <c r="M9" s="642"/>
      <c r="N9" s="642"/>
      <c r="O9" s="642"/>
      <c r="P9" s="642"/>
      <c r="Q9" s="642"/>
      <c r="R9" s="642"/>
      <c r="S9" s="642"/>
      <c r="T9" s="642"/>
      <c r="U9" s="642"/>
      <c r="V9" s="643"/>
    </row>
    <row r="10" spans="1:29" ht="18.600000000000001" customHeight="1" thickBot="1" x14ac:dyDescent="0.3">
      <c r="A10" s="357" t="s">
        <v>166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167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168</v>
      </c>
      <c r="B11" s="364"/>
      <c r="C11" s="364"/>
      <c r="D11" s="644"/>
      <c r="E11" s="645"/>
      <c r="F11" s="646"/>
      <c r="G11" s="653" t="s">
        <v>169</v>
      </c>
      <c r="H11" s="654"/>
      <c r="I11" s="654"/>
      <c r="J11" s="655"/>
      <c r="K11" s="656">
        <f>'Teneur en eau 2 P1 '!F41</f>
        <v>12.056599056161517</v>
      </c>
      <c r="L11" s="657"/>
      <c r="M11" s="658"/>
      <c r="N11" s="659"/>
      <c r="O11" s="660"/>
      <c r="P11" s="660"/>
      <c r="Q11" s="660"/>
      <c r="R11" s="660"/>
      <c r="S11" s="660"/>
      <c r="T11" s="660"/>
      <c r="U11" s="660"/>
      <c r="V11" s="661"/>
    </row>
    <row r="12" spans="1:29" ht="23.45" customHeight="1" x14ac:dyDescent="0.25">
      <c r="A12" s="365" t="s">
        <v>170</v>
      </c>
      <c r="B12" s="366"/>
      <c r="C12" s="366"/>
      <c r="D12" s="617" t="s">
        <v>136</v>
      </c>
      <c r="E12" s="618"/>
      <c r="F12" s="619"/>
      <c r="G12" s="620" t="s">
        <v>361</v>
      </c>
      <c r="H12" s="621"/>
      <c r="I12" s="621"/>
      <c r="J12" s="622"/>
      <c r="K12" s="623">
        <f>PS!G42</f>
        <v>2.5536623678148413</v>
      </c>
      <c r="L12" s="624"/>
      <c r="M12" s="625"/>
      <c r="N12" s="626" t="s">
        <v>171</v>
      </c>
      <c r="O12" s="627"/>
      <c r="P12" s="627"/>
      <c r="Q12" s="628"/>
      <c r="R12" s="629">
        <v>29</v>
      </c>
      <c r="S12" s="627"/>
      <c r="T12" s="627"/>
      <c r="U12" s="627"/>
      <c r="V12" s="630"/>
      <c r="AB12">
        <v>300</v>
      </c>
    </row>
    <row r="13" spans="1:29" ht="16.149999999999999" customHeight="1" thickBot="1" x14ac:dyDescent="0.3">
      <c r="A13" s="367" t="s">
        <v>172</v>
      </c>
      <c r="B13" s="368"/>
      <c r="C13" s="368"/>
      <c r="D13" s="585" t="s">
        <v>136</v>
      </c>
      <c r="E13" s="586"/>
      <c r="F13" s="587"/>
      <c r="G13" s="369" t="s">
        <v>173</v>
      </c>
      <c r="H13" s="370"/>
      <c r="I13" s="370"/>
      <c r="J13" s="371"/>
      <c r="K13" s="567">
        <f>E34</f>
        <v>21.066666666666663</v>
      </c>
      <c r="L13" s="581"/>
      <c r="M13" s="582"/>
      <c r="N13" s="564" t="s">
        <v>174</v>
      </c>
      <c r="O13" s="565"/>
      <c r="P13" s="565"/>
      <c r="Q13" s="566"/>
      <c r="R13" s="567" t="s">
        <v>136</v>
      </c>
      <c r="S13" s="565"/>
      <c r="T13" s="565"/>
      <c r="U13" s="565"/>
      <c r="V13" s="568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175</v>
      </c>
      <c r="C15" s="615" t="s">
        <v>311</v>
      </c>
      <c r="D15" s="647" t="s">
        <v>312</v>
      </c>
      <c r="E15" s="649" t="s">
        <v>270</v>
      </c>
      <c r="F15" s="650"/>
      <c r="G15" s="378" t="s">
        <v>176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x14ac:dyDescent="0.25">
      <c r="A16" s="380"/>
      <c r="B16" s="484" t="s">
        <v>177</v>
      </c>
      <c r="C16" s="616"/>
      <c r="D16" s="648"/>
      <c r="E16" s="651"/>
      <c r="F16" s="652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1"/>
      <c r="AC16" s="320">
        <v>63</v>
      </c>
    </row>
    <row r="17" spans="1:31" ht="12" customHeight="1" x14ac:dyDescent="0.25">
      <c r="A17" s="376"/>
      <c r="B17" s="382">
        <v>40</v>
      </c>
      <c r="C17" s="478">
        <f>'Granulo P1'!L23</f>
        <v>0</v>
      </c>
      <c r="D17" s="480">
        <f>(C17*100)/'Granulo P1'!C17:C18</f>
        <v>0</v>
      </c>
      <c r="E17" s="583">
        <f>100-D17</f>
        <v>100</v>
      </c>
      <c r="F17" s="584"/>
      <c r="G17" s="485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1"/>
      <c r="AC17" s="320">
        <v>50</v>
      </c>
    </row>
    <row r="18" spans="1:31" ht="12" customHeight="1" x14ac:dyDescent="0.25">
      <c r="A18" s="376"/>
      <c r="B18" s="382">
        <v>31.5</v>
      </c>
      <c r="C18" s="479">
        <f>'Granulo P1'!L24</f>
        <v>0</v>
      </c>
      <c r="D18" s="474">
        <f>(C18*100)/'Granulo P1'!C17</f>
        <v>0</v>
      </c>
      <c r="E18" s="493">
        <f t="shared" ref="E18:E34" si="0">100-D18</f>
        <v>100</v>
      </c>
      <c r="F18" s="494"/>
      <c r="G18" s="485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1"/>
      <c r="Z18" s="563"/>
      <c r="AA18" s="563"/>
      <c r="AB18" s="320"/>
      <c r="AC18" s="320">
        <v>40</v>
      </c>
      <c r="AD18" s="475">
        <f>E17</f>
        <v>100</v>
      </c>
    </row>
    <row r="19" spans="1:31" ht="10.15" customHeight="1" x14ac:dyDescent="0.25">
      <c r="A19" s="376"/>
      <c r="B19" s="382">
        <v>20</v>
      </c>
      <c r="C19" s="479">
        <f>'Granulo P1'!L26</f>
        <v>18.899999999999999</v>
      </c>
      <c r="D19" s="474">
        <f>(C19*100)/'Granulo P1'!C17</f>
        <v>6.2999999999999989</v>
      </c>
      <c r="E19" s="493">
        <f t="shared" si="0"/>
        <v>93.7</v>
      </c>
      <c r="F19" s="494"/>
      <c r="G19" s="485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1"/>
      <c r="Z19" s="563"/>
      <c r="AA19" s="563"/>
      <c r="AB19" s="320"/>
      <c r="AC19" s="320">
        <v>31.5</v>
      </c>
      <c r="AD19" s="475">
        <f>E18</f>
        <v>100</v>
      </c>
    </row>
    <row r="20" spans="1:31" ht="11.45" customHeight="1" x14ac:dyDescent="0.25">
      <c r="A20" s="376"/>
      <c r="B20" s="382">
        <v>10</v>
      </c>
      <c r="C20" s="478">
        <f>'Granulo P1'!L29</f>
        <v>18.899999999999999</v>
      </c>
      <c r="D20" s="474">
        <f>(C20*100)/'Granulo P1'!C17</f>
        <v>6.2999999999999989</v>
      </c>
      <c r="E20" s="493">
        <f t="shared" si="0"/>
        <v>93.7</v>
      </c>
      <c r="F20" s="494"/>
      <c r="G20" s="485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1"/>
      <c r="Z20" s="563"/>
      <c r="AA20" s="563"/>
      <c r="AB20" s="320"/>
      <c r="AC20" s="320">
        <v>20</v>
      </c>
      <c r="AD20" s="475">
        <f>E19</f>
        <v>93.7</v>
      </c>
    </row>
    <row r="21" spans="1:31" ht="10.15" customHeight="1" x14ac:dyDescent="0.25">
      <c r="A21" s="376"/>
      <c r="B21" s="382">
        <v>6.3</v>
      </c>
      <c r="C21" s="479"/>
      <c r="D21" s="474"/>
      <c r="E21" s="493"/>
      <c r="F21" s="494"/>
      <c r="G21" s="485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1"/>
      <c r="Z21" s="563"/>
      <c r="AA21" s="563"/>
      <c r="AB21" s="320"/>
      <c r="AC21" s="320">
        <v>10</v>
      </c>
      <c r="AD21" s="475">
        <f>E20</f>
        <v>93.7</v>
      </c>
    </row>
    <row r="22" spans="1:31" ht="11.45" customHeight="1" x14ac:dyDescent="0.25">
      <c r="A22" s="376"/>
      <c r="B22" s="382">
        <v>5</v>
      </c>
      <c r="C22" s="479">
        <f>'Granulo P1'!L32</f>
        <v>23.099999999999998</v>
      </c>
      <c r="D22" s="474">
        <f>(C22*100)/'Granulo P1'!C17</f>
        <v>7.7</v>
      </c>
      <c r="E22" s="493">
        <f t="shared" si="0"/>
        <v>92.3</v>
      </c>
      <c r="F22" s="494"/>
      <c r="G22" s="485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1"/>
      <c r="Z22" s="563"/>
      <c r="AA22" s="563"/>
      <c r="AB22" s="320"/>
      <c r="AC22" s="320">
        <v>5</v>
      </c>
      <c r="AD22" s="475">
        <f>E22</f>
        <v>92.3</v>
      </c>
    </row>
    <row r="23" spans="1:31" ht="12.6" customHeight="1" x14ac:dyDescent="0.25">
      <c r="A23" s="376"/>
      <c r="B23" s="382">
        <v>4</v>
      </c>
      <c r="C23" s="478"/>
      <c r="D23" s="474"/>
      <c r="E23" s="493"/>
      <c r="F23" s="494"/>
      <c r="G23" s="485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1"/>
      <c r="Z23" s="569"/>
      <c r="AA23" s="570"/>
      <c r="AB23" s="320"/>
      <c r="AC23" s="320">
        <v>2</v>
      </c>
      <c r="AD23" s="475">
        <f>E25</f>
        <v>90.766666666666666</v>
      </c>
    </row>
    <row r="24" spans="1:31" ht="11.45" customHeight="1" x14ac:dyDescent="0.25">
      <c r="A24" s="376"/>
      <c r="B24" s="382">
        <v>2.5</v>
      </c>
      <c r="C24" s="479"/>
      <c r="D24" s="474"/>
      <c r="E24" s="493"/>
      <c r="F24" s="494"/>
      <c r="G24" s="485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1"/>
      <c r="AB24" s="320"/>
      <c r="AC24" s="320">
        <v>1</v>
      </c>
      <c r="AD24" s="475">
        <f>E27</f>
        <v>88.733333333333334</v>
      </c>
    </row>
    <row r="25" spans="1:31" ht="11.45" customHeight="1" x14ac:dyDescent="0.25">
      <c r="A25" s="376"/>
      <c r="B25" s="382">
        <v>2</v>
      </c>
      <c r="C25" s="479">
        <f>'Granulo P1'!L36</f>
        <v>27.699999999999996</v>
      </c>
      <c r="D25" s="474">
        <f>(C25*100)/'Granulo P1'!C17</f>
        <v>9.2333333333333325</v>
      </c>
      <c r="E25" s="493">
        <f t="shared" si="0"/>
        <v>90.766666666666666</v>
      </c>
      <c r="F25" s="494"/>
      <c r="G25" s="485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1"/>
      <c r="AB25" s="320"/>
      <c r="AC25" s="320">
        <v>0.4</v>
      </c>
      <c r="AD25" s="475">
        <f>E29</f>
        <v>72.26666666666668</v>
      </c>
    </row>
    <row r="26" spans="1:31" ht="12.6" customHeight="1" x14ac:dyDescent="0.25">
      <c r="A26" s="376"/>
      <c r="B26" s="384">
        <v>1.25</v>
      </c>
      <c r="C26" s="383"/>
      <c r="D26" s="474"/>
      <c r="E26" s="493"/>
      <c r="F26" s="494"/>
      <c r="G26" s="485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1"/>
      <c r="AB26" s="320"/>
      <c r="AC26" s="320">
        <v>0.2</v>
      </c>
      <c r="AD26" s="475">
        <f>E31</f>
        <v>44.20000000000001</v>
      </c>
    </row>
    <row r="27" spans="1:31" ht="12.6" customHeight="1" x14ac:dyDescent="0.25">
      <c r="A27" s="376"/>
      <c r="B27" s="382">
        <v>1</v>
      </c>
      <c r="C27" s="479">
        <f>'Granulo P1'!L39</f>
        <v>33.799999999999997</v>
      </c>
      <c r="D27" s="474">
        <f>(C27*100)/'Granulo P1'!C17</f>
        <v>11.266666666666666</v>
      </c>
      <c r="E27" s="493">
        <f t="shared" si="0"/>
        <v>88.733333333333334</v>
      </c>
      <c r="F27" s="494"/>
      <c r="G27" s="485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1"/>
      <c r="AB27" s="320"/>
      <c r="AC27" s="320">
        <v>0.1</v>
      </c>
      <c r="AD27" s="475">
        <f>E33</f>
        <v>23.933333333333337</v>
      </c>
      <c r="AE27" s="445"/>
    </row>
    <row r="28" spans="1:31" ht="12.6" customHeight="1" x14ac:dyDescent="0.25">
      <c r="A28" s="376"/>
      <c r="B28" s="486">
        <v>0.63</v>
      </c>
      <c r="C28" s="479"/>
      <c r="D28" s="474"/>
      <c r="E28" s="493"/>
      <c r="F28" s="494"/>
      <c r="G28" s="485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1"/>
      <c r="AB28" s="320"/>
      <c r="AC28" s="320">
        <v>0.08</v>
      </c>
      <c r="AD28" s="475">
        <f>E34</f>
        <v>21.066666666666663</v>
      </c>
      <c r="AE28" s="445"/>
    </row>
    <row r="29" spans="1:31" ht="11.45" customHeight="1" x14ac:dyDescent="0.25">
      <c r="A29" s="376"/>
      <c r="B29" s="486">
        <v>0.4</v>
      </c>
      <c r="C29" s="479">
        <f>'Granulo P1'!L43</f>
        <v>83.199999999999989</v>
      </c>
      <c r="D29" s="474">
        <f>(C29*100)/'Granulo P1'!C17</f>
        <v>27.733333333333327</v>
      </c>
      <c r="E29" s="493">
        <f t="shared" si="0"/>
        <v>72.26666666666668</v>
      </c>
      <c r="F29" s="494"/>
      <c r="G29" s="485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1"/>
      <c r="AB29" s="320"/>
      <c r="AC29" s="320"/>
      <c r="AE29" s="445"/>
    </row>
    <row r="30" spans="1:31" ht="10.9" customHeight="1" x14ac:dyDescent="0.25">
      <c r="A30" s="376"/>
      <c r="B30" s="486">
        <v>0.315</v>
      </c>
      <c r="C30" s="479"/>
      <c r="D30" s="474"/>
      <c r="E30" s="493"/>
      <c r="F30" s="494"/>
      <c r="G30" s="485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1"/>
      <c r="AB30" s="320"/>
      <c r="AC30" s="320"/>
      <c r="AE30" s="445"/>
    </row>
    <row r="31" spans="1:31" ht="12" customHeight="1" x14ac:dyDescent="0.25">
      <c r="A31" s="376"/>
      <c r="B31" s="486">
        <v>0.2</v>
      </c>
      <c r="C31" s="479">
        <f>'Granulo P1'!L46</f>
        <v>167.39999999999998</v>
      </c>
      <c r="D31" s="474">
        <f>(C31*100)/'Granulo P1'!C17</f>
        <v>55.79999999999999</v>
      </c>
      <c r="E31" s="493">
        <f t="shared" si="0"/>
        <v>44.20000000000001</v>
      </c>
      <c r="F31" s="494"/>
      <c r="G31" s="485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1"/>
      <c r="AB31" s="320"/>
      <c r="AC31" s="320"/>
      <c r="AE31" s="445"/>
    </row>
    <row r="32" spans="1:31" ht="10.9" customHeight="1" x14ac:dyDescent="0.25">
      <c r="A32" s="376"/>
      <c r="B32" s="486">
        <v>0.16</v>
      </c>
      <c r="C32" s="479"/>
      <c r="D32" s="474"/>
      <c r="E32" s="493"/>
      <c r="F32" s="494"/>
      <c r="G32" s="485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1"/>
      <c r="AB32" s="320"/>
      <c r="AC32" s="320"/>
      <c r="AE32" s="445"/>
    </row>
    <row r="33" spans="1:36" ht="12" customHeight="1" x14ac:dyDescent="0.25">
      <c r="A33" s="376"/>
      <c r="B33" s="486">
        <v>0.1</v>
      </c>
      <c r="C33" s="479">
        <f>'Granulo P1'!L49</f>
        <v>228.2</v>
      </c>
      <c r="D33" s="474">
        <f>(C33*100)/'Granulo P1'!C17</f>
        <v>76.066666666666663</v>
      </c>
      <c r="E33" s="493">
        <f t="shared" si="0"/>
        <v>23.933333333333337</v>
      </c>
      <c r="F33" s="494"/>
      <c r="G33" s="485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1"/>
    </row>
    <row r="34" spans="1:36" ht="10.9" customHeight="1" thickBot="1" x14ac:dyDescent="0.3">
      <c r="A34" s="376"/>
      <c r="B34" s="385">
        <v>0.08</v>
      </c>
      <c r="C34" s="488">
        <f>'Granulo P1'!L50</f>
        <v>236.79999999999998</v>
      </c>
      <c r="D34" s="487">
        <f>(C34*100)/'Granulo P1'!C17</f>
        <v>78.933333333333337</v>
      </c>
      <c r="E34" s="495">
        <f t="shared" si="0"/>
        <v>21.066666666666663</v>
      </c>
      <c r="F34" s="496"/>
      <c r="G34" s="485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1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1"/>
    </row>
    <row r="36" spans="1:36" ht="14.45" customHeight="1" thickBot="1" x14ac:dyDescent="0.3">
      <c r="A36" s="360" t="s">
        <v>143</v>
      </c>
      <c r="B36" s="386"/>
      <c r="C36" s="386"/>
      <c r="D36" s="386"/>
      <c r="E36" s="386"/>
      <c r="F36" s="386"/>
      <c r="G36" s="386"/>
      <c r="H36" s="386"/>
      <c r="I36" s="387"/>
      <c r="J36" s="388"/>
      <c r="K36" s="388"/>
      <c r="L36" s="389" t="s">
        <v>178</v>
      </c>
      <c r="M36" s="390"/>
      <c r="N36" s="391"/>
      <c r="O36" s="511" t="s">
        <v>145</v>
      </c>
      <c r="P36" s="512"/>
      <c r="Q36" s="392" t="s">
        <v>146</v>
      </c>
      <c r="R36" s="393"/>
      <c r="S36" s="392" t="s">
        <v>147</v>
      </c>
      <c r="T36" s="393"/>
      <c r="U36" s="394" t="s">
        <v>179</v>
      </c>
      <c r="V36" s="395"/>
      <c r="W36" s="313"/>
    </row>
    <row r="37" spans="1:36" ht="10.9" customHeight="1" thickBot="1" x14ac:dyDescent="0.3">
      <c r="A37" s="396"/>
      <c r="B37" s="397"/>
      <c r="C37" s="397"/>
      <c r="D37" s="398" t="s">
        <v>148</v>
      </c>
      <c r="E37" s="399"/>
      <c r="F37" s="400"/>
      <c r="G37" s="399" t="s">
        <v>149</v>
      </c>
      <c r="H37" s="399"/>
      <c r="I37" s="401"/>
      <c r="J37" s="350"/>
      <c r="K37" s="350"/>
      <c r="L37" s="402" t="s">
        <v>150</v>
      </c>
      <c r="M37" s="403"/>
      <c r="N37" s="404"/>
      <c r="O37" s="405" t="s">
        <v>180</v>
      </c>
      <c r="P37" s="406"/>
      <c r="Q37" s="405" t="s">
        <v>152</v>
      </c>
      <c r="R37" s="406"/>
      <c r="S37" s="407" t="s">
        <v>181</v>
      </c>
      <c r="T37" s="408"/>
      <c r="U37" s="405" t="s">
        <v>44</v>
      </c>
      <c r="V37" s="409"/>
    </row>
    <row r="38" spans="1:36" ht="14.45" customHeight="1" x14ac:dyDescent="0.25">
      <c r="A38" s="540" t="s">
        <v>283</v>
      </c>
      <c r="B38" s="541"/>
      <c r="C38" s="542"/>
      <c r="D38" s="543">
        <f>Y54</f>
        <v>1.9750000000000001</v>
      </c>
      <c r="E38" s="544"/>
      <c r="F38" s="545"/>
      <c r="G38" s="546"/>
      <c r="H38" s="547"/>
      <c r="I38" s="548"/>
      <c r="J38" s="350"/>
      <c r="K38" s="350"/>
      <c r="L38" s="410">
        <v>56</v>
      </c>
      <c r="M38" s="411"/>
      <c r="N38" s="412"/>
      <c r="O38" s="508">
        <f>M44</f>
        <v>1.974835917276859</v>
      </c>
      <c r="P38" s="509"/>
      <c r="Q38" s="509"/>
      <c r="R38" s="510"/>
      <c r="S38" s="571">
        <f>' CBR Poinc'!L33</f>
        <v>11.046086320409652</v>
      </c>
      <c r="T38" s="571"/>
      <c r="U38" s="572">
        <v>0</v>
      </c>
      <c r="V38" s="573"/>
    </row>
    <row r="39" spans="1:36" ht="13.15" customHeight="1" x14ac:dyDescent="0.25">
      <c r="A39" s="549" t="s">
        <v>284</v>
      </c>
      <c r="B39" s="541"/>
      <c r="C39" s="542"/>
      <c r="D39" s="550">
        <f>X54</f>
        <v>9.9</v>
      </c>
      <c r="E39" s="551"/>
      <c r="F39" s="552"/>
      <c r="G39" s="501"/>
      <c r="H39" s="553"/>
      <c r="I39" s="502"/>
      <c r="J39" s="350"/>
      <c r="K39" s="350"/>
      <c r="L39" s="410">
        <v>25</v>
      </c>
      <c r="M39" s="411"/>
      <c r="N39" s="412"/>
      <c r="O39" s="550">
        <f>N44</f>
        <v>1.8762613554023981</v>
      </c>
      <c r="P39" s="551"/>
      <c r="Q39" s="551"/>
      <c r="R39" s="552"/>
      <c r="S39" s="500">
        <f>' CBR Poinc'!O33</f>
        <v>11.353315168029066</v>
      </c>
      <c r="T39" s="500"/>
      <c r="U39" s="501">
        <v>0</v>
      </c>
      <c r="V39" s="502"/>
    </row>
    <row r="40" spans="1:36" ht="15.75" thickBot="1" x14ac:dyDescent="0.3">
      <c r="A40" s="554" t="s">
        <v>155</v>
      </c>
      <c r="B40" s="555"/>
      <c r="C40" s="556"/>
      <c r="D40" s="557"/>
      <c r="E40" s="558"/>
      <c r="F40" s="559"/>
      <c r="G40" s="504"/>
      <c r="H40" s="560"/>
      <c r="I40" s="505"/>
      <c r="J40" s="350"/>
      <c r="K40" s="350"/>
      <c r="L40" s="413">
        <v>10</v>
      </c>
      <c r="M40" s="414"/>
      <c r="N40" s="415"/>
      <c r="O40" s="578">
        <f>O44</f>
        <v>1.7777783914527467</v>
      </c>
      <c r="P40" s="579"/>
      <c r="Q40" s="579"/>
      <c r="R40" s="580"/>
      <c r="S40" s="503">
        <f>' CBR Poinc'!R33</f>
        <v>11.400153022188222</v>
      </c>
      <c r="T40" s="503"/>
      <c r="U40" s="504">
        <v>0</v>
      </c>
      <c r="V40" s="505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1"/>
    </row>
    <row r="42" spans="1:36" ht="15.75" thickBot="1" x14ac:dyDescent="0.3">
      <c r="A42" s="416" t="s">
        <v>156</v>
      </c>
      <c r="B42" s="417">
        <v>1</v>
      </c>
      <c r="C42" s="417">
        <v>2</v>
      </c>
      <c r="D42" s="417">
        <v>3</v>
      </c>
      <c r="E42" s="417">
        <v>4</v>
      </c>
      <c r="F42" s="417">
        <v>5</v>
      </c>
      <c r="G42" s="417">
        <v>6</v>
      </c>
      <c r="H42" s="418" t="s">
        <v>157</v>
      </c>
      <c r="I42" s="419"/>
      <c r="J42" s="388"/>
      <c r="K42" s="388"/>
      <c r="L42" s="416" t="s">
        <v>156</v>
      </c>
      <c r="M42" s="417" t="s">
        <v>182</v>
      </c>
      <c r="N42" s="417" t="s">
        <v>183</v>
      </c>
      <c r="O42" s="420" t="s">
        <v>184</v>
      </c>
      <c r="P42" s="421"/>
      <c r="Q42" s="422"/>
      <c r="R42" s="423" t="s">
        <v>157</v>
      </c>
      <c r="S42" s="424">
        <v>1</v>
      </c>
      <c r="T42" s="424">
        <v>0.98</v>
      </c>
      <c r="U42" s="424">
        <v>0.95</v>
      </c>
      <c r="V42" s="425">
        <v>0.9</v>
      </c>
    </row>
    <row r="43" spans="1:36" ht="15.75" thickBot="1" x14ac:dyDescent="0.3">
      <c r="A43" s="426" t="s">
        <v>185</v>
      </c>
      <c r="B43" s="427">
        <f>'Proctor C01 (2)'!B41:C41</f>
        <v>6.0735008797428716</v>
      </c>
      <c r="C43" s="427">
        <f>'Proctor C01 (2)'!D41</f>
        <v>8.0130121579681681</v>
      </c>
      <c r="D43" s="427">
        <f>'Proctor C01 (2)'!F41</f>
        <v>10.024207032517285</v>
      </c>
      <c r="E43" s="427">
        <f>'Proctor C01 (2)'!H41</f>
        <v>12.247274195719477</v>
      </c>
      <c r="F43" s="427">
        <f>'Proctor C01 (2)'!J41</f>
        <v>14.153554994536464</v>
      </c>
      <c r="G43" s="428"/>
      <c r="H43" s="515">
        <f>'Proctor C01 (2)'!B44</f>
        <v>9.9</v>
      </c>
      <c r="I43" s="516"/>
      <c r="J43" s="388"/>
      <c r="K43" s="388"/>
      <c r="L43" s="426" t="s">
        <v>75</v>
      </c>
      <c r="M43" s="429">
        <f>'CBR Crb (2)'!$C$26</f>
        <v>12.933014577259481</v>
      </c>
      <c r="N43" s="429">
        <f>'CBR Crb (2)'!$D$26</f>
        <v>9.2778872691933945</v>
      </c>
      <c r="O43" s="430">
        <f>'CBR Crb (2)'!$E$26</f>
        <v>5.8151350826044714</v>
      </c>
      <c r="P43" s="431"/>
      <c r="Q43" s="388"/>
      <c r="R43" s="426" t="s">
        <v>75</v>
      </c>
      <c r="S43" s="429"/>
      <c r="T43" s="429"/>
      <c r="U43" s="432">
        <f>X47</f>
        <v>9.3000000000000007</v>
      </c>
      <c r="V43" s="430"/>
    </row>
    <row r="44" spans="1:36" ht="15.75" thickBot="1" x14ac:dyDescent="0.3">
      <c r="A44" s="433" t="s">
        <v>145</v>
      </c>
      <c r="B44" s="428">
        <f>'Proctor C01 (2)'!B33:C33</f>
        <v>1.7998716834881141</v>
      </c>
      <c r="C44" s="428">
        <f>'Proctor C01 (2)'!D33</f>
        <v>1.9151746278169886</v>
      </c>
      <c r="D44" s="428">
        <f>'Proctor C01 (2)'!F33</f>
        <v>1.9771016300663706</v>
      </c>
      <c r="E44" s="428">
        <f>'Proctor C01 (2)'!H33</f>
        <v>1.8956112088644199</v>
      </c>
      <c r="F44" s="428">
        <f>'Proctor C01 (2)'!J33</f>
        <v>1.8093785209421618</v>
      </c>
      <c r="G44" s="428"/>
      <c r="H44" s="513">
        <f>'Proctor C01 (2)'!B43</f>
        <v>1.9750000000000001</v>
      </c>
      <c r="I44" s="514"/>
      <c r="J44" s="388"/>
      <c r="K44" s="388"/>
      <c r="L44" s="433" t="s">
        <v>145</v>
      </c>
      <c r="M44" s="428">
        <f>'CBR Crb (2)'!$C$27</f>
        <v>1.974835917276859</v>
      </c>
      <c r="N44" s="428">
        <f>'CBR Crb (2)'!$D$27</f>
        <v>1.8762613554023981</v>
      </c>
      <c r="O44" s="434">
        <f>'CBR Crb (2)'!$E$27</f>
        <v>1.7777783914527467</v>
      </c>
      <c r="P44" s="388"/>
      <c r="Q44" s="388"/>
      <c r="R44" s="433" t="s">
        <v>145</v>
      </c>
      <c r="S44" s="435">
        <f>D38</f>
        <v>1.9750000000000001</v>
      </c>
      <c r="T44" s="435">
        <f>0.98*D38</f>
        <v>1.9355</v>
      </c>
      <c r="U44" s="476">
        <f>Y47</f>
        <v>1.87625</v>
      </c>
      <c r="V44" s="436">
        <f>0.9*D38</f>
        <v>1.7775000000000001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1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1"/>
      <c r="X46" s="575" t="s">
        <v>160</v>
      </c>
      <c r="Y46" s="576"/>
      <c r="AA46" s="561">
        <v>1.5087424812322829</v>
      </c>
      <c r="AB46" s="577"/>
      <c r="AC46" s="561">
        <v>1.7608815244713649</v>
      </c>
      <c r="AD46" s="577"/>
      <c r="AE46" s="561">
        <v>1.8072856952844565</v>
      </c>
      <c r="AF46" s="577"/>
      <c r="AG46" s="561">
        <v>1.705032926024864</v>
      </c>
      <c r="AH46" s="577"/>
      <c r="AI46" s="561">
        <v>1.6033511848620288</v>
      </c>
      <c r="AJ46" s="562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1"/>
      <c r="X47" s="329">
        <f>'CBR Crb (2)'!T28</f>
        <v>9.3000000000000007</v>
      </c>
      <c r="Y47" s="267">
        <f>'CBR Crb (2)'!U28</f>
        <v>1.87625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1"/>
      <c r="X48" s="330">
        <f>X47</f>
        <v>9.3000000000000007</v>
      </c>
      <c r="Y48" s="272">
        <v>1.74</v>
      </c>
      <c r="AA48" s="499">
        <v>4.144858294811776</v>
      </c>
      <c r="AB48" s="499"/>
      <c r="AC48" s="499">
        <v>6.1434380507245683</v>
      </c>
      <c r="AD48" s="499"/>
      <c r="AE48" s="499">
        <v>8.2092014738586752</v>
      </c>
      <c r="AF48" s="499"/>
      <c r="AG48" s="499">
        <v>10.115640061204832</v>
      </c>
      <c r="AH48" s="499"/>
      <c r="AI48" s="499">
        <v>12.159486396002357</v>
      </c>
      <c r="AJ48" s="574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1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1"/>
      <c r="X50" s="271">
        <v>4</v>
      </c>
      <c r="Y50" s="272">
        <f>Y47</f>
        <v>1.87625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1"/>
      <c r="X51" s="331">
        <f>X48</f>
        <v>9.3000000000000007</v>
      </c>
      <c r="Y51" s="283">
        <f>Y50</f>
        <v>1.87625</v>
      </c>
      <c r="AA51" s="466">
        <v>14.939049337260677</v>
      </c>
      <c r="AB51" s="466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1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1"/>
      <c r="X53" s="506" t="s">
        <v>157</v>
      </c>
      <c r="Y53" s="507"/>
      <c r="AA53" s="465">
        <v>1.811749882333872</v>
      </c>
      <c r="AB53" s="465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1"/>
      <c r="X54" s="483">
        <f>H43</f>
        <v>9.9</v>
      </c>
      <c r="Y54" s="482">
        <f>H44</f>
        <v>1.9750000000000001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1"/>
      <c r="X55" s="314">
        <f>X54</f>
        <v>9.9</v>
      </c>
      <c r="Y55" s="315">
        <v>1.86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1"/>
      <c r="X56" s="314"/>
      <c r="Y56" s="315"/>
      <c r="AA56" s="497">
        <v>7.6067528085002696</v>
      </c>
      <c r="AB56" s="498"/>
      <c r="AC56" s="497">
        <v>7.5611458890127361</v>
      </c>
      <c r="AD56" s="498"/>
      <c r="AE56" s="497">
        <v>7.5727707943985045</v>
      </c>
      <c r="AF56" s="498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1"/>
      <c r="X57" s="314">
        <f>Y54</f>
        <v>1.9750000000000001</v>
      </c>
      <c r="Y57" s="315">
        <v>9.9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1"/>
      <c r="X58" s="316">
        <f>X57</f>
        <v>1.9750000000000001</v>
      </c>
      <c r="Y58" s="317">
        <v>0</v>
      </c>
    </row>
    <row r="59" spans="1:147" ht="6.6" customHeight="1" x14ac:dyDescent="0.25">
      <c r="A59" s="537"/>
      <c r="B59" s="538"/>
      <c r="C59" s="538"/>
      <c r="D59" s="538"/>
      <c r="E59" s="538"/>
      <c r="F59" s="538"/>
      <c r="G59" s="538"/>
      <c r="H59" s="538"/>
      <c r="I59" s="538"/>
      <c r="J59" s="538"/>
      <c r="K59" s="537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9"/>
    </row>
    <row r="60" spans="1:147" ht="15.6" customHeight="1" x14ac:dyDescent="0.25">
      <c r="A60" s="517" t="s">
        <v>307</v>
      </c>
      <c r="B60" s="518"/>
      <c r="C60" s="518"/>
      <c r="D60" s="518"/>
      <c r="E60" s="518"/>
      <c r="F60" s="518"/>
      <c r="G60" s="518"/>
      <c r="H60" s="518"/>
      <c r="I60" s="518"/>
      <c r="J60" s="518"/>
      <c r="K60" s="519" t="s">
        <v>306</v>
      </c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1"/>
    </row>
    <row r="61" spans="1:147" ht="4.9000000000000004" customHeight="1" x14ac:dyDescent="0.25">
      <c r="A61" s="522"/>
      <c r="B61" s="523"/>
      <c r="C61" s="523"/>
      <c r="D61" s="523"/>
      <c r="E61" s="523"/>
      <c r="F61" s="523"/>
      <c r="G61" s="523"/>
      <c r="H61" s="523"/>
      <c r="I61" s="523"/>
      <c r="J61" s="523"/>
      <c r="K61" s="522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4"/>
      <c r="W61" s="525"/>
      <c r="X61" s="526"/>
      <c r="Y61" s="526"/>
      <c r="Z61" s="526"/>
      <c r="AA61" s="526"/>
      <c r="AB61" s="526"/>
      <c r="AC61" s="526"/>
      <c r="AD61" s="526"/>
      <c r="AE61" s="526"/>
      <c r="AF61" s="526"/>
      <c r="AG61" s="526"/>
      <c r="AH61" s="526"/>
      <c r="AI61" s="526"/>
      <c r="AJ61" s="526"/>
      <c r="AK61" s="526"/>
      <c r="AL61" s="526"/>
      <c r="AM61" s="526"/>
      <c r="AN61" s="526"/>
      <c r="AO61" s="526"/>
      <c r="AP61" s="526"/>
      <c r="AQ61" s="526"/>
      <c r="AR61" s="526"/>
      <c r="AS61" s="526"/>
      <c r="AT61" s="526"/>
      <c r="AU61" s="526"/>
      <c r="AV61" s="526"/>
      <c r="AW61" s="526"/>
      <c r="AX61" s="526"/>
      <c r="AY61" s="526"/>
      <c r="AZ61" s="526"/>
      <c r="BA61" s="526"/>
      <c r="BB61" s="526"/>
      <c r="BC61" s="526"/>
      <c r="BD61" s="526"/>
      <c r="BE61" s="526"/>
      <c r="BF61" s="526"/>
      <c r="BG61" s="526"/>
      <c r="BH61" s="526"/>
      <c r="BI61" s="526"/>
      <c r="BJ61" s="526"/>
      <c r="BK61" s="526"/>
      <c r="BL61" s="526"/>
      <c r="BM61" s="526"/>
      <c r="BN61" s="526"/>
      <c r="BO61" s="526"/>
      <c r="BP61" s="526"/>
      <c r="BQ61" s="526"/>
      <c r="BR61" s="526"/>
      <c r="BS61" s="526"/>
      <c r="BT61" s="526"/>
      <c r="BU61" s="526"/>
      <c r="BV61" s="526"/>
      <c r="BW61" s="526"/>
      <c r="BX61" s="526"/>
      <c r="BY61" s="526"/>
      <c r="BZ61" s="526"/>
      <c r="CA61" s="526"/>
      <c r="CB61" s="526"/>
      <c r="CC61" s="526"/>
      <c r="CD61" s="526"/>
      <c r="CE61" s="526"/>
      <c r="CF61" s="526"/>
      <c r="CG61" s="526"/>
      <c r="CH61" s="526"/>
      <c r="CI61" s="526"/>
      <c r="CJ61" s="526"/>
      <c r="CK61" s="526"/>
      <c r="CL61" s="526"/>
      <c r="CM61" s="526"/>
      <c r="CN61" s="526"/>
      <c r="CO61" s="526"/>
      <c r="CP61" s="526"/>
      <c r="CQ61" s="526"/>
      <c r="CR61" s="526"/>
      <c r="CS61" s="526"/>
      <c r="CT61" s="526"/>
      <c r="CU61" s="526"/>
      <c r="CV61" s="526"/>
      <c r="CW61" s="526"/>
      <c r="CX61" s="526"/>
      <c r="CY61" s="526"/>
      <c r="CZ61" s="526"/>
      <c r="DA61" s="526"/>
      <c r="DB61" s="526"/>
      <c r="DC61" s="526"/>
      <c r="DD61" s="526"/>
      <c r="DE61" s="526"/>
      <c r="DF61" s="526"/>
      <c r="DG61" s="526"/>
      <c r="DH61" s="526"/>
      <c r="DI61" s="526"/>
      <c r="DJ61" s="526"/>
      <c r="DK61" s="526"/>
      <c r="DL61" s="526"/>
      <c r="DM61" s="526"/>
      <c r="DN61" s="526"/>
      <c r="DO61" s="526"/>
      <c r="DP61" s="526"/>
      <c r="DQ61" s="526"/>
      <c r="DR61" s="526"/>
      <c r="DS61" s="526"/>
      <c r="DT61" s="526"/>
      <c r="DU61" s="526"/>
      <c r="DV61" s="526"/>
      <c r="DW61" s="526"/>
      <c r="DX61" s="526"/>
      <c r="DY61" s="526"/>
      <c r="DZ61" s="526"/>
      <c r="EA61" s="526"/>
      <c r="EB61" s="526"/>
      <c r="EC61" s="526"/>
      <c r="ED61" s="526"/>
      <c r="EE61" s="526"/>
      <c r="EF61" s="526"/>
      <c r="EG61" s="526"/>
      <c r="EH61" s="526"/>
      <c r="EI61" s="526"/>
      <c r="EJ61" s="526"/>
      <c r="EK61" s="526"/>
      <c r="EL61" s="526"/>
      <c r="EM61" s="526"/>
      <c r="EN61" s="526"/>
      <c r="EO61" s="526"/>
      <c r="EP61" s="526"/>
      <c r="EQ61" s="526"/>
    </row>
    <row r="62" spans="1:147" ht="3.6" customHeight="1" x14ac:dyDescent="0.25">
      <c r="A62" s="522"/>
      <c r="B62" s="523"/>
      <c r="C62" s="523"/>
      <c r="D62" s="523"/>
      <c r="E62" s="523"/>
      <c r="F62" s="523"/>
      <c r="G62" s="523"/>
      <c r="H62" s="523"/>
      <c r="I62" s="523"/>
      <c r="J62" s="523"/>
      <c r="K62" s="522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4"/>
      <c r="W62" s="525"/>
      <c r="X62" s="526"/>
      <c r="Y62" s="526"/>
      <c r="Z62" s="526"/>
      <c r="AA62" s="526"/>
      <c r="AB62" s="526"/>
      <c r="AC62" s="526"/>
      <c r="AD62" s="526"/>
      <c r="AE62" s="526"/>
      <c r="AF62" s="526"/>
      <c r="AG62" s="526"/>
      <c r="AH62" s="526"/>
      <c r="AI62" s="526"/>
      <c r="AJ62" s="526"/>
      <c r="AK62" s="526"/>
      <c r="AL62" s="526"/>
      <c r="AM62" s="526"/>
      <c r="AN62" s="526"/>
      <c r="AO62" s="526"/>
      <c r="AP62" s="526"/>
      <c r="AQ62" s="526"/>
      <c r="AR62" s="526"/>
      <c r="AS62" s="526"/>
      <c r="AT62" s="526"/>
      <c r="AU62" s="526"/>
      <c r="AV62" s="526"/>
      <c r="AW62" s="526"/>
      <c r="AX62" s="526"/>
      <c r="AY62" s="526"/>
      <c r="AZ62" s="526"/>
      <c r="BA62" s="526"/>
      <c r="BB62" s="526"/>
      <c r="BC62" s="526"/>
      <c r="BD62" s="526"/>
      <c r="BE62" s="526"/>
      <c r="BF62" s="526"/>
      <c r="BG62" s="526"/>
      <c r="BH62" s="526"/>
      <c r="BI62" s="526"/>
      <c r="BJ62" s="526"/>
      <c r="BK62" s="526"/>
      <c r="BL62" s="526"/>
      <c r="BM62" s="526"/>
      <c r="BN62" s="526"/>
      <c r="BO62" s="526"/>
      <c r="BP62" s="526"/>
      <c r="BQ62" s="526"/>
      <c r="BR62" s="526"/>
      <c r="BS62" s="526"/>
      <c r="BT62" s="526"/>
      <c r="BU62" s="526"/>
      <c r="BV62" s="526"/>
      <c r="BW62" s="526"/>
      <c r="BX62" s="526"/>
      <c r="BY62" s="526"/>
      <c r="BZ62" s="526"/>
      <c r="CA62" s="526"/>
      <c r="CB62" s="526"/>
      <c r="CC62" s="526"/>
      <c r="CD62" s="526"/>
      <c r="CE62" s="526"/>
      <c r="CF62" s="526"/>
      <c r="CG62" s="526"/>
      <c r="CH62" s="526"/>
      <c r="CI62" s="526"/>
      <c r="CJ62" s="526"/>
      <c r="CK62" s="526"/>
      <c r="CL62" s="526"/>
      <c r="CM62" s="526"/>
      <c r="CN62" s="526"/>
      <c r="CO62" s="526"/>
      <c r="CP62" s="526"/>
      <c r="CQ62" s="526"/>
      <c r="CR62" s="526"/>
      <c r="CS62" s="526"/>
      <c r="CT62" s="526"/>
      <c r="CU62" s="526"/>
      <c r="CV62" s="526"/>
      <c r="CW62" s="526"/>
      <c r="CX62" s="526"/>
      <c r="CY62" s="526"/>
      <c r="CZ62" s="526"/>
      <c r="DA62" s="526"/>
      <c r="DB62" s="526"/>
      <c r="DC62" s="526"/>
      <c r="DD62" s="526"/>
      <c r="DE62" s="526"/>
      <c r="DF62" s="526"/>
      <c r="DG62" s="526"/>
      <c r="DH62" s="526"/>
      <c r="DI62" s="526"/>
      <c r="DJ62" s="526"/>
      <c r="DK62" s="526"/>
      <c r="DL62" s="526"/>
      <c r="DM62" s="526"/>
      <c r="DN62" s="526"/>
      <c r="DO62" s="526"/>
      <c r="DP62" s="526"/>
      <c r="DQ62" s="526"/>
      <c r="DR62" s="526"/>
      <c r="DS62" s="526"/>
      <c r="DT62" s="526"/>
      <c r="DU62" s="526"/>
      <c r="DV62" s="526"/>
      <c r="DW62" s="526"/>
      <c r="DX62" s="526"/>
      <c r="DY62" s="526"/>
      <c r="DZ62" s="526"/>
      <c r="EA62" s="526"/>
      <c r="EB62" s="526"/>
      <c r="EC62" s="526"/>
      <c r="ED62" s="526"/>
      <c r="EE62" s="526"/>
      <c r="EF62" s="526"/>
      <c r="EG62" s="526"/>
      <c r="EH62" s="526"/>
      <c r="EI62" s="526"/>
      <c r="EJ62" s="526"/>
      <c r="EK62" s="526"/>
      <c r="EL62" s="526"/>
      <c r="EM62" s="526"/>
      <c r="EN62" s="526"/>
      <c r="EO62" s="526"/>
      <c r="EP62" s="526"/>
      <c r="EQ62" s="526"/>
    </row>
    <row r="63" spans="1:147" ht="7.15" customHeight="1" x14ac:dyDescent="0.25">
      <c r="A63" s="522"/>
      <c r="B63" s="523"/>
      <c r="C63" s="523"/>
      <c r="D63" s="523"/>
      <c r="E63" s="523"/>
      <c r="F63" s="523"/>
      <c r="G63" s="523"/>
      <c r="H63" s="523"/>
      <c r="I63" s="523"/>
      <c r="J63" s="523"/>
      <c r="K63" s="522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4"/>
      <c r="W63" s="525"/>
      <c r="X63" s="526"/>
      <c r="Y63" s="526"/>
      <c r="Z63" s="526"/>
      <c r="AA63" s="526"/>
      <c r="AB63" s="526"/>
      <c r="AC63" s="526"/>
      <c r="AD63" s="526"/>
      <c r="AE63" s="526"/>
      <c r="AF63" s="526"/>
      <c r="AG63" s="526"/>
      <c r="AH63" s="526"/>
      <c r="AI63" s="526"/>
      <c r="AJ63" s="526"/>
      <c r="AK63" s="526"/>
      <c r="AL63" s="526"/>
      <c r="AM63" s="526"/>
      <c r="AN63" s="526"/>
      <c r="AO63" s="526"/>
      <c r="AP63" s="526"/>
      <c r="AQ63" s="526"/>
      <c r="AR63" s="526"/>
      <c r="AS63" s="526"/>
      <c r="AT63" s="526"/>
      <c r="AU63" s="526"/>
      <c r="AV63" s="526"/>
      <c r="AW63" s="526"/>
      <c r="AX63" s="526"/>
      <c r="AY63" s="526"/>
      <c r="AZ63" s="526"/>
      <c r="BA63" s="526"/>
      <c r="BB63" s="526"/>
      <c r="BC63" s="526"/>
      <c r="BD63" s="526"/>
      <c r="BE63" s="526"/>
      <c r="BF63" s="526"/>
      <c r="BG63" s="526"/>
      <c r="BH63" s="526"/>
      <c r="BI63" s="526"/>
      <c r="BJ63" s="526"/>
      <c r="BK63" s="526"/>
      <c r="BL63" s="526"/>
      <c r="BM63" s="526"/>
      <c r="BN63" s="526"/>
      <c r="BO63" s="526"/>
      <c r="BP63" s="526"/>
      <c r="BQ63" s="526"/>
      <c r="BR63" s="526"/>
      <c r="BS63" s="526"/>
      <c r="BT63" s="526"/>
      <c r="BU63" s="526"/>
      <c r="BV63" s="526"/>
      <c r="BW63" s="526"/>
      <c r="BX63" s="526"/>
      <c r="BY63" s="526"/>
      <c r="BZ63" s="526"/>
      <c r="CA63" s="526"/>
      <c r="CB63" s="526"/>
      <c r="CC63" s="526"/>
      <c r="CD63" s="526"/>
      <c r="CE63" s="526"/>
      <c r="CF63" s="526"/>
      <c r="CG63" s="526"/>
      <c r="CH63" s="526"/>
      <c r="CI63" s="526"/>
      <c r="CJ63" s="526"/>
      <c r="CK63" s="526"/>
      <c r="CL63" s="526"/>
      <c r="CM63" s="526"/>
      <c r="CN63" s="526"/>
      <c r="CO63" s="526"/>
      <c r="CP63" s="526"/>
      <c r="CQ63" s="526"/>
      <c r="CR63" s="526"/>
      <c r="CS63" s="526"/>
      <c r="CT63" s="526"/>
      <c r="CU63" s="526"/>
      <c r="CV63" s="526"/>
      <c r="CW63" s="526"/>
      <c r="CX63" s="526"/>
      <c r="CY63" s="526"/>
      <c r="CZ63" s="526"/>
      <c r="DA63" s="526"/>
      <c r="DB63" s="526"/>
      <c r="DC63" s="526"/>
      <c r="DD63" s="526"/>
      <c r="DE63" s="526"/>
      <c r="DF63" s="526"/>
      <c r="DG63" s="526"/>
      <c r="DH63" s="526"/>
      <c r="DI63" s="526"/>
      <c r="DJ63" s="526"/>
      <c r="DK63" s="526"/>
      <c r="DL63" s="526"/>
      <c r="DM63" s="526"/>
      <c r="DN63" s="526"/>
      <c r="DO63" s="526"/>
      <c r="DP63" s="526"/>
      <c r="DQ63" s="526"/>
      <c r="DR63" s="526"/>
      <c r="DS63" s="526"/>
      <c r="DT63" s="526"/>
      <c r="DU63" s="526"/>
      <c r="DV63" s="526"/>
      <c r="DW63" s="526"/>
      <c r="DX63" s="526"/>
      <c r="DY63" s="526"/>
      <c r="DZ63" s="526"/>
      <c r="EA63" s="526"/>
      <c r="EB63" s="526"/>
      <c r="EC63" s="526"/>
      <c r="ED63" s="526"/>
      <c r="EE63" s="526"/>
      <c r="EF63" s="526"/>
      <c r="EG63" s="526"/>
      <c r="EH63" s="526"/>
      <c r="EI63" s="526"/>
      <c r="EJ63" s="526"/>
      <c r="EK63" s="526"/>
      <c r="EL63" s="526"/>
      <c r="EM63" s="526"/>
      <c r="EN63" s="526"/>
      <c r="EO63" s="526"/>
      <c r="EP63" s="526"/>
      <c r="EQ63" s="526"/>
    </row>
    <row r="64" spans="1:147" ht="4.1500000000000004" customHeight="1" x14ac:dyDescent="0.25">
      <c r="A64" s="522"/>
      <c r="B64" s="523"/>
      <c r="C64" s="523"/>
      <c r="D64" s="523"/>
      <c r="E64" s="523"/>
      <c r="F64" s="523"/>
      <c r="G64" s="523"/>
      <c r="H64" s="523"/>
      <c r="I64" s="523"/>
      <c r="J64" s="523"/>
      <c r="K64" s="522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4"/>
      <c r="W64" s="525"/>
      <c r="X64" s="526"/>
      <c r="Y64" s="526"/>
      <c r="Z64" s="526"/>
      <c r="AA64" s="526"/>
      <c r="AB64" s="526"/>
      <c r="AC64" s="526"/>
      <c r="AD64" s="526"/>
      <c r="AE64" s="526"/>
      <c r="AF64" s="526"/>
      <c r="AG64" s="526"/>
      <c r="AH64" s="526"/>
      <c r="AI64" s="526"/>
      <c r="AJ64" s="526"/>
      <c r="AK64" s="526"/>
      <c r="AL64" s="526"/>
      <c r="AM64" s="526"/>
      <c r="AN64" s="526"/>
      <c r="AO64" s="526"/>
      <c r="AP64" s="526"/>
      <c r="AQ64" s="526"/>
      <c r="AR64" s="526"/>
      <c r="AS64" s="526"/>
      <c r="AT64" s="526"/>
      <c r="AU64" s="526"/>
      <c r="AV64" s="526"/>
      <c r="AW64" s="526"/>
      <c r="AX64" s="526"/>
      <c r="AY64" s="526"/>
      <c r="AZ64" s="526"/>
      <c r="BA64" s="526"/>
      <c r="BB64" s="526"/>
      <c r="BC64" s="526"/>
      <c r="BD64" s="526"/>
      <c r="BE64" s="526"/>
      <c r="BF64" s="526"/>
      <c r="BG64" s="526"/>
      <c r="BH64" s="526"/>
      <c r="BI64" s="526"/>
      <c r="BJ64" s="526"/>
      <c r="BK64" s="526"/>
      <c r="BL64" s="526"/>
      <c r="BM64" s="526"/>
      <c r="BN64" s="526"/>
      <c r="BO64" s="526"/>
      <c r="BP64" s="526"/>
      <c r="BQ64" s="526"/>
      <c r="BR64" s="526"/>
      <c r="BS64" s="526"/>
      <c r="BT64" s="526"/>
      <c r="BU64" s="526"/>
      <c r="BV64" s="526"/>
      <c r="BW64" s="526"/>
      <c r="BX64" s="526"/>
      <c r="BY64" s="526"/>
      <c r="BZ64" s="526"/>
      <c r="CA64" s="526"/>
      <c r="CB64" s="526"/>
      <c r="CC64" s="526"/>
      <c r="CD64" s="526"/>
      <c r="CE64" s="526"/>
      <c r="CF64" s="526"/>
      <c r="CG64" s="526"/>
      <c r="CH64" s="526"/>
      <c r="CI64" s="526"/>
      <c r="CJ64" s="526"/>
      <c r="CK64" s="526"/>
      <c r="CL64" s="526"/>
      <c r="CM64" s="526"/>
      <c r="CN64" s="526"/>
      <c r="CO64" s="526"/>
      <c r="CP64" s="526"/>
      <c r="CQ64" s="526"/>
      <c r="CR64" s="526"/>
      <c r="CS64" s="526"/>
      <c r="CT64" s="526"/>
      <c r="CU64" s="526"/>
      <c r="CV64" s="526"/>
      <c r="CW64" s="526"/>
      <c r="CX64" s="526"/>
      <c r="CY64" s="526"/>
      <c r="CZ64" s="526"/>
      <c r="DA64" s="526"/>
      <c r="DB64" s="526"/>
      <c r="DC64" s="526"/>
      <c r="DD64" s="526"/>
      <c r="DE64" s="526"/>
      <c r="DF64" s="526"/>
      <c r="DG64" s="526"/>
      <c r="DH64" s="526"/>
      <c r="DI64" s="526"/>
      <c r="DJ64" s="526"/>
      <c r="DK64" s="526"/>
      <c r="DL64" s="526"/>
      <c r="DM64" s="526"/>
      <c r="DN64" s="526"/>
      <c r="DO64" s="526"/>
      <c r="DP64" s="526"/>
      <c r="DQ64" s="526"/>
      <c r="DR64" s="526"/>
      <c r="DS64" s="526"/>
      <c r="DT64" s="526"/>
      <c r="DU64" s="526"/>
      <c r="DV64" s="526"/>
      <c r="DW64" s="526"/>
      <c r="DX64" s="526"/>
      <c r="DY64" s="526"/>
      <c r="DZ64" s="526"/>
      <c r="EA64" s="526"/>
      <c r="EB64" s="526"/>
      <c r="EC64" s="526"/>
      <c r="ED64" s="526"/>
      <c r="EE64" s="526"/>
      <c r="EF64" s="526"/>
      <c r="EG64" s="526"/>
      <c r="EH64" s="526"/>
      <c r="EI64" s="526"/>
      <c r="EJ64" s="526"/>
      <c r="EK64" s="526"/>
      <c r="EL64" s="526"/>
      <c r="EM64" s="526"/>
      <c r="EN64" s="526"/>
      <c r="EO64" s="526"/>
      <c r="EP64" s="526"/>
      <c r="EQ64" s="526"/>
    </row>
    <row r="65" spans="1:147" ht="1.9" customHeight="1" x14ac:dyDescent="0.25">
      <c r="A65" s="522"/>
      <c r="B65" s="523"/>
      <c r="C65" s="523"/>
      <c r="D65" s="523"/>
      <c r="E65" s="523"/>
      <c r="F65" s="523"/>
      <c r="G65" s="523"/>
      <c r="H65" s="523"/>
      <c r="I65" s="523"/>
      <c r="J65" s="523"/>
      <c r="K65" s="522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4"/>
      <c r="W65" s="525"/>
      <c r="X65" s="526"/>
      <c r="Y65" s="526"/>
      <c r="Z65" s="526"/>
      <c r="AA65" s="526"/>
      <c r="AB65" s="526"/>
      <c r="AC65" s="526"/>
      <c r="AD65" s="526"/>
      <c r="AE65" s="526"/>
      <c r="AF65" s="526"/>
      <c r="AG65" s="526"/>
      <c r="AH65" s="526"/>
      <c r="AI65" s="526"/>
      <c r="AJ65" s="526"/>
      <c r="AK65" s="526"/>
      <c r="AL65" s="526"/>
      <c r="AM65" s="526"/>
      <c r="AN65" s="526"/>
      <c r="AO65" s="526"/>
      <c r="AP65" s="526"/>
      <c r="AQ65" s="526"/>
      <c r="AR65" s="526"/>
      <c r="AS65" s="526"/>
      <c r="AT65" s="526"/>
      <c r="AU65" s="526"/>
      <c r="AV65" s="526"/>
      <c r="AW65" s="526"/>
      <c r="AX65" s="526"/>
      <c r="AY65" s="526"/>
      <c r="AZ65" s="526"/>
      <c r="BA65" s="526"/>
      <c r="BB65" s="526"/>
      <c r="BC65" s="526"/>
      <c r="BD65" s="526"/>
      <c r="BE65" s="526"/>
      <c r="BF65" s="526"/>
      <c r="BG65" s="526"/>
      <c r="BH65" s="526"/>
      <c r="BI65" s="526"/>
      <c r="BJ65" s="526"/>
      <c r="BK65" s="526"/>
      <c r="BL65" s="526"/>
      <c r="BM65" s="526"/>
      <c r="BN65" s="526"/>
      <c r="BO65" s="526"/>
      <c r="BP65" s="526"/>
      <c r="BQ65" s="526"/>
      <c r="BR65" s="526"/>
      <c r="BS65" s="526"/>
      <c r="BT65" s="526"/>
      <c r="BU65" s="526"/>
      <c r="BV65" s="526"/>
      <c r="BW65" s="526"/>
      <c r="BX65" s="526"/>
      <c r="BY65" s="526"/>
      <c r="BZ65" s="526"/>
      <c r="CA65" s="526"/>
      <c r="CB65" s="526"/>
      <c r="CC65" s="526"/>
      <c r="CD65" s="526"/>
      <c r="CE65" s="526"/>
      <c r="CF65" s="526"/>
      <c r="CG65" s="526"/>
      <c r="CH65" s="526"/>
      <c r="CI65" s="526"/>
      <c r="CJ65" s="526"/>
      <c r="CK65" s="526"/>
      <c r="CL65" s="526"/>
      <c r="CM65" s="526"/>
      <c r="CN65" s="526"/>
      <c r="CO65" s="526"/>
      <c r="CP65" s="526"/>
      <c r="CQ65" s="526"/>
      <c r="CR65" s="526"/>
      <c r="CS65" s="526"/>
      <c r="CT65" s="526"/>
      <c r="CU65" s="526"/>
      <c r="CV65" s="526"/>
      <c r="CW65" s="526"/>
      <c r="CX65" s="526"/>
      <c r="CY65" s="526"/>
      <c r="CZ65" s="526"/>
      <c r="DA65" s="526"/>
      <c r="DB65" s="526"/>
      <c r="DC65" s="526"/>
      <c r="DD65" s="526"/>
      <c r="DE65" s="526"/>
      <c r="DF65" s="526"/>
      <c r="DG65" s="526"/>
      <c r="DH65" s="526"/>
      <c r="DI65" s="526"/>
      <c r="DJ65" s="526"/>
      <c r="DK65" s="526"/>
      <c r="DL65" s="526"/>
      <c r="DM65" s="526"/>
      <c r="DN65" s="526"/>
      <c r="DO65" s="526"/>
      <c r="DP65" s="526"/>
      <c r="DQ65" s="526"/>
      <c r="DR65" s="526"/>
      <c r="DS65" s="526"/>
      <c r="DT65" s="526"/>
      <c r="DU65" s="526"/>
      <c r="DV65" s="526"/>
      <c r="DW65" s="526"/>
      <c r="DX65" s="526"/>
      <c r="DY65" s="526"/>
      <c r="DZ65" s="526"/>
      <c r="EA65" s="526"/>
      <c r="EB65" s="526"/>
      <c r="EC65" s="526"/>
      <c r="ED65" s="526"/>
      <c r="EE65" s="526"/>
      <c r="EF65" s="526"/>
      <c r="EG65" s="526"/>
      <c r="EH65" s="526"/>
      <c r="EI65" s="526"/>
      <c r="EJ65" s="526"/>
      <c r="EK65" s="526"/>
      <c r="EL65" s="526"/>
      <c r="EM65" s="526"/>
      <c r="EN65" s="526"/>
      <c r="EO65" s="526"/>
      <c r="EP65" s="526"/>
      <c r="EQ65" s="526"/>
    </row>
    <row r="66" spans="1:147" ht="10.15" customHeight="1" x14ac:dyDescent="0.25">
      <c r="A66" s="527" t="s">
        <v>308</v>
      </c>
      <c r="B66" s="528"/>
      <c r="C66" s="528"/>
      <c r="D66" s="528"/>
      <c r="E66" s="528"/>
      <c r="F66" s="528"/>
      <c r="G66" s="528"/>
      <c r="H66" s="528"/>
      <c r="I66" s="528"/>
      <c r="J66" s="528"/>
      <c r="K66" s="531" t="s">
        <v>186</v>
      </c>
      <c r="L66" s="532"/>
      <c r="M66" s="532"/>
      <c r="N66" s="532"/>
      <c r="O66" s="532"/>
      <c r="P66" s="532"/>
      <c r="Q66" s="532"/>
      <c r="R66" s="532"/>
      <c r="S66" s="532"/>
      <c r="T66" s="532"/>
      <c r="U66" s="532"/>
      <c r="V66" s="533"/>
      <c r="W66" s="525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526"/>
      <c r="AI66" s="526"/>
      <c r="AJ66" s="526"/>
      <c r="AK66" s="526"/>
      <c r="AL66" s="526"/>
      <c r="AM66" s="526"/>
      <c r="AN66" s="526"/>
      <c r="AO66" s="526"/>
      <c r="AP66" s="526"/>
      <c r="AQ66" s="526"/>
      <c r="AR66" s="526"/>
      <c r="AS66" s="526"/>
      <c r="AT66" s="526"/>
      <c r="AU66" s="526"/>
      <c r="AV66" s="526"/>
      <c r="AW66" s="526"/>
      <c r="AX66" s="526"/>
      <c r="AY66" s="526"/>
      <c r="AZ66" s="526"/>
      <c r="BA66" s="526"/>
      <c r="BB66" s="526"/>
      <c r="BC66" s="526"/>
      <c r="BD66" s="526"/>
      <c r="BE66" s="526"/>
      <c r="BF66" s="526"/>
      <c r="BG66" s="526"/>
      <c r="BH66" s="526"/>
      <c r="BI66" s="526"/>
      <c r="BJ66" s="526"/>
      <c r="BK66" s="526"/>
      <c r="BL66" s="526"/>
      <c r="BM66" s="526"/>
      <c r="BN66" s="526"/>
      <c r="BO66" s="526"/>
      <c r="BP66" s="526"/>
      <c r="BQ66" s="526"/>
      <c r="BR66" s="526"/>
      <c r="BS66" s="526"/>
      <c r="BT66" s="526"/>
      <c r="BU66" s="526"/>
      <c r="BV66" s="526"/>
      <c r="BW66" s="526"/>
      <c r="BX66" s="526"/>
      <c r="BY66" s="526"/>
      <c r="BZ66" s="526"/>
      <c r="CA66" s="526"/>
      <c r="CB66" s="526"/>
      <c r="CC66" s="526"/>
      <c r="CD66" s="526"/>
      <c r="CE66" s="526"/>
      <c r="CF66" s="526"/>
      <c r="CG66" s="526"/>
      <c r="CH66" s="526"/>
      <c r="CI66" s="526"/>
      <c r="CJ66" s="526"/>
      <c r="CK66" s="526"/>
      <c r="CL66" s="526"/>
      <c r="CM66" s="526"/>
      <c r="CN66" s="526"/>
      <c r="CO66" s="526"/>
      <c r="CP66" s="526"/>
      <c r="CQ66" s="526"/>
      <c r="CR66" s="526"/>
      <c r="CS66" s="526"/>
      <c r="CT66" s="526"/>
      <c r="CU66" s="526"/>
      <c r="CV66" s="526"/>
      <c r="CW66" s="526"/>
      <c r="CX66" s="526"/>
      <c r="CY66" s="526"/>
      <c r="CZ66" s="526"/>
      <c r="DA66" s="526"/>
      <c r="DB66" s="526"/>
      <c r="DC66" s="526"/>
      <c r="DD66" s="526"/>
      <c r="DE66" s="526"/>
      <c r="DF66" s="526"/>
      <c r="DG66" s="526"/>
      <c r="DH66" s="526"/>
      <c r="DI66" s="526"/>
      <c r="DJ66" s="526"/>
      <c r="DK66" s="526"/>
      <c r="DL66" s="526"/>
      <c r="DM66" s="526"/>
      <c r="DN66" s="526"/>
      <c r="DO66" s="526"/>
      <c r="DP66" s="526"/>
      <c r="DQ66" s="526"/>
      <c r="DR66" s="526"/>
      <c r="DS66" s="526"/>
      <c r="DT66" s="526"/>
      <c r="DU66" s="526"/>
      <c r="DV66" s="526"/>
      <c r="DW66" s="526"/>
      <c r="DX66" s="526"/>
      <c r="DY66" s="526"/>
      <c r="DZ66" s="526"/>
      <c r="EA66" s="526"/>
      <c r="EB66" s="526"/>
      <c r="EC66" s="526"/>
      <c r="ED66" s="526"/>
      <c r="EE66" s="526"/>
      <c r="EF66" s="526"/>
      <c r="EG66" s="526"/>
      <c r="EH66" s="526"/>
      <c r="EI66" s="526"/>
      <c r="EJ66" s="526"/>
      <c r="EK66" s="526"/>
      <c r="EL66" s="526"/>
      <c r="EM66" s="526"/>
      <c r="EN66" s="526"/>
      <c r="EO66" s="526"/>
      <c r="EP66" s="526"/>
      <c r="EQ66" s="526"/>
    </row>
    <row r="67" spans="1:147" ht="15" hidden="1" customHeight="1" thickBot="1" x14ac:dyDescent="0.3">
      <c r="A67" s="527"/>
      <c r="B67" s="528"/>
      <c r="C67" s="528"/>
      <c r="D67" s="528"/>
      <c r="E67" s="528"/>
      <c r="F67" s="528"/>
      <c r="G67" s="528"/>
      <c r="H67" s="528"/>
      <c r="I67" s="528"/>
      <c r="J67" s="528"/>
      <c r="K67" s="531"/>
      <c r="L67" s="532"/>
      <c r="M67" s="532"/>
      <c r="N67" s="532"/>
      <c r="O67" s="532"/>
      <c r="P67" s="532"/>
      <c r="Q67" s="532"/>
      <c r="R67" s="532"/>
      <c r="S67" s="532"/>
      <c r="T67" s="532"/>
      <c r="U67" s="532"/>
      <c r="V67" s="533"/>
      <c r="W67" s="525"/>
      <c r="X67" s="526"/>
      <c r="Y67" s="526"/>
      <c r="Z67" s="526"/>
      <c r="AA67" s="526"/>
      <c r="AB67" s="526"/>
      <c r="AC67" s="526"/>
      <c r="AD67" s="526"/>
      <c r="AE67" s="526"/>
      <c r="AF67" s="526"/>
      <c r="AG67" s="526"/>
      <c r="AH67" s="526"/>
      <c r="AI67" s="526"/>
      <c r="AJ67" s="526"/>
      <c r="AK67" s="526"/>
      <c r="AL67" s="526"/>
      <c r="AM67" s="526"/>
      <c r="AN67" s="526"/>
      <c r="AO67" s="526"/>
      <c r="AP67" s="526"/>
      <c r="AQ67" s="526"/>
      <c r="AR67" s="526"/>
      <c r="AS67" s="526"/>
      <c r="AT67" s="526"/>
      <c r="AU67" s="526"/>
      <c r="AV67" s="526"/>
      <c r="AW67" s="526"/>
      <c r="AX67" s="526"/>
      <c r="AY67" s="526"/>
      <c r="AZ67" s="526"/>
      <c r="BA67" s="526"/>
      <c r="BB67" s="526"/>
      <c r="BC67" s="526"/>
      <c r="BD67" s="526"/>
      <c r="BE67" s="526"/>
      <c r="BF67" s="526"/>
      <c r="BG67" s="526"/>
      <c r="BH67" s="526"/>
      <c r="BI67" s="526"/>
      <c r="BJ67" s="526"/>
      <c r="BK67" s="526"/>
      <c r="BL67" s="526"/>
      <c r="BM67" s="526"/>
      <c r="BN67" s="526"/>
      <c r="BO67" s="526"/>
      <c r="BP67" s="526"/>
      <c r="BQ67" s="526"/>
      <c r="BR67" s="526"/>
      <c r="BS67" s="526"/>
      <c r="BT67" s="526"/>
      <c r="BU67" s="526"/>
      <c r="BV67" s="526"/>
      <c r="BW67" s="526"/>
      <c r="BX67" s="526"/>
      <c r="BY67" s="526"/>
      <c r="BZ67" s="526"/>
      <c r="CA67" s="526"/>
      <c r="CB67" s="526"/>
      <c r="CC67" s="526"/>
      <c r="CD67" s="526"/>
      <c r="CE67" s="526"/>
      <c r="CF67" s="526"/>
      <c r="CG67" s="526"/>
      <c r="CH67" s="526"/>
      <c r="CI67" s="526"/>
      <c r="CJ67" s="526"/>
      <c r="CK67" s="526"/>
      <c r="CL67" s="526"/>
      <c r="CM67" s="526"/>
      <c r="CN67" s="526"/>
      <c r="CO67" s="526"/>
      <c r="CP67" s="526"/>
      <c r="CQ67" s="526"/>
      <c r="CR67" s="526"/>
      <c r="CS67" s="526"/>
      <c r="CT67" s="526"/>
      <c r="CU67" s="526"/>
      <c r="CV67" s="526"/>
      <c r="CW67" s="526"/>
      <c r="CX67" s="526"/>
      <c r="CY67" s="526"/>
      <c r="CZ67" s="526"/>
      <c r="DA67" s="526"/>
      <c r="DB67" s="526"/>
      <c r="DC67" s="526"/>
      <c r="DD67" s="526"/>
      <c r="DE67" s="526"/>
      <c r="DF67" s="526"/>
      <c r="DG67" s="526"/>
      <c r="DH67" s="526"/>
      <c r="DI67" s="526"/>
      <c r="DJ67" s="526"/>
      <c r="DK67" s="526"/>
      <c r="DL67" s="526"/>
      <c r="DM67" s="526"/>
      <c r="DN67" s="526"/>
      <c r="DO67" s="526"/>
      <c r="DP67" s="526"/>
      <c r="DQ67" s="526"/>
      <c r="DR67" s="526"/>
      <c r="DS67" s="526"/>
      <c r="DT67" s="526"/>
      <c r="DU67" s="526"/>
      <c r="DV67" s="526"/>
      <c r="DW67" s="526"/>
      <c r="DX67" s="526"/>
      <c r="DY67" s="526"/>
      <c r="DZ67" s="526"/>
      <c r="EA67" s="526"/>
      <c r="EB67" s="526"/>
      <c r="EC67" s="526"/>
      <c r="ED67" s="526"/>
      <c r="EE67" s="526"/>
      <c r="EF67" s="526"/>
      <c r="EG67" s="526"/>
      <c r="EH67" s="526"/>
      <c r="EI67" s="526"/>
      <c r="EJ67" s="526"/>
      <c r="EK67" s="526"/>
      <c r="EL67" s="526"/>
      <c r="EM67" s="526"/>
      <c r="EN67" s="526"/>
      <c r="EO67" s="526"/>
      <c r="EP67" s="526"/>
      <c r="EQ67" s="526"/>
    </row>
    <row r="68" spans="1:147" ht="7.15" customHeight="1" thickBot="1" x14ac:dyDescent="0.3">
      <c r="A68" s="529"/>
      <c r="B68" s="530"/>
      <c r="C68" s="530"/>
      <c r="D68" s="530"/>
      <c r="E68" s="530"/>
      <c r="F68" s="530"/>
      <c r="G68" s="530"/>
      <c r="H68" s="530"/>
      <c r="I68" s="530"/>
      <c r="J68" s="530"/>
      <c r="K68" s="534"/>
      <c r="L68" s="535"/>
      <c r="M68" s="535"/>
      <c r="N68" s="535"/>
      <c r="O68" s="535"/>
      <c r="P68" s="535"/>
      <c r="Q68" s="535"/>
      <c r="R68" s="535"/>
      <c r="S68" s="535"/>
      <c r="T68" s="535"/>
      <c r="U68" s="535"/>
      <c r="V68" s="536"/>
      <c r="W68" s="525"/>
      <c r="X68" s="526"/>
      <c r="Y68" s="526"/>
      <c r="Z68" s="526"/>
      <c r="AA68" s="526"/>
      <c r="AB68" s="526"/>
      <c r="AC68" s="526"/>
      <c r="AD68" s="526"/>
      <c r="AE68" s="526"/>
      <c r="AF68" s="526"/>
      <c r="AG68" s="526"/>
      <c r="AH68" s="526"/>
      <c r="AI68" s="526"/>
      <c r="AJ68" s="526"/>
      <c r="AK68" s="526"/>
      <c r="AL68" s="526"/>
      <c r="AM68" s="526"/>
      <c r="AN68" s="526"/>
      <c r="AO68" s="526"/>
      <c r="AP68" s="526"/>
      <c r="AQ68" s="526"/>
      <c r="AR68" s="526"/>
      <c r="AS68" s="526"/>
      <c r="AT68" s="526"/>
      <c r="AU68" s="526"/>
      <c r="AV68" s="526"/>
      <c r="AW68" s="526"/>
      <c r="AX68" s="526"/>
      <c r="AY68" s="526"/>
      <c r="AZ68" s="526"/>
      <c r="BA68" s="526"/>
      <c r="BB68" s="526"/>
      <c r="BC68" s="526"/>
      <c r="BD68" s="526"/>
      <c r="BE68" s="526"/>
      <c r="BF68" s="526"/>
      <c r="BG68" s="526"/>
      <c r="BH68" s="526"/>
      <c r="BI68" s="526"/>
      <c r="BJ68" s="526"/>
      <c r="BK68" s="526"/>
      <c r="BL68" s="526"/>
      <c r="BM68" s="526"/>
      <c r="BN68" s="526"/>
      <c r="BO68" s="526"/>
      <c r="BP68" s="526"/>
      <c r="BQ68" s="526"/>
      <c r="BR68" s="526"/>
      <c r="BS68" s="526"/>
      <c r="BT68" s="526"/>
      <c r="BU68" s="526"/>
      <c r="BV68" s="526"/>
      <c r="BW68" s="526"/>
      <c r="BX68" s="526"/>
      <c r="BY68" s="526"/>
      <c r="BZ68" s="526"/>
      <c r="CA68" s="526"/>
      <c r="CB68" s="526"/>
      <c r="CC68" s="526"/>
      <c r="CD68" s="526"/>
      <c r="CE68" s="526"/>
      <c r="CF68" s="526"/>
      <c r="CG68" s="526"/>
      <c r="CH68" s="526"/>
      <c r="CI68" s="526"/>
      <c r="CJ68" s="526"/>
      <c r="CK68" s="526"/>
      <c r="CL68" s="526"/>
      <c r="CM68" s="526"/>
      <c r="CN68" s="526"/>
      <c r="CO68" s="526"/>
      <c r="CP68" s="526"/>
      <c r="CQ68" s="526"/>
      <c r="CR68" s="526"/>
      <c r="CS68" s="526"/>
      <c r="CT68" s="526"/>
      <c r="CU68" s="526"/>
      <c r="CV68" s="526"/>
      <c r="CW68" s="526"/>
      <c r="CX68" s="526"/>
      <c r="CY68" s="526"/>
      <c r="CZ68" s="526"/>
      <c r="DA68" s="526"/>
      <c r="DB68" s="526"/>
      <c r="DC68" s="526"/>
      <c r="DD68" s="526"/>
      <c r="DE68" s="526"/>
      <c r="DF68" s="526"/>
      <c r="DG68" s="526"/>
      <c r="DH68" s="526"/>
      <c r="DI68" s="526"/>
      <c r="DJ68" s="526"/>
      <c r="DK68" s="526"/>
      <c r="DL68" s="526"/>
      <c r="DM68" s="526"/>
      <c r="DN68" s="526"/>
      <c r="DO68" s="526"/>
      <c r="DP68" s="526"/>
      <c r="DQ68" s="526"/>
      <c r="DR68" s="526"/>
      <c r="DS68" s="526"/>
      <c r="DT68" s="526"/>
      <c r="DU68" s="526"/>
      <c r="DV68" s="526"/>
      <c r="DW68" s="526"/>
      <c r="DX68" s="526"/>
      <c r="DY68" s="526"/>
      <c r="DZ68" s="526"/>
      <c r="EA68" s="526"/>
      <c r="EB68" s="526"/>
      <c r="EC68" s="526"/>
      <c r="ED68" s="526"/>
      <c r="EE68" s="526"/>
      <c r="EF68" s="526"/>
      <c r="EG68" s="526"/>
      <c r="EH68" s="526"/>
      <c r="EI68" s="526"/>
      <c r="EJ68" s="526"/>
      <c r="EK68" s="526"/>
      <c r="EL68" s="526"/>
      <c r="EM68" s="526"/>
      <c r="EN68" s="526"/>
      <c r="EO68" s="526"/>
      <c r="EP68" s="526"/>
      <c r="EQ68" s="526"/>
    </row>
    <row r="69" spans="1:147" ht="7.15" customHeight="1" x14ac:dyDescent="0.25"/>
  </sheetData>
  <mergeCells count="102"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topLeftCell="A21" workbookViewId="0">
      <selection activeCell="S31" sqref="S31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718" t="s">
        <v>187</v>
      </c>
      <c r="C1" s="719"/>
      <c r="D1" s="719"/>
      <c r="E1" s="719"/>
      <c r="F1" s="719"/>
      <c r="G1" s="719"/>
      <c r="H1" s="719"/>
      <c r="I1" s="719"/>
      <c r="J1" s="719"/>
      <c r="K1" s="719"/>
      <c r="L1" s="720"/>
      <c r="M1" s="721"/>
      <c r="N1" s="722"/>
      <c r="O1" s="723"/>
      <c r="P1" s="724"/>
    </row>
    <row r="2" spans="1:18" ht="16.899999999999999" customHeight="1" x14ac:dyDescent="0.25">
      <c r="A2" s="725" t="s">
        <v>188</v>
      </c>
      <c r="B2" s="727" t="s">
        <v>189</v>
      </c>
      <c r="C2" s="728"/>
      <c r="D2" s="728"/>
      <c r="E2" s="728"/>
      <c r="F2" s="728"/>
      <c r="G2" s="728"/>
      <c r="H2" s="728"/>
      <c r="I2" s="728"/>
      <c r="J2" s="728"/>
      <c r="K2" s="728"/>
      <c r="L2" s="729"/>
      <c r="M2" s="332"/>
      <c r="N2" s="668" t="s">
        <v>188</v>
      </c>
      <c r="O2" s="668"/>
      <c r="P2" s="333"/>
    </row>
    <row r="3" spans="1:18" ht="14.45" customHeight="1" x14ac:dyDescent="0.25">
      <c r="A3" s="725"/>
      <c r="B3" s="727" t="s">
        <v>190</v>
      </c>
      <c r="C3" s="728"/>
      <c r="D3" s="728"/>
      <c r="E3" s="728"/>
      <c r="F3" s="728"/>
      <c r="G3" s="728"/>
      <c r="H3" s="728"/>
      <c r="I3" s="728"/>
      <c r="J3" s="728"/>
      <c r="K3" s="728"/>
      <c r="L3" s="729"/>
      <c r="M3" s="332"/>
      <c r="N3" s="668"/>
      <c r="O3" s="668"/>
      <c r="P3" s="333"/>
    </row>
    <row r="4" spans="1:18" ht="15.75" thickBot="1" x14ac:dyDescent="0.3">
      <c r="A4" s="726"/>
      <c r="B4" s="730" t="s">
        <v>191</v>
      </c>
      <c r="C4" s="731"/>
      <c r="D4" s="731"/>
      <c r="E4" s="731"/>
      <c r="F4" s="731"/>
      <c r="G4" s="731"/>
      <c r="H4" s="731"/>
      <c r="I4" s="731"/>
      <c r="J4" s="731"/>
      <c r="K4" s="731"/>
      <c r="L4" s="732"/>
      <c r="M4" s="334"/>
      <c r="N4" s="669"/>
      <c r="O4" s="669"/>
      <c r="P4" s="335"/>
    </row>
    <row r="5" spans="1:18" x14ac:dyDescent="0.25">
      <c r="A5" s="714"/>
      <c r="B5" s="714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</row>
    <row r="6" spans="1:18" ht="16.149999999999999" customHeight="1" x14ac:dyDescent="0.25">
      <c r="A6" s="336" t="s">
        <v>192</v>
      </c>
      <c r="B6" s="715">
        <v>43809</v>
      </c>
      <c r="C6" s="706"/>
      <c r="D6" s="706"/>
      <c r="E6" s="706"/>
      <c r="F6" s="706"/>
      <c r="G6" s="706"/>
      <c r="H6" s="716" t="s">
        <v>193</v>
      </c>
      <c r="I6" s="716"/>
      <c r="J6" s="716"/>
      <c r="K6" s="716"/>
      <c r="L6" s="716" t="s">
        <v>335</v>
      </c>
      <c r="M6" s="716"/>
      <c r="N6" s="716"/>
      <c r="O6" s="716"/>
      <c r="P6" s="717"/>
    </row>
    <row r="7" spans="1:18" x14ac:dyDescent="0.25">
      <c r="A7" s="337"/>
      <c r="B7" s="686"/>
      <c r="C7" s="686"/>
      <c r="D7" s="686"/>
      <c r="E7" s="686"/>
      <c r="F7" s="686"/>
      <c r="G7" s="686"/>
      <c r="H7" s="686"/>
      <c r="I7" s="686"/>
      <c r="J7" s="686"/>
      <c r="K7" s="686"/>
      <c r="L7" s="686"/>
      <c r="M7" s="686"/>
      <c r="N7" s="686"/>
      <c r="O7" s="686"/>
      <c r="P7" s="686"/>
      <c r="Q7" s="319"/>
      <c r="R7" s="319"/>
    </row>
    <row r="8" spans="1:18" x14ac:dyDescent="0.25">
      <c r="A8" s="338"/>
      <c r="B8" s="708"/>
      <c r="C8" s="708"/>
      <c r="D8" s="708"/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08"/>
      <c r="P8" s="708"/>
    </row>
    <row r="9" spans="1:18" x14ac:dyDescent="0.25">
      <c r="A9" s="713" t="s">
        <v>194</v>
      </c>
      <c r="B9" s="709"/>
      <c r="C9" s="709"/>
      <c r="D9" s="709"/>
      <c r="E9" s="709"/>
      <c r="F9" s="709"/>
      <c r="G9" s="709"/>
      <c r="H9" s="709"/>
      <c r="I9" s="708"/>
      <c r="J9" s="708"/>
      <c r="K9" s="708"/>
      <c r="L9" s="708"/>
      <c r="M9" s="708"/>
      <c r="N9" s="708"/>
      <c r="O9" s="708"/>
      <c r="P9" s="708"/>
    </row>
    <row r="10" spans="1:18" ht="8.4499999999999993" customHeight="1" x14ac:dyDescent="0.25">
      <c r="A10" s="708"/>
      <c r="B10" s="708"/>
      <c r="C10" s="708"/>
      <c r="D10" s="708"/>
      <c r="E10" s="708"/>
      <c r="F10" s="708"/>
      <c r="G10" s="708"/>
      <c r="H10" s="708"/>
      <c r="I10" s="708"/>
      <c r="J10" s="708"/>
      <c r="K10" s="708"/>
      <c r="L10" s="708"/>
      <c r="M10" s="708"/>
      <c r="N10" s="708"/>
      <c r="O10" s="708"/>
      <c r="P10" s="708"/>
    </row>
    <row r="11" spans="1:18" ht="18.75" x14ac:dyDescent="0.35">
      <c r="A11" s="339" t="s">
        <v>273</v>
      </c>
      <c r="B11" s="710">
        <v>400</v>
      </c>
      <c r="C11" s="711"/>
      <c r="D11" s="712"/>
      <c r="E11" s="569">
        <v>500</v>
      </c>
      <c r="F11" s="706"/>
      <c r="G11" s="570"/>
      <c r="H11" s="569">
        <v>630</v>
      </c>
      <c r="I11" s="706"/>
      <c r="J11" s="570"/>
      <c r="K11" s="569">
        <v>800</v>
      </c>
      <c r="L11" s="706"/>
      <c r="M11" s="570"/>
      <c r="N11" s="569">
        <v>1000</v>
      </c>
      <c r="O11" s="570"/>
      <c r="P11" s="340"/>
    </row>
    <row r="12" spans="1:18" x14ac:dyDescent="0.25">
      <c r="A12" s="341" t="s">
        <v>195</v>
      </c>
      <c r="B12" s="569">
        <v>20</v>
      </c>
      <c r="C12" s="706"/>
      <c r="D12" s="570"/>
      <c r="E12" s="569">
        <v>50</v>
      </c>
      <c r="F12" s="706"/>
      <c r="G12" s="570"/>
      <c r="H12" s="569">
        <v>100</v>
      </c>
      <c r="I12" s="706"/>
      <c r="J12" s="570"/>
      <c r="K12" s="569">
        <v>150</v>
      </c>
      <c r="L12" s="706"/>
      <c r="M12" s="570"/>
      <c r="N12" s="569">
        <v>200</v>
      </c>
      <c r="O12" s="570"/>
      <c r="P12" s="340"/>
    </row>
    <row r="13" spans="1:18" x14ac:dyDescent="0.25">
      <c r="A13" s="686"/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686"/>
      <c r="O13" s="686"/>
      <c r="P13" s="340"/>
    </row>
    <row r="14" spans="1:18" ht="18.75" x14ac:dyDescent="0.35">
      <c r="A14" s="339" t="s">
        <v>274</v>
      </c>
      <c r="B14" s="341">
        <v>5</v>
      </c>
      <c r="C14" s="341" t="s">
        <v>196</v>
      </c>
      <c r="D14" s="341">
        <v>8</v>
      </c>
      <c r="E14" s="341">
        <v>10</v>
      </c>
      <c r="F14" s="341" t="s">
        <v>197</v>
      </c>
      <c r="G14" s="341">
        <v>16</v>
      </c>
      <c r="H14" s="341">
        <v>20</v>
      </c>
      <c r="I14" s="341">
        <v>25</v>
      </c>
      <c r="J14" s="341" t="s">
        <v>198</v>
      </c>
      <c r="K14" s="341">
        <v>40</v>
      </c>
      <c r="L14" s="341">
        <v>50</v>
      </c>
      <c r="M14" s="341">
        <v>63</v>
      </c>
      <c r="N14" s="341">
        <v>80</v>
      </c>
      <c r="O14" s="707" t="s">
        <v>275</v>
      </c>
      <c r="P14" s="707"/>
    </row>
    <row r="15" spans="1:18" ht="18" x14ac:dyDescent="0.25">
      <c r="A15" s="342" t="s">
        <v>195</v>
      </c>
      <c r="B15" s="341" t="s">
        <v>199</v>
      </c>
      <c r="C15" s="341" t="s">
        <v>200</v>
      </c>
      <c r="D15" s="341" t="s">
        <v>201</v>
      </c>
      <c r="E15" s="341" t="s">
        <v>202</v>
      </c>
      <c r="F15" s="341" t="s">
        <v>203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63" t="s">
        <v>276</v>
      </c>
      <c r="P15" s="563"/>
    </row>
    <row r="16" spans="1:18" x14ac:dyDescent="0.25">
      <c r="A16" s="686"/>
      <c r="B16" s="686"/>
      <c r="C16" s="686"/>
      <c r="D16" s="686"/>
      <c r="E16" s="686"/>
      <c r="F16" s="686"/>
      <c r="G16" s="686"/>
      <c r="H16" s="686"/>
      <c r="I16" s="686"/>
      <c r="J16" s="686"/>
      <c r="K16" s="686"/>
      <c r="L16" s="686"/>
      <c r="M16" s="686"/>
      <c r="N16" s="686"/>
      <c r="O16" s="686"/>
      <c r="P16" s="686"/>
    </row>
    <row r="17" spans="1:16" x14ac:dyDescent="0.25">
      <c r="A17" s="708"/>
      <c r="B17" s="708"/>
      <c r="C17" s="708"/>
      <c r="D17" s="708"/>
      <c r="E17" s="708"/>
      <c r="F17" s="708"/>
      <c r="G17" s="708"/>
      <c r="H17" s="708"/>
      <c r="I17" s="708"/>
      <c r="J17" s="708"/>
      <c r="K17" s="708"/>
      <c r="L17" s="708"/>
      <c r="M17" s="708"/>
      <c r="N17" s="708"/>
      <c r="O17" s="708"/>
      <c r="P17" s="708"/>
    </row>
    <row r="18" spans="1:16" x14ac:dyDescent="0.25">
      <c r="A18" s="709" t="s">
        <v>277</v>
      </c>
      <c r="B18" s="709"/>
      <c r="C18" s="709"/>
      <c r="D18" s="709"/>
      <c r="E18" s="709"/>
      <c r="F18" s="708"/>
      <c r="G18" s="708"/>
      <c r="H18" s="708"/>
      <c r="I18" s="708"/>
      <c r="J18" s="708"/>
      <c r="K18" s="708"/>
      <c r="L18" s="708"/>
      <c r="M18" s="708"/>
      <c r="N18" s="708"/>
      <c r="O18" s="708"/>
      <c r="P18" s="708"/>
    </row>
    <row r="19" spans="1:16" ht="10.9" customHeight="1" thickBot="1" x14ac:dyDescent="0.3">
      <c r="A19" s="705"/>
      <c r="B19" s="705"/>
      <c r="C19" s="705"/>
      <c r="D19" s="705"/>
      <c r="E19" s="705"/>
      <c r="F19" s="705"/>
      <c r="G19" s="705"/>
      <c r="H19" s="705"/>
      <c r="I19" s="705"/>
      <c r="J19" s="705"/>
      <c r="K19" s="705"/>
      <c r="L19" s="705"/>
      <c r="M19" s="705"/>
      <c r="N19" s="705"/>
      <c r="O19" s="705"/>
      <c r="P19" s="705"/>
    </row>
    <row r="20" spans="1:16" x14ac:dyDescent="0.25">
      <c r="A20" s="698" t="s">
        <v>271</v>
      </c>
      <c r="B20" s="699"/>
      <c r="C20" s="699"/>
      <c r="D20" s="699"/>
      <c r="E20" s="699"/>
      <c r="F20" s="699"/>
      <c r="G20" s="699"/>
      <c r="H20" s="699"/>
      <c r="I20" s="699"/>
      <c r="J20" s="699"/>
      <c r="K20" s="699"/>
      <c r="L20" s="699"/>
      <c r="M20" s="699"/>
      <c r="N20" s="699"/>
      <c r="O20" s="699"/>
      <c r="P20" s="700"/>
    </row>
    <row r="21" spans="1:16" x14ac:dyDescent="0.25">
      <c r="A21" s="701" t="s">
        <v>204</v>
      </c>
      <c r="B21" s="685"/>
      <c r="C21" s="685"/>
      <c r="D21" s="685"/>
      <c r="E21" s="685"/>
      <c r="F21" s="685"/>
      <c r="G21" s="685"/>
      <c r="H21" s="685"/>
      <c r="I21" s="685"/>
      <c r="J21" s="685"/>
      <c r="K21" s="685"/>
      <c r="L21" s="685"/>
      <c r="M21" s="685"/>
      <c r="N21" s="685"/>
      <c r="O21" s="685"/>
      <c r="P21" s="702"/>
    </row>
    <row r="22" spans="1:16" x14ac:dyDescent="0.25">
      <c r="A22" s="670"/>
      <c r="B22" s="671"/>
      <c r="C22" s="671"/>
      <c r="D22" s="671"/>
      <c r="E22" s="671"/>
      <c r="F22" s="671"/>
      <c r="G22" s="671"/>
      <c r="H22" s="671"/>
      <c r="I22" s="671"/>
      <c r="J22" s="671"/>
      <c r="K22" s="671"/>
      <c r="L22" s="671"/>
      <c r="M22" s="671"/>
      <c r="N22" s="671"/>
      <c r="O22" s="671"/>
      <c r="P22" s="672"/>
    </row>
    <row r="23" spans="1:16" x14ac:dyDescent="0.25">
      <c r="A23" s="670"/>
      <c r="B23" s="671"/>
      <c r="C23" s="703"/>
      <c r="D23" s="342"/>
      <c r="E23" s="563" t="s">
        <v>205</v>
      </c>
      <c r="F23" s="563"/>
      <c r="G23" s="704"/>
      <c r="H23" s="671"/>
      <c r="I23" s="671"/>
      <c r="J23" s="671"/>
      <c r="K23" s="703"/>
      <c r="L23" s="343"/>
      <c r="M23" s="569" t="s">
        <v>206</v>
      </c>
      <c r="N23" s="570"/>
      <c r="O23" s="704"/>
      <c r="P23" s="672"/>
    </row>
    <row r="24" spans="1:16" x14ac:dyDescent="0.25">
      <c r="A24" s="687"/>
      <c r="B24" s="688"/>
      <c r="C24" s="688"/>
      <c r="D24" s="688"/>
      <c r="E24" s="688"/>
      <c r="F24" s="688"/>
      <c r="G24" s="688"/>
      <c r="H24" s="688"/>
      <c r="I24" s="688"/>
      <c r="J24" s="688"/>
      <c r="K24" s="688"/>
      <c r="L24" s="688"/>
      <c r="M24" s="688"/>
      <c r="N24" s="688"/>
      <c r="O24" s="688"/>
      <c r="P24" s="689"/>
    </row>
    <row r="25" spans="1:16" x14ac:dyDescent="0.25">
      <c r="A25" s="344" t="s">
        <v>272</v>
      </c>
      <c r="B25" s="686"/>
      <c r="C25" s="686"/>
      <c r="D25" s="686"/>
      <c r="E25" s="686"/>
      <c r="F25" s="686"/>
      <c r="G25" s="686"/>
      <c r="H25" s="686"/>
      <c r="I25" s="686"/>
      <c r="J25" s="686"/>
      <c r="K25" s="686"/>
      <c r="L25" s="686"/>
      <c r="M25" s="686"/>
      <c r="N25" s="686"/>
      <c r="O25" s="686"/>
      <c r="P25" s="694"/>
    </row>
    <row r="26" spans="1:16" x14ac:dyDescent="0.25">
      <c r="A26" s="670"/>
      <c r="B26" s="671"/>
      <c r="C26" s="671"/>
      <c r="D26" s="671"/>
      <c r="E26" s="671"/>
      <c r="F26" s="671"/>
      <c r="G26" s="671"/>
      <c r="H26" s="671"/>
      <c r="I26" s="671"/>
      <c r="J26" s="671"/>
      <c r="K26" s="671"/>
      <c r="L26" s="671"/>
      <c r="M26" s="671"/>
      <c r="N26" s="671"/>
      <c r="O26" s="671"/>
      <c r="P26" s="672"/>
    </row>
    <row r="27" spans="1:16" ht="16.5" x14ac:dyDescent="0.3">
      <c r="A27" s="345" t="s">
        <v>207</v>
      </c>
      <c r="B27" s="688" t="s">
        <v>336</v>
      </c>
      <c r="C27" s="688"/>
      <c r="D27" s="688"/>
      <c r="E27" s="688"/>
      <c r="F27" s="688"/>
      <c r="G27" s="688"/>
      <c r="H27" s="688" t="s">
        <v>278</v>
      </c>
      <c r="I27" s="688"/>
      <c r="J27" s="688"/>
      <c r="K27" s="688"/>
      <c r="L27" s="688"/>
      <c r="M27" s="688">
        <v>23.7</v>
      </c>
      <c r="N27" s="688"/>
      <c r="O27" s="346">
        <v>16.100000000000001</v>
      </c>
      <c r="P27" s="346" t="s">
        <v>264</v>
      </c>
    </row>
    <row r="28" spans="1:16" ht="4.1500000000000004" customHeight="1" x14ac:dyDescent="0.25">
      <c r="A28" s="693"/>
      <c r="B28" s="686"/>
      <c r="C28" s="686"/>
      <c r="D28" s="686"/>
      <c r="E28" s="686"/>
      <c r="F28" s="686"/>
      <c r="G28" s="686"/>
      <c r="H28" s="686"/>
      <c r="I28" s="686"/>
      <c r="J28" s="686"/>
      <c r="K28" s="686"/>
      <c r="L28" s="686"/>
      <c r="M28" s="686"/>
      <c r="N28" s="686"/>
      <c r="O28" s="686"/>
      <c r="P28" s="694"/>
    </row>
    <row r="29" spans="1:16" x14ac:dyDescent="0.25">
      <c r="A29" s="695" t="s">
        <v>208</v>
      </c>
      <c r="B29" s="696"/>
      <c r="C29" s="696"/>
      <c r="D29" s="696"/>
      <c r="E29" s="696"/>
      <c r="F29" s="696"/>
      <c r="G29" s="696"/>
      <c r="H29" s="697" t="s">
        <v>209</v>
      </c>
      <c r="I29" s="697"/>
      <c r="J29" s="697"/>
      <c r="K29" s="697"/>
      <c r="L29" s="697"/>
      <c r="M29" s="671">
        <v>169.8</v>
      </c>
      <c r="N29" s="671"/>
      <c r="O29" s="347">
        <v>203.1</v>
      </c>
      <c r="P29" s="347" t="s">
        <v>265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688">
        <v>193.6</v>
      </c>
      <c r="P30" s="689"/>
    </row>
    <row r="31" spans="1:16" ht="16.5" x14ac:dyDescent="0.3">
      <c r="A31" s="679" t="s">
        <v>210</v>
      </c>
      <c r="B31" s="680"/>
      <c r="C31" s="680"/>
      <c r="D31" s="680"/>
      <c r="E31" s="680"/>
      <c r="F31" s="680"/>
      <c r="G31" s="680"/>
      <c r="H31" s="686"/>
      <c r="I31" s="686"/>
      <c r="J31" s="686"/>
      <c r="K31" s="350" t="s">
        <v>279</v>
      </c>
      <c r="L31" s="350"/>
      <c r="M31" s="671">
        <v>154.30000000000001</v>
      </c>
      <c r="N31" s="671"/>
      <c r="O31" s="347">
        <v>182.7</v>
      </c>
      <c r="P31" s="347" t="s">
        <v>266</v>
      </c>
    </row>
    <row r="32" spans="1:16" ht="3.6" customHeight="1" x14ac:dyDescent="0.25">
      <c r="A32" s="687"/>
      <c r="B32" s="688"/>
      <c r="C32" s="688"/>
      <c r="D32" s="688"/>
      <c r="E32" s="688"/>
      <c r="F32" s="688"/>
      <c r="G32" s="688"/>
      <c r="H32" s="688"/>
      <c r="I32" s="688"/>
      <c r="J32" s="688"/>
      <c r="K32" s="688"/>
      <c r="L32" s="688"/>
      <c r="M32" s="688"/>
      <c r="N32" s="688"/>
      <c r="O32" s="688"/>
      <c r="P32" s="689"/>
    </row>
    <row r="33" spans="1:20" x14ac:dyDescent="0.25">
      <c r="A33" s="690" t="s">
        <v>211</v>
      </c>
      <c r="B33" s="691"/>
      <c r="C33" s="691"/>
      <c r="D33" s="691"/>
      <c r="E33" s="691"/>
      <c r="F33" s="691"/>
      <c r="G33" s="691"/>
      <c r="H33" s="691"/>
      <c r="I33" s="691"/>
      <c r="J33" s="691"/>
      <c r="K33" s="691"/>
      <c r="L33" s="691"/>
      <c r="M33" s="691"/>
      <c r="N33" s="691"/>
      <c r="O33" s="691"/>
      <c r="P33" s="692"/>
    </row>
    <row r="34" spans="1:20" x14ac:dyDescent="0.25">
      <c r="A34" s="670"/>
      <c r="B34" s="671"/>
      <c r="C34" s="671"/>
      <c r="D34" s="671"/>
      <c r="E34" s="671"/>
      <c r="F34" s="671"/>
      <c r="G34" s="671"/>
      <c r="H34" s="671"/>
      <c r="I34" s="671"/>
      <c r="J34" s="671"/>
      <c r="K34" s="671"/>
      <c r="L34" s="671"/>
      <c r="M34" s="671"/>
      <c r="N34" s="671"/>
      <c r="O34" s="671"/>
      <c r="P34" s="672"/>
    </row>
    <row r="35" spans="1:20" ht="16.5" x14ac:dyDescent="0.3">
      <c r="A35" s="679" t="s">
        <v>280</v>
      </c>
      <c r="B35" s="680"/>
      <c r="C35" s="680"/>
      <c r="D35" s="680"/>
      <c r="E35" s="680"/>
      <c r="F35" s="680"/>
      <c r="G35" s="680"/>
      <c r="H35" s="680"/>
      <c r="I35" s="680"/>
      <c r="J35" s="680"/>
      <c r="K35" s="680"/>
      <c r="L35" s="680"/>
      <c r="M35" s="680"/>
      <c r="N35" s="680"/>
      <c r="O35" s="680"/>
      <c r="P35" s="681"/>
    </row>
    <row r="36" spans="1:20" ht="16.5" x14ac:dyDescent="0.3">
      <c r="A36" s="679" t="s">
        <v>281</v>
      </c>
      <c r="B36" s="680"/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0"/>
      <c r="O36" s="680"/>
      <c r="P36" s="681"/>
    </row>
    <row r="37" spans="1:20" x14ac:dyDescent="0.25">
      <c r="A37" s="670"/>
      <c r="B37" s="671"/>
      <c r="C37" s="671"/>
      <c r="D37" s="671"/>
      <c r="E37" s="671"/>
      <c r="F37" s="671"/>
      <c r="G37" s="671"/>
      <c r="H37" s="671"/>
      <c r="I37" s="671"/>
      <c r="J37" s="671"/>
      <c r="K37" s="671"/>
      <c r="L37" s="671"/>
      <c r="M37" s="671"/>
      <c r="N37" s="671"/>
      <c r="O37" s="671"/>
      <c r="P37" s="672"/>
      <c r="S37" s="326">
        <f>(M29-M31)/(M31-M27)*100</f>
        <v>11.868300153139355</v>
      </c>
      <c r="T37" s="326">
        <f>(O29-O31)/(O31-O27)*100</f>
        <v>12.244897959183678</v>
      </c>
    </row>
    <row r="38" spans="1:20" x14ac:dyDescent="0.25">
      <c r="A38" s="670"/>
      <c r="B38" s="671"/>
      <c r="C38" s="671"/>
      <c r="D38" s="671"/>
      <c r="E38" s="671"/>
      <c r="F38" s="671"/>
      <c r="G38" s="671"/>
      <c r="H38" s="671"/>
      <c r="I38" s="671"/>
      <c r="J38" s="671"/>
      <c r="K38" s="671"/>
      <c r="L38" s="671"/>
      <c r="M38" s="671"/>
      <c r="N38" s="671"/>
      <c r="O38" s="671"/>
      <c r="P38" s="672"/>
    </row>
    <row r="39" spans="1:20" x14ac:dyDescent="0.25">
      <c r="A39" s="670"/>
      <c r="B39" s="671"/>
      <c r="C39" s="671"/>
      <c r="D39" s="671"/>
      <c r="E39" s="671"/>
      <c r="F39" s="671"/>
      <c r="G39" s="671"/>
      <c r="H39" s="671"/>
      <c r="I39" s="671"/>
      <c r="J39" s="671"/>
      <c r="K39" s="671"/>
      <c r="L39" s="671"/>
      <c r="M39" s="671"/>
      <c r="N39" s="671"/>
      <c r="O39" s="671"/>
      <c r="P39" s="672"/>
    </row>
    <row r="40" spans="1:20" ht="30.6" customHeight="1" x14ac:dyDescent="0.25">
      <c r="A40" s="670"/>
      <c r="B40" s="671"/>
      <c r="C40" s="671"/>
      <c r="D40" s="671"/>
      <c r="E40" s="671"/>
      <c r="F40" s="671"/>
      <c r="G40" s="671"/>
      <c r="H40" s="671"/>
      <c r="I40" s="671"/>
      <c r="J40" s="671"/>
      <c r="K40" s="671"/>
      <c r="L40" s="671"/>
      <c r="M40" s="671"/>
      <c r="N40" s="671"/>
      <c r="O40" s="671"/>
      <c r="P40" s="672"/>
    </row>
    <row r="41" spans="1:20" x14ac:dyDescent="0.25">
      <c r="A41" s="682" t="s">
        <v>282</v>
      </c>
      <c r="B41" s="683"/>
      <c r="C41" s="683"/>
      <c r="D41" s="683"/>
      <c r="E41" s="683"/>
      <c r="F41" s="684">
        <f>AVERAGE(S37:T37)</f>
        <v>12.056599056161517</v>
      </c>
      <c r="G41" s="684"/>
      <c r="H41" s="684"/>
      <c r="I41" s="685" t="s">
        <v>212</v>
      </c>
      <c r="J41" s="685"/>
      <c r="K41" s="671"/>
      <c r="L41" s="671"/>
      <c r="M41" s="671"/>
      <c r="N41" s="671"/>
      <c r="O41" s="671"/>
      <c r="P41" s="672"/>
    </row>
    <row r="42" spans="1:20" ht="11.45" customHeight="1" x14ac:dyDescent="0.25">
      <c r="A42" s="670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1"/>
      <c r="P42" s="672"/>
    </row>
    <row r="43" spans="1:20" ht="15.75" thickBot="1" x14ac:dyDescent="0.3">
      <c r="A43" s="673"/>
      <c r="B43" s="674"/>
      <c r="C43" s="674"/>
      <c r="D43" s="674"/>
      <c r="E43" s="674"/>
      <c r="F43" s="674"/>
      <c r="G43" s="674"/>
      <c r="H43" s="674"/>
      <c r="I43" s="674"/>
      <c r="J43" s="674"/>
      <c r="K43" s="674"/>
      <c r="L43" s="674"/>
      <c r="M43" s="674"/>
      <c r="N43" s="674"/>
      <c r="O43" s="674"/>
      <c r="P43" s="675"/>
    </row>
    <row r="44" spans="1:20" ht="8.4499999999999993" customHeight="1" x14ac:dyDescent="0.25">
      <c r="A44" s="671"/>
      <c r="B44" s="671"/>
      <c r="C44" s="671"/>
      <c r="D44" s="671"/>
      <c r="E44" s="671"/>
      <c r="F44" s="671"/>
      <c r="G44" s="671"/>
      <c r="H44" s="671"/>
      <c r="I44" s="671"/>
      <c r="J44" s="671"/>
      <c r="K44" s="671"/>
      <c r="L44" s="671"/>
      <c r="M44" s="671"/>
      <c r="N44" s="671"/>
      <c r="O44" s="671"/>
      <c r="P44" s="671"/>
    </row>
    <row r="45" spans="1:20" ht="2.4500000000000002" customHeight="1" thickBot="1" x14ac:dyDescent="0.3">
      <c r="A45" s="671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</row>
    <row r="46" spans="1:20" x14ac:dyDescent="0.25">
      <c r="A46" s="676" t="s">
        <v>213</v>
      </c>
      <c r="B46" s="677"/>
      <c r="C46" s="677"/>
      <c r="D46" s="677"/>
      <c r="E46" s="677"/>
      <c r="F46" s="677"/>
      <c r="G46" s="677"/>
      <c r="H46" s="678"/>
      <c r="I46" s="676" t="s">
        <v>132</v>
      </c>
      <c r="J46" s="677"/>
      <c r="K46" s="677"/>
      <c r="L46" s="677"/>
      <c r="M46" s="677"/>
      <c r="N46" s="677"/>
      <c r="O46" s="677"/>
      <c r="P46" s="678"/>
    </row>
    <row r="47" spans="1:20" x14ac:dyDescent="0.25">
      <c r="A47" s="662"/>
      <c r="B47" s="663"/>
      <c r="C47" s="663"/>
      <c r="D47" s="663"/>
      <c r="E47" s="663"/>
      <c r="F47" s="663"/>
      <c r="G47" s="663"/>
      <c r="H47" s="664"/>
      <c r="I47" s="662"/>
      <c r="J47" s="663"/>
      <c r="K47" s="663"/>
      <c r="L47" s="663"/>
      <c r="M47" s="663"/>
      <c r="N47" s="663"/>
      <c r="O47" s="663"/>
      <c r="P47" s="664"/>
    </row>
    <row r="48" spans="1:20" x14ac:dyDescent="0.25">
      <c r="A48" s="662"/>
      <c r="B48" s="663"/>
      <c r="C48" s="663"/>
      <c r="D48" s="663"/>
      <c r="E48" s="663"/>
      <c r="F48" s="663"/>
      <c r="G48" s="663"/>
      <c r="H48" s="664"/>
      <c r="I48" s="662"/>
      <c r="J48" s="663"/>
      <c r="K48" s="663"/>
      <c r="L48" s="663"/>
      <c r="M48" s="663"/>
      <c r="N48" s="663"/>
      <c r="O48" s="663"/>
      <c r="P48" s="664"/>
    </row>
    <row r="49" spans="1:16" x14ac:dyDescent="0.25">
      <c r="A49" s="662"/>
      <c r="B49" s="663"/>
      <c r="C49" s="663"/>
      <c r="D49" s="663"/>
      <c r="E49" s="663"/>
      <c r="F49" s="663"/>
      <c r="G49" s="663"/>
      <c r="H49" s="664"/>
      <c r="I49" s="662"/>
      <c r="J49" s="663"/>
      <c r="K49" s="663"/>
      <c r="L49" s="663"/>
      <c r="M49" s="663"/>
      <c r="N49" s="663"/>
      <c r="O49" s="663"/>
      <c r="P49" s="664"/>
    </row>
    <row r="50" spans="1:16" ht="15.75" thickBot="1" x14ac:dyDescent="0.3">
      <c r="A50" s="665" t="s">
        <v>269</v>
      </c>
      <c r="B50" s="666"/>
      <c r="C50" s="666"/>
      <c r="D50" s="666"/>
      <c r="E50" s="666"/>
      <c r="F50" s="666"/>
      <c r="G50" s="666"/>
      <c r="H50" s="667"/>
      <c r="I50" s="665"/>
      <c r="J50" s="666"/>
      <c r="K50" s="666"/>
      <c r="L50" s="666"/>
      <c r="M50" s="666"/>
      <c r="N50" s="666"/>
      <c r="O50" s="666"/>
      <c r="P50" s="667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B1:L1"/>
    <mergeCell ref="M1:N1"/>
    <mergeCell ref="O1:P1"/>
    <mergeCell ref="A2:A4"/>
    <mergeCell ref="B2:L2"/>
    <mergeCell ref="B3:L3"/>
    <mergeCell ref="B4:L4"/>
    <mergeCell ref="A5:P5"/>
    <mergeCell ref="B6:G6"/>
    <mergeCell ref="H6:K6"/>
    <mergeCell ref="L6:P6"/>
    <mergeCell ref="B7:K7"/>
    <mergeCell ref="L7:P7"/>
    <mergeCell ref="B8:K8"/>
    <mergeCell ref="L8:P8"/>
    <mergeCell ref="A9:H9"/>
    <mergeCell ref="I9:P9"/>
    <mergeCell ref="A10:P10"/>
    <mergeCell ref="B11:D11"/>
    <mergeCell ref="E11:G11"/>
    <mergeCell ref="H11:J11"/>
    <mergeCell ref="K11:M11"/>
    <mergeCell ref="N11:O11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A20:P20"/>
    <mergeCell ref="A21:P21"/>
    <mergeCell ref="A22:P22"/>
    <mergeCell ref="A23:C23"/>
    <mergeCell ref="E23:F23"/>
    <mergeCell ref="G23:K23"/>
    <mergeCell ref="M23:N23"/>
    <mergeCell ref="O23:P23"/>
    <mergeCell ref="A24:P24"/>
    <mergeCell ref="B25:C25"/>
    <mergeCell ref="D25:P25"/>
    <mergeCell ref="A26:P26"/>
    <mergeCell ref="B27:G27"/>
    <mergeCell ref="H27:L27"/>
    <mergeCell ref="M27:N27"/>
    <mergeCell ref="A28:P28"/>
    <mergeCell ref="A29:G29"/>
    <mergeCell ref="H29:L29"/>
    <mergeCell ref="M29:N29"/>
    <mergeCell ref="O30:P30"/>
    <mergeCell ref="F41:H41"/>
    <mergeCell ref="I41:J41"/>
    <mergeCell ref="K41:P41"/>
    <mergeCell ref="A31:G31"/>
    <mergeCell ref="H31:J31"/>
    <mergeCell ref="M31:N31"/>
    <mergeCell ref="A32:P32"/>
    <mergeCell ref="A33:P33"/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workbookViewId="0">
      <selection activeCell="Q35" sqref="Q35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718" t="s">
        <v>214</v>
      </c>
      <c r="C1" s="719"/>
      <c r="D1" s="719"/>
      <c r="E1" s="719"/>
      <c r="F1" s="719"/>
      <c r="G1" s="719"/>
      <c r="H1" s="719"/>
      <c r="I1" s="719"/>
      <c r="J1" s="719"/>
      <c r="K1" s="719"/>
      <c r="L1" s="721" t="s">
        <v>215</v>
      </c>
      <c r="M1" s="722"/>
      <c r="N1" s="723" t="s">
        <v>216</v>
      </c>
      <c r="O1" s="724"/>
    </row>
    <row r="2" spans="1:15" ht="15" customHeight="1" x14ac:dyDescent="0.25">
      <c r="A2" s="725" t="s">
        <v>188</v>
      </c>
      <c r="B2" s="727" t="s">
        <v>263</v>
      </c>
      <c r="C2" s="728"/>
      <c r="D2" s="728"/>
      <c r="E2" s="728"/>
      <c r="F2" s="728"/>
      <c r="G2" s="728"/>
      <c r="H2" s="728"/>
      <c r="I2" s="728"/>
      <c r="J2" s="728"/>
      <c r="K2" s="728"/>
      <c r="L2" s="525" t="s">
        <v>217</v>
      </c>
      <c r="M2" s="828"/>
      <c r="N2" s="829" t="s">
        <v>218</v>
      </c>
      <c r="O2" s="829"/>
    </row>
    <row r="3" spans="1:15" ht="25.15" customHeight="1" x14ac:dyDescent="0.25">
      <c r="A3" s="725"/>
      <c r="B3" s="727"/>
      <c r="C3" s="728"/>
      <c r="D3" s="728"/>
      <c r="E3" s="728"/>
      <c r="F3" s="728"/>
      <c r="G3" s="728"/>
      <c r="H3" s="728"/>
      <c r="I3" s="728"/>
      <c r="J3" s="728"/>
      <c r="K3" s="728"/>
      <c r="L3" s="525" t="s">
        <v>219</v>
      </c>
      <c r="M3" s="828"/>
      <c r="N3" s="829" t="s">
        <v>220</v>
      </c>
      <c r="O3" s="829"/>
    </row>
    <row r="4" spans="1:15" ht="16.899999999999999" customHeight="1" thickBot="1" x14ac:dyDescent="0.3">
      <c r="A4" s="726"/>
      <c r="B4" s="730" t="s">
        <v>221</v>
      </c>
      <c r="C4" s="731"/>
      <c r="D4" s="731"/>
      <c r="E4" s="731"/>
      <c r="F4" s="731"/>
      <c r="G4" s="731"/>
      <c r="H4" s="731"/>
      <c r="I4" s="731"/>
      <c r="J4" s="731"/>
      <c r="K4" s="731"/>
      <c r="L4" s="821" t="s">
        <v>222</v>
      </c>
      <c r="M4" s="822"/>
      <c r="N4" s="823" t="s">
        <v>223</v>
      </c>
      <c r="O4" s="824"/>
    </row>
    <row r="5" spans="1:15" ht="4.9000000000000004" customHeight="1" x14ac:dyDescent="0.25">
      <c r="A5" s="825"/>
      <c r="B5" s="825"/>
      <c r="C5" s="825"/>
      <c r="D5" s="825"/>
      <c r="E5" s="825"/>
      <c r="F5" s="825"/>
      <c r="G5" s="825"/>
      <c r="H5" s="825"/>
      <c r="I5" s="825"/>
      <c r="J5" s="825"/>
      <c r="K5" s="825"/>
      <c r="L5" s="825"/>
      <c r="M5" s="825"/>
      <c r="N5" s="825"/>
      <c r="O5" s="825"/>
    </row>
    <row r="6" spans="1:15" ht="15.75" x14ac:dyDescent="0.25">
      <c r="A6" s="336" t="s">
        <v>192</v>
      </c>
      <c r="B6" s="715">
        <v>43813</v>
      </c>
      <c r="C6" s="715"/>
      <c r="D6" s="715"/>
      <c r="E6" s="715"/>
      <c r="F6" s="706" t="s">
        <v>193</v>
      </c>
      <c r="G6" s="706"/>
      <c r="H6" s="706"/>
      <c r="I6" s="706"/>
      <c r="J6" s="706"/>
      <c r="K6" s="826" t="s">
        <v>337</v>
      </c>
      <c r="L6" s="826"/>
      <c r="M6" s="826"/>
      <c r="N6" s="826"/>
      <c r="O6" s="827"/>
    </row>
    <row r="7" spans="1:15" ht="8.4499999999999993" customHeight="1" x14ac:dyDescent="0.25">
      <c r="A7" s="686"/>
      <c r="B7" s="686"/>
      <c r="C7" s="686"/>
      <c r="D7" s="686"/>
      <c r="E7" s="686"/>
      <c r="F7" s="686"/>
      <c r="G7" s="686"/>
      <c r="H7" s="686"/>
      <c r="I7" s="686"/>
      <c r="J7" s="686"/>
      <c r="K7" s="686"/>
      <c r="L7" s="686"/>
      <c r="M7" s="686"/>
      <c r="N7" s="686"/>
      <c r="O7" s="686"/>
    </row>
    <row r="8" spans="1:15" ht="4.9000000000000004" hidden="1" customHeight="1" x14ac:dyDescent="0.25">
      <c r="A8" s="708"/>
      <c r="B8" s="708"/>
      <c r="C8" s="708"/>
      <c r="D8" s="708"/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08"/>
    </row>
    <row r="9" spans="1:15" x14ac:dyDescent="0.25">
      <c r="A9" s="713" t="s">
        <v>194</v>
      </c>
      <c r="B9" s="709"/>
      <c r="C9" s="709"/>
      <c r="D9" s="709"/>
      <c r="E9" s="709"/>
      <c r="F9" s="709"/>
      <c r="G9" s="709"/>
      <c r="H9" s="709"/>
      <c r="I9" s="820"/>
      <c r="J9" s="820"/>
      <c r="K9" s="820"/>
      <c r="L9" s="708"/>
      <c r="M9" s="708"/>
      <c r="N9" s="708"/>
      <c r="O9" s="708"/>
    </row>
    <row r="10" spans="1:15" ht="2.4500000000000002" customHeight="1" x14ac:dyDescent="0.25">
      <c r="A10" s="671"/>
      <c r="B10" s="671"/>
      <c r="C10" s="671"/>
      <c r="D10" s="671"/>
      <c r="E10" s="671"/>
      <c r="F10" s="671"/>
      <c r="G10" s="671"/>
      <c r="H10" s="671"/>
      <c r="I10" s="671"/>
      <c r="J10" s="671"/>
      <c r="K10" s="671"/>
      <c r="L10" s="671"/>
      <c r="M10" s="671"/>
      <c r="N10" s="671"/>
      <c r="O10" s="671"/>
    </row>
    <row r="11" spans="1:15" ht="2.4500000000000002" customHeight="1" x14ac:dyDescent="0.25">
      <c r="A11" s="671"/>
      <c r="B11" s="671"/>
      <c r="C11" s="671"/>
      <c r="D11" s="671"/>
      <c r="E11" s="671"/>
      <c r="F11" s="671"/>
      <c r="G11" s="671"/>
      <c r="H11" s="671"/>
      <c r="I11" s="671"/>
      <c r="J11" s="671"/>
      <c r="K11" s="671"/>
      <c r="L11" s="671"/>
      <c r="M11" s="671"/>
      <c r="N11" s="671"/>
      <c r="O11" s="340"/>
    </row>
    <row r="12" spans="1:15" ht="17.25" x14ac:dyDescent="0.3">
      <c r="A12" s="437" t="s">
        <v>285</v>
      </c>
      <c r="B12" s="438">
        <v>5</v>
      </c>
      <c r="C12" s="438" t="s">
        <v>196</v>
      </c>
      <c r="D12" s="438">
        <v>8</v>
      </c>
      <c r="E12" s="438">
        <v>10</v>
      </c>
      <c r="F12" s="438" t="s">
        <v>197</v>
      </c>
      <c r="G12" s="438">
        <v>16</v>
      </c>
      <c r="H12" s="438">
        <v>20</v>
      </c>
      <c r="I12" s="438">
        <v>25</v>
      </c>
      <c r="J12" s="438" t="s">
        <v>198</v>
      </c>
      <c r="K12" s="438">
        <v>40</v>
      </c>
      <c r="L12" s="438">
        <v>63</v>
      </c>
      <c r="M12" s="438">
        <v>80</v>
      </c>
      <c r="N12" s="804" t="s">
        <v>286</v>
      </c>
      <c r="O12" s="804"/>
    </row>
    <row r="13" spans="1:15" ht="17.25" x14ac:dyDescent="0.25">
      <c r="A13" s="439" t="s">
        <v>195</v>
      </c>
      <c r="B13" s="438" t="s">
        <v>199</v>
      </c>
      <c r="C13" s="438" t="s">
        <v>200</v>
      </c>
      <c r="D13" s="438" t="s">
        <v>201</v>
      </c>
      <c r="E13" s="438" t="s">
        <v>202</v>
      </c>
      <c r="F13" s="438" t="s">
        <v>203</v>
      </c>
      <c r="G13" s="438">
        <v>2</v>
      </c>
      <c r="H13" s="438">
        <v>3</v>
      </c>
      <c r="I13" s="438">
        <v>5</v>
      </c>
      <c r="J13" s="438">
        <v>8</v>
      </c>
      <c r="K13" s="438">
        <v>12</v>
      </c>
      <c r="L13" s="438">
        <v>30</v>
      </c>
      <c r="M13" s="438">
        <v>50</v>
      </c>
      <c r="N13" s="748" t="s">
        <v>287</v>
      </c>
      <c r="O13" s="748"/>
    </row>
    <row r="14" spans="1:15" ht="13.15" customHeight="1" x14ac:dyDescent="0.25">
      <c r="A14" s="805"/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686"/>
      <c r="O14" s="806"/>
    </row>
    <row r="15" spans="1:15" ht="14.45" customHeight="1" x14ac:dyDescent="0.25">
      <c r="A15" s="807" t="s">
        <v>224</v>
      </c>
      <c r="B15" s="809" t="s">
        <v>225</v>
      </c>
      <c r="C15" s="809"/>
      <c r="D15" s="809"/>
      <c r="E15" s="802" t="s">
        <v>175</v>
      </c>
      <c r="F15" s="803"/>
      <c r="G15" s="803"/>
      <c r="H15" s="810" t="s">
        <v>226</v>
      </c>
      <c r="I15" s="810"/>
      <c r="J15" s="810"/>
      <c r="K15" s="810"/>
      <c r="L15" s="811" t="s">
        <v>227</v>
      </c>
      <c r="M15" s="812"/>
      <c r="N15" s="817" t="s">
        <v>228</v>
      </c>
      <c r="O15" s="817"/>
    </row>
    <row r="16" spans="1:15" ht="11.45" customHeight="1" x14ac:dyDescent="0.25">
      <c r="A16" s="808"/>
      <c r="B16" s="784"/>
      <c r="C16" s="784"/>
      <c r="D16" s="784"/>
      <c r="E16" s="802"/>
      <c r="F16" s="803"/>
      <c r="G16" s="803"/>
      <c r="H16" s="810"/>
      <c r="I16" s="810"/>
      <c r="J16" s="810"/>
      <c r="K16" s="810"/>
      <c r="L16" s="813"/>
      <c r="M16" s="814"/>
      <c r="N16" s="817"/>
      <c r="O16" s="817"/>
    </row>
    <row r="17" spans="1:19" x14ac:dyDescent="0.25">
      <c r="A17" s="818" t="s">
        <v>288</v>
      </c>
      <c r="B17" s="792" t="s">
        <v>229</v>
      </c>
      <c r="C17" s="705">
        <v>300</v>
      </c>
      <c r="D17" s="801" t="s">
        <v>230</v>
      </c>
      <c r="E17" s="802" t="s">
        <v>58</v>
      </c>
      <c r="F17" s="803" t="s">
        <v>231</v>
      </c>
      <c r="G17" s="803"/>
      <c r="H17" s="803" t="s">
        <v>232</v>
      </c>
      <c r="I17" s="803"/>
      <c r="J17" s="803" t="s">
        <v>233</v>
      </c>
      <c r="K17" s="803"/>
      <c r="L17" s="813"/>
      <c r="M17" s="814"/>
      <c r="N17" s="819" t="s">
        <v>234</v>
      </c>
      <c r="O17" s="819" t="s">
        <v>235</v>
      </c>
    </row>
    <row r="18" spans="1:19" ht="7.9" customHeight="1" x14ac:dyDescent="0.25">
      <c r="A18" s="818"/>
      <c r="B18" s="792"/>
      <c r="C18" s="705"/>
      <c r="D18" s="801"/>
      <c r="E18" s="802"/>
      <c r="F18" s="803"/>
      <c r="G18" s="803"/>
      <c r="H18" s="803"/>
      <c r="I18" s="803"/>
      <c r="J18" s="803"/>
      <c r="K18" s="803"/>
      <c r="L18" s="815"/>
      <c r="M18" s="816"/>
      <c r="N18" s="819"/>
      <c r="O18" s="819"/>
    </row>
    <row r="19" spans="1:19" ht="14.45" customHeight="1" x14ac:dyDescent="0.25">
      <c r="A19" s="795" t="s">
        <v>289</v>
      </c>
      <c r="B19" s="796"/>
      <c r="C19" s="796"/>
      <c r="D19" s="799" t="s">
        <v>236</v>
      </c>
      <c r="E19" s="440">
        <v>100</v>
      </c>
      <c r="F19" s="748"/>
      <c r="G19" s="748"/>
      <c r="H19" s="563"/>
      <c r="I19" s="563"/>
      <c r="J19" s="745"/>
      <c r="K19" s="745"/>
      <c r="L19" s="563"/>
      <c r="M19" s="563"/>
      <c r="N19" s="342"/>
      <c r="O19" s="342"/>
      <c r="Q19" s="322"/>
      <c r="R19" s="322"/>
      <c r="S19" s="322"/>
    </row>
    <row r="20" spans="1:19" x14ac:dyDescent="0.25">
      <c r="A20" s="797"/>
      <c r="B20" s="798"/>
      <c r="C20" s="798"/>
      <c r="D20" s="800"/>
      <c r="E20" s="440">
        <v>80</v>
      </c>
      <c r="F20" s="748"/>
      <c r="G20" s="748"/>
      <c r="H20" s="563"/>
      <c r="I20" s="563"/>
      <c r="J20" s="745"/>
      <c r="K20" s="745"/>
      <c r="L20" s="563"/>
      <c r="M20" s="563"/>
      <c r="N20" s="342"/>
      <c r="O20" s="342"/>
      <c r="Q20" s="322"/>
      <c r="R20" s="322"/>
      <c r="S20" s="322"/>
    </row>
    <row r="21" spans="1:19" ht="14.45" customHeight="1" x14ac:dyDescent="0.3">
      <c r="A21" s="792" t="s">
        <v>290</v>
      </c>
      <c r="B21" s="789"/>
      <c r="C21" s="789"/>
      <c r="D21" s="793"/>
      <c r="E21" s="440">
        <v>63</v>
      </c>
      <c r="F21" s="748"/>
      <c r="G21" s="748"/>
      <c r="H21" s="563"/>
      <c r="I21" s="563"/>
      <c r="J21" s="745"/>
      <c r="K21" s="745"/>
      <c r="L21" s="563"/>
      <c r="M21" s="563"/>
      <c r="N21" s="342"/>
      <c r="O21" s="342"/>
    </row>
    <row r="22" spans="1:19" ht="15" customHeight="1" x14ac:dyDescent="0.25">
      <c r="A22" s="441" t="s">
        <v>237</v>
      </c>
      <c r="B22" s="794"/>
      <c r="C22" s="794"/>
      <c r="D22" s="442" t="s">
        <v>238</v>
      </c>
      <c r="E22" s="440">
        <v>50</v>
      </c>
      <c r="F22" s="748"/>
      <c r="G22" s="748"/>
      <c r="H22" s="563"/>
      <c r="I22" s="563"/>
      <c r="J22" s="745"/>
      <c r="K22" s="745"/>
      <c r="L22" s="563"/>
      <c r="M22" s="563"/>
      <c r="N22" s="342"/>
      <c r="O22" s="342"/>
    </row>
    <row r="23" spans="1:19" ht="14.45" customHeight="1" x14ac:dyDescent="0.3">
      <c r="A23" s="788" t="s">
        <v>291</v>
      </c>
      <c r="B23" s="789"/>
      <c r="C23" s="789"/>
      <c r="D23" s="790"/>
      <c r="E23" s="439">
        <v>40</v>
      </c>
      <c r="F23" s="748"/>
      <c r="G23" s="748"/>
      <c r="H23" s="563"/>
      <c r="I23" s="563"/>
      <c r="J23" s="745"/>
      <c r="K23" s="745"/>
      <c r="L23" s="569">
        <f>J23</f>
        <v>0</v>
      </c>
      <c r="M23" s="570"/>
      <c r="N23" s="341">
        <f>L23/C17*100</f>
        <v>0</v>
      </c>
      <c r="O23" s="341">
        <f>100-N23</f>
        <v>100</v>
      </c>
    </row>
    <row r="24" spans="1:19" ht="15" customHeight="1" x14ac:dyDescent="0.25">
      <c r="A24" s="443" t="s">
        <v>239</v>
      </c>
      <c r="B24" s="791"/>
      <c r="C24" s="791"/>
      <c r="D24" s="444" t="s">
        <v>238</v>
      </c>
      <c r="E24" s="439">
        <v>31.5</v>
      </c>
      <c r="F24" s="748"/>
      <c r="G24" s="748"/>
      <c r="H24" s="563"/>
      <c r="I24" s="563"/>
      <c r="J24" s="745">
        <v>0</v>
      </c>
      <c r="K24" s="745"/>
      <c r="L24" s="563">
        <f>L23+J24</f>
        <v>0</v>
      </c>
      <c r="M24" s="563"/>
      <c r="N24" s="341">
        <f>L24/C17*100</f>
        <v>0</v>
      </c>
      <c r="O24" s="445">
        <f>100-N24</f>
        <v>100</v>
      </c>
    </row>
    <row r="25" spans="1:19" x14ac:dyDescent="0.25">
      <c r="A25" s="784" t="s">
        <v>292</v>
      </c>
      <c r="B25" s="741" t="s">
        <v>240</v>
      </c>
      <c r="C25" s="691"/>
      <c r="D25" s="787"/>
      <c r="E25" s="439">
        <v>25</v>
      </c>
      <c r="F25" s="748"/>
      <c r="G25" s="748"/>
      <c r="H25" s="563"/>
      <c r="I25" s="563"/>
      <c r="J25" s="745"/>
      <c r="K25" s="745"/>
      <c r="L25" s="563"/>
      <c r="M25" s="563"/>
      <c r="N25" s="341"/>
      <c r="O25" s="445"/>
    </row>
    <row r="26" spans="1:19" ht="17.25" x14ac:dyDescent="0.3">
      <c r="A26" s="785"/>
      <c r="B26" s="446" t="s">
        <v>293</v>
      </c>
      <c r="C26" s="447"/>
      <c r="D26" s="448" t="s">
        <v>241</v>
      </c>
      <c r="E26" s="439">
        <v>20</v>
      </c>
      <c r="F26" s="748"/>
      <c r="G26" s="748"/>
      <c r="H26" s="563"/>
      <c r="I26" s="563"/>
      <c r="J26" s="745">
        <v>18.899999999999999</v>
      </c>
      <c r="K26" s="745"/>
      <c r="L26" s="745">
        <f>L24+J26</f>
        <v>18.899999999999999</v>
      </c>
      <c r="M26" s="563"/>
      <c r="N26" s="341">
        <f>L26/C17*100</f>
        <v>6.3</v>
      </c>
      <c r="O26" s="445">
        <f>100-N26</f>
        <v>93.7</v>
      </c>
    </row>
    <row r="27" spans="1:19" x14ac:dyDescent="0.25">
      <c r="A27" s="785"/>
      <c r="B27" s="741" t="s">
        <v>242</v>
      </c>
      <c r="C27" s="691"/>
      <c r="D27" s="787"/>
      <c r="E27" s="439">
        <v>16</v>
      </c>
      <c r="F27" s="748"/>
      <c r="G27" s="748"/>
      <c r="H27" s="563"/>
      <c r="I27" s="563"/>
      <c r="J27" s="745"/>
      <c r="K27" s="745"/>
      <c r="L27" s="563"/>
      <c r="M27" s="563"/>
      <c r="N27" s="341"/>
      <c r="O27" s="445"/>
    </row>
    <row r="28" spans="1:19" x14ac:dyDescent="0.25">
      <c r="A28" s="786"/>
      <c r="B28" s="449" t="s">
        <v>243</v>
      </c>
      <c r="C28" s="449"/>
      <c r="D28" s="450" t="s">
        <v>244</v>
      </c>
      <c r="E28" s="439">
        <v>12.5</v>
      </c>
      <c r="F28" s="748"/>
      <c r="G28" s="748"/>
      <c r="H28" s="563"/>
      <c r="I28" s="563"/>
      <c r="J28" s="745"/>
      <c r="K28" s="745"/>
      <c r="L28" s="563"/>
      <c r="M28" s="563"/>
      <c r="N28" s="341"/>
      <c r="O28" s="445"/>
    </row>
    <row r="29" spans="1:19" x14ac:dyDescent="0.25">
      <c r="A29" s="784" t="s">
        <v>294</v>
      </c>
      <c r="B29" s="741" t="s">
        <v>240</v>
      </c>
      <c r="C29" s="691"/>
      <c r="D29" s="787"/>
      <c r="E29" s="439">
        <v>10</v>
      </c>
      <c r="F29" s="748"/>
      <c r="G29" s="748"/>
      <c r="H29" s="563"/>
      <c r="I29" s="563"/>
      <c r="J29" s="745">
        <v>0</v>
      </c>
      <c r="K29" s="745"/>
      <c r="L29" s="563">
        <f>J29+L26</f>
        <v>18.899999999999999</v>
      </c>
      <c r="M29" s="563"/>
      <c r="N29" s="341">
        <f>L29/C17*100</f>
        <v>6.3</v>
      </c>
      <c r="O29" s="445">
        <f>100-N29</f>
        <v>93.7</v>
      </c>
    </row>
    <row r="30" spans="1:19" x14ac:dyDescent="0.25">
      <c r="A30" s="785"/>
      <c r="B30" s="451" t="s">
        <v>245</v>
      </c>
      <c r="C30" s="449"/>
      <c r="D30" s="450" t="s">
        <v>241</v>
      </c>
      <c r="E30" s="439">
        <v>8</v>
      </c>
      <c r="F30" s="748"/>
      <c r="G30" s="748"/>
      <c r="H30" s="563"/>
      <c r="I30" s="563"/>
      <c r="J30" s="745"/>
      <c r="K30" s="745"/>
      <c r="L30" s="563"/>
      <c r="M30" s="563"/>
      <c r="N30" s="341"/>
      <c r="O30" s="445"/>
    </row>
    <row r="31" spans="1:19" x14ac:dyDescent="0.25">
      <c r="A31" s="785"/>
      <c r="B31" s="742" t="s">
        <v>242</v>
      </c>
      <c r="C31" s="705"/>
      <c r="D31" s="743"/>
      <c r="E31" s="439">
        <v>6.3</v>
      </c>
      <c r="F31" s="748"/>
      <c r="G31" s="748"/>
      <c r="H31" s="563"/>
      <c r="I31" s="563"/>
      <c r="J31" s="745"/>
      <c r="K31" s="745"/>
      <c r="L31" s="563"/>
      <c r="M31" s="563"/>
      <c r="N31" s="341"/>
      <c r="O31" s="445"/>
    </row>
    <row r="32" spans="1:19" x14ac:dyDescent="0.25">
      <c r="A32" s="786"/>
      <c r="B32" s="451" t="s">
        <v>246</v>
      </c>
      <c r="C32" s="449"/>
      <c r="D32" s="450" t="s">
        <v>241</v>
      </c>
      <c r="E32" s="439">
        <v>5</v>
      </c>
      <c r="F32" s="748"/>
      <c r="G32" s="748"/>
      <c r="H32" s="563"/>
      <c r="I32" s="563"/>
      <c r="J32" s="745">
        <v>4.2</v>
      </c>
      <c r="K32" s="745"/>
      <c r="L32" s="563">
        <f>J32+L29</f>
        <v>23.099999999999998</v>
      </c>
      <c r="M32" s="563"/>
      <c r="N32" s="341">
        <f>L32/C17*100</f>
        <v>7.7</v>
      </c>
      <c r="O32" s="445">
        <f>100-N32</f>
        <v>92.3</v>
      </c>
    </row>
    <row r="33" spans="1:15" x14ac:dyDescent="0.25">
      <c r="A33" s="764" t="s">
        <v>247</v>
      </c>
      <c r="B33" s="783"/>
      <c r="C33" s="783"/>
      <c r="D33" s="765"/>
      <c r="E33" s="439">
        <v>4</v>
      </c>
      <c r="F33" s="748"/>
      <c r="G33" s="748"/>
      <c r="H33" s="563"/>
      <c r="I33" s="563"/>
      <c r="J33" s="745"/>
      <c r="K33" s="745"/>
      <c r="L33" s="563"/>
      <c r="M33" s="563"/>
      <c r="N33" s="341"/>
      <c r="O33" s="341"/>
    </row>
    <row r="34" spans="1:15" ht="13.15" customHeight="1" x14ac:dyDescent="0.3">
      <c r="A34" s="746" t="s">
        <v>295</v>
      </c>
      <c r="B34" s="747"/>
      <c r="C34" s="449"/>
      <c r="D34" s="450" t="s">
        <v>241</v>
      </c>
      <c r="E34" s="439">
        <v>3.15</v>
      </c>
      <c r="F34" s="748"/>
      <c r="G34" s="748"/>
      <c r="H34" s="563"/>
      <c r="I34" s="563"/>
      <c r="J34" s="745"/>
      <c r="K34" s="745"/>
      <c r="L34" s="563"/>
      <c r="M34" s="563"/>
      <c r="N34" s="341"/>
      <c r="O34" s="341"/>
    </row>
    <row r="35" spans="1:15" x14ac:dyDescent="0.25">
      <c r="A35" s="766" t="s">
        <v>248</v>
      </c>
      <c r="B35" s="767"/>
      <c r="C35" s="767"/>
      <c r="D35" s="768"/>
      <c r="E35" s="439">
        <v>2.5</v>
      </c>
      <c r="F35" s="748"/>
      <c r="G35" s="748"/>
      <c r="H35" s="563"/>
      <c r="I35" s="563"/>
      <c r="J35" s="745"/>
      <c r="K35" s="745"/>
      <c r="L35" s="563"/>
      <c r="M35" s="563"/>
      <c r="N35" s="341"/>
      <c r="O35" s="341"/>
    </row>
    <row r="36" spans="1:15" x14ac:dyDescent="0.25">
      <c r="A36" s="769"/>
      <c r="B36" s="770"/>
      <c r="C36" s="770"/>
      <c r="D36" s="771"/>
      <c r="E36" s="439">
        <v>2</v>
      </c>
      <c r="F36" s="748"/>
      <c r="G36" s="748"/>
      <c r="H36" s="563"/>
      <c r="I36" s="563"/>
      <c r="J36" s="745">
        <v>4.5999999999999996</v>
      </c>
      <c r="K36" s="745"/>
      <c r="L36" s="563">
        <f>J36+L32</f>
        <v>27.699999999999996</v>
      </c>
      <c r="M36" s="563"/>
      <c r="N36" s="341">
        <f>L36/C17*100</f>
        <v>9.2333333333333325</v>
      </c>
      <c r="O36" s="445">
        <f>100-N36</f>
        <v>90.766666666666666</v>
      </c>
    </row>
    <row r="37" spans="1:15" x14ac:dyDescent="0.25">
      <c r="A37" s="772" t="s">
        <v>249</v>
      </c>
      <c r="B37" s="773"/>
      <c r="C37" s="452"/>
      <c r="D37" s="453" t="s">
        <v>250</v>
      </c>
      <c r="E37" s="439">
        <v>1.6</v>
      </c>
      <c r="F37" s="748"/>
      <c r="G37" s="748"/>
      <c r="H37" s="563"/>
      <c r="I37" s="563"/>
      <c r="J37" s="745"/>
      <c r="K37" s="745"/>
      <c r="L37" s="563"/>
      <c r="M37" s="563"/>
      <c r="N37" s="341"/>
      <c r="O37" s="341"/>
    </row>
    <row r="38" spans="1:15" ht="13.15" customHeight="1" x14ac:dyDescent="0.3">
      <c r="A38" s="774" t="s">
        <v>296</v>
      </c>
      <c r="B38" s="775"/>
      <c r="C38" s="775"/>
      <c r="D38" s="776"/>
      <c r="E38" s="439">
        <v>1.25</v>
      </c>
      <c r="F38" s="748"/>
      <c r="G38" s="748"/>
      <c r="H38" s="563"/>
      <c r="I38" s="563"/>
      <c r="J38" s="745"/>
      <c r="K38" s="745"/>
      <c r="L38" s="563"/>
      <c r="M38" s="563"/>
      <c r="N38" s="341"/>
      <c r="O38" s="445"/>
    </row>
    <row r="39" spans="1:15" ht="13.15" customHeight="1" x14ac:dyDescent="0.25">
      <c r="A39" s="777" t="s">
        <v>297</v>
      </c>
      <c r="B39" s="778"/>
      <c r="C39" s="780"/>
      <c r="D39" s="781" t="s">
        <v>241</v>
      </c>
      <c r="E39" s="439">
        <v>1</v>
      </c>
      <c r="F39" s="748"/>
      <c r="G39" s="748"/>
      <c r="H39" s="563"/>
      <c r="I39" s="563"/>
      <c r="J39" s="745">
        <v>6.1</v>
      </c>
      <c r="K39" s="745"/>
      <c r="L39" s="563">
        <f>J39+L36</f>
        <v>33.799999999999997</v>
      </c>
      <c r="M39" s="563"/>
      <c r="N39" s="454">
        <f>L39/C17*100</f>
        <v>11.266666666666666</v>
      </c>
      <c r="O39" s="445">
        <f>100-N39</f>
        <v>88.733333333333334</v>
      </c>
    </row>
    <row r="40" spans="1:15" ht="15" customHeight="1" x14ac:dyDescent="0.25">
      <c r="A40" s="762"/>
      <c r="B40" s="779"/>
      <c r="C40" s="663"/>
      <c r="D40" s="782"/>
      <c r="E40" s="455">
        <v>0.8</v>
      </c>
      <c r="F40" s="748">
        <v>800</v>
      </c>
      <c r="G40" s="748"/>
      <c r="H40" s="563"/>
      <c r="I40" s="563"/>
      <c r="J40" s="745"/>
      <c r="K40" s="745"/>
      <c r="L40" s="563"/>
      <c r="M40" s="563"/>
      <c r="N40" s="341"/>
      <c r="O40" s="445"/>
    </row>
    <row r="41" spans="1:15" ht="15.6" customHeight="1" x14ac:dyDescent="0.25">
      <c r="A41" s="766" t="s">
        <v>298</v>
      </c>
      <c r="B41" s="767"/>
      <c r="C41" s="767"/>
      <c r="D41" s="768"/>
      <c r="E41" s="456">
        <v>0.63</v>
      </c>
      <c r="F41" s="748">
        <v>630</v>
      </c>
      <c r="G41" s="748"/>
      <c r="H41" s="563"/>
      <c r="I41" s="563"/>
      <c r="J41" s="745"/>
      <c r="K41" s="745"/>
      <c r="L41" s="563"/>
      <c r="M41" s="563"/>
      <c r="N41" s="341"/>
      <c r="O41" s="445"/>
    </row>
    <row r="42" spans="1:15" x14ac:dyDescent="0.25">
      <c r="A42" s="769"/>
      <c r="B42" s="770"/>
      <c r="C42" s="770"/>
      <c r="D42" s="771"/>
      <c r="E42" s="456">
        <v>0.5</v>
      </c>
      <c r="F42" s="748">
        <v>500</v>
      </c>
      <c r="G42" s="748"/>
      <c r="H42" s="563"/>
      <c r="I42" s="563"/>
      <c r="J42" s="745"/>
      <c r="K42" s="745"/>
      <c r="L42" s="563"/>
      <c r="M42" s="563"/>
      <c r="N42" s="341"/>
      <c r="O42" s="445"/>
    </row>
    <row r="43" spans="1:15" ht="14.45" customHeight="1" x14ac:dyDescent="0.25">
      <c r="A43" s="756" t="s">
        <v>299</v>
      </c>
      <c r="B43" s="757"/>
      <c r="C43" s="760"/>
      <c r="D43" s="761" t="s">
        <v>251</v>
      </c>
      <c r="E43" s="456">
        <v>0.4</v>
      </c>
      <c r="F43" s="748">
        <v>400</v>
      </c>
      <c r="G43" s="748"/>
      <c r="H43" s="563"/>
      <c r="I43" s="563"/>
      <c r="J43" s="745">
        <v>49.4</v>
      </c>
      <c r="K43" s="745"/>
      <c r="L43" s="563">
        <f>J43+L39</f>
        <v>83.199999999999989</v>
      </c>
      <c r="M43" s="563"/>
      <c r="N43" s="454">
        <f>L43/C17*100</f>
        <v>27.733333333333331</v>
      </c>
      <c r="O43" s="445">
        <f>100-N43</f>
        <v>72.266666666666666</v>
      </c>
    </row>
    <row r="44" spans="1:15" x14ac:dyDescent="0.25">
      <c r="A44" s="758"/>
      <c r="B44" s="759"/>
      <c r="C44" s="760"/>
      <c r="D44" s="761"/>
      <c r="E44" s="456">
        <v>0.315</v>
      </c>
      <c r="F44" s="748">
        <v>315</v>
      </c>
      <c r="G44" s="748"/>
      <c r="H44" s="563"/>
      <c r="I44" s="563"/>
      <c r="J44" s="745"/>
      <c r="K44" s="745"/>
      <c r="L44" s="563"/>
      <c r="M44" s="563"/>
      <c r="N44" s="341"/>
      <c r="O44" s="445"/>
    </row>
    <row r="45" spans="1:15" ht="15" customHeight="1" x14ac:dyDescent="0.25">
      <c r="A45" s="754" t="s">
        <v>252</v>
      </c>
      <c r="B45" s="755"/>
      <c r="C45" s="457" t="s">
        <v>253</v>
      </c>
      <c r="D45" s="458"/>
      <c r="E45" s="456">
        <v>0.25</v>
      </c>
      <c r="F45" s="748">
        <v>250</v>
      </c>
      <c r="G45" s="748"/>
      <c r="H45" s="563"/>
      <c r="I45" s="563"/>
      <c r="J45" s="745"/>
      <c r="K45" s="745"/>
      <c r="L45" s="563"/>
      <c r="M45" s="563"/>
      <c r="N45" s="341"/>
      <c r="O45" s="445"/>
    </row>
    <row r="46" spans="1:15" ht="13.15" customHeight="1" x14ac:dyDescent="0.25">
      <c r="A46" s="756"/>
      <c r="B46" s="757"/>
      <c r="C46" s="762" t="s">
        <v>300</v>
      </c>
      <c r="D46" s="763"/>
      <c r="E46" s="456">
        <v>0.2</v>
      </c>
      <c r="F46" s="748">
        <v>200</v>
      </c>
      <c r="G46" s="748"/>
      <c r="H46" s="563"/>
      <c r="I46" s="563"/>
      <c r="J46" s="745">
        <v>84.2</v>
      </c>
      <c r="K46" s="745"/>
      <c r="L46" s="563">
        <f>J46+L43</f>
        <v>167.39999999999998</v>
      </c>
      <c r="M46" s="563"/>
      <c r="N46" s="454">
        <f>L46/C17*100</f>
        <v>55.8</v>
      </c>
      <c r="O46" s="445">
        <f>100-N46</f>
        <v>44.2</v>
      </c>
    </row>
    <row r="47" spans="1:15" x14ac:dyDescent="0.25">
      <c r="A47" s="756"/>
      <c r="B47" s="757"/>
      <c r="C47" s="764" t="s">
        <v>254</v>
      </c>
      <c r="D47" s="765"/>
      <c r="E47" s="456">
        <v>0.16</v>
      </c>
      <c r="F47" s="748">
        <v>160</v>
      </c>
      <c r="G47" s="748"/>
      <c r="H47" s="563"/>
      <c r="I47" s="563"/>
      <c r="J47" s="745"/>
      <c r="K47" s="745"/>
      <c r="L47" s="563"/>
      <c r="M47" s="563"/>
      <c r="N47" s="341"/>
      <c r="O47" s="445"/>
    </row>
    <row r="48" spans="1:15" ht="13.9" customHeight="1" x14ac:dyDescent="0.3">
      <c r="A48" s="758"/>
      <c r="B48" s="759"/>
      <c r="C48" s="744" t="s">
        <v>301</v>
      </c>
      <c r="D48" s="734"/>
      <c r="E48" s="456">
        <v>0.125</v>
      </c>
      <c r="F48" s="748">
        <v>125</v>
      </c>
      <c r="G48" s="748"/>
      <c r="H48" s="563"/>
      <c r="I48" s="563"/>
      <c r="J48" s="745"/>
      <c r="K48" s="745"/>
      <c r="L48" s="563"/>
      <c r="M48" s="563"/>
      <c r="N48" s="341"/>
      <c r="O48" s="445"/>
    </row>
    <row r="49" spans="1:15" ht="12.6" customHeight="1" x14ac:dyDescent="0.25">
      <c r="A49" s="751" t="s">
        <v>255</v>
      </c>
      <c r="B49" s="752"/>
      <c r="C49" s="752"/>
      <c r="D49" s="753"/>
      <c r="E49" s="455">
        <v>0.1</v>
      </c>
      <c r="F49" s="748">
        <v>100</v>
      </c>
      <c r="G49" s="748"/>
      <c r="H49" s="563"/>
      <c r="I49" s="563"/>
      <c r="J49" s="745">
        <v>60.8</v>
      </c>
      <c r="K49" s="745"/>
      <c r="L49" s="745">
        <f>L46+J49</f>
        <v>228.2</v>
      </c>
      <c r="M49" s="563"/>
      <c r="N49" s="454">
        <f>L49/C17*100</f>
        <v>76.066666666666663</v>
      </c>
      <c r="O49" s="445">
        <f>100-N49</f>
        <v>23.933333333333337</v>
      </c>
    </row>
    <row r="50" spans="1:15" ht="12.6" customHeight="1" x14ac:dyDescent="0.25">
      <c r="A50" s="746" t="s">
        <v>256</v>
      </c>
      <c r="B50" s="747"/>
      <c r="C50" s="346"/>
      <c r="D50" s="448" t="s">
        <v>257</v>
      </c>
      <c r="E50" s="459">
        <v>0.08</v>
      </c>
      <c r="F50" s="748">
        <v>80</v>
      </c>
      <c r="G50" s="748"/>
      <c r="H50" s="563"/>
      <c r="I50" s="563"/>
      <c r="J50" s="745">
        <v>8.6</v>
      </c>
      <c r="K50" s="745"/>
      <c r="L50" s="749">
        <f>J50+L49</f>
        <v>236.79999999999998</v>
      </c>
      <c r="M50" s="570"/>
      <c r="N50" s="454">
        <f>L50/C17*100</f>
        <v>78.933333333333337</v>
      </c>
      <c r="O50" s="445">
        <f>100-N50</f>
        <v>21.066666666666663</v>
      </c>
    </row>
    <row r="51" spans="1:15" ht="34.9" customHeight="1" x14ac:dyDescent="0.25">
      <c r="A51" s="750" t="s">
        <v>258</v>
      </c>
      <c r="B51" s="750"/>
      <c r="C51" s="750"/>
      <c r="D51" s="750"/>
      <c r="E51" s="563"/>
      <c r="F51" s="563"/>
      <c r="G51" s="563"/>
      <c r="H51" s="563"/>
      <c r="I51" s="563"/>
      <c r="J51" s="563"/>
      <c r="K51" s="563"/>
      <c r="L51" s="563"/>
      <c r="M51" s="563"/>
      <c r="N51" s="563"/>
      <c r="O51" s="563"/>
    </row>
    <row r="52" spans="1:15" ht="9.6" customHeight="1" x14ac:dyDescent="0.25">
      <c r="A52" s="686"/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</row>
    <row r="53" spans="1:15" ht="15" customHeight="1" x14ac:dyDescent="0.25">
      <c r="A53" s="735" t="s">
        <v>165</v>
      </c>
      <c r="B53" s="736"/>
      <c r="C53" s="736"/>
      <c r="D53" s="736"/>
      <c r="E53" s="736"/>
      <c r="F53" s="736"/>
      <c r="G53" s="741" t="s">
        <v>213</v>
      </c>
      <c r="H53" s="691"/>
      <c r="I53" s="691"/>
      <c r="J53" s="691"/>
      <c r="K53" s="691"/>
      <c r="L53" s="460"/>
      <c r="M53" s="460"/>
      <c r="N53" s="460"/>
      <c r="O53" s="461"/>
    </row>
    <row r="54" spans="1:15" ht="7.9" customHeight="1" x14ac:dyDescent="0.25">
      <c r="A54" s="737"/>
      <c r="B54" s="738"/>
      <c r="C54" s="738"/>
      <c r="D54" s="738"/>
      <c r="E54" s="738"/>
      <c r="F54" s="738"/>
      <c r="G54" s="464"/>
      <c r="H54" s="462"/>
      <c r="I54" s="705"/>
      <c r="J54" s="705"/>
      <c r="K54" s="705"/>
      <c r="L54" s="705"/>
      <c r="M54" s="705"/>
      <c r="N54" s="462"/>
      <c r="O54" s="463"/>
    </row>
    <row r="55" spans="1:15" ht="10.9" customHeight="1" x14ac:dyDescent="0.25">
      <c r="A55" s="737"/>
      <c r="B55" s="738"/>
      <c r="C55" s="738"/>
      <c r="D55" s="738"/>
      <c r="E55" s="738"/>
      <c r="F55" s="738"/>
      <c r="G55" s="742" t="s">
        <v>259</v>
      </c>
      <c r="H55" s="705"/>
      <c r="I55" s="705"/>
      <c r="J55" s="705"/>
      <c r="K55" s="705"/>
      <c r="L55" s="705"/>
      <c r="M55" s="705"/>
      <c r="N55" s="462"/>
      <c r="O55" s="463"/>
    </row>
    <row r="56" spans="1:15" ht="2.4500000000000002" customHeight="1" x14ac:dyDescent="0.25">
      <c r="A56" s="737"/>
      <c r="B56" s="738"/>
      <c r="C56" s="738"/>
      <c r="D56" s="738"/>
      <c r="E56" s="738"/>
      <c r="F56" s="738"/>
      <c r="G56" s="742"/>
      <c r="H56" s="705"/>
      <c r="I56" s="705"/>
      <c r="J56" s="705"/>
      <c r="K56" s="705"/>
      <c r="L56" s="705"/>
      <c r="M56" s="705"/>
      <c r="N56" s="705"/>
      <c r="O56" s="743"/>
    </row>
    <row r="57" spans="1:15" ht="24.6" customHeight="1" x14ac:dyDescent="0.25">
      <c r="A57" s="739"/>
      <c r="B57" s="740"/>
      <c r="C57" s="740"/>
      <c r="D57" s="740"/>
      <c r="E57" s="740"/>
      <c r="F57" s="740"/>
      <c r="G57" s="744" t="s">
        <v>260</v>
      </c>
      <c r="H57" s="733"/>
      <c r="I57" s="733"/>
      <c r="J57" s="733"/>
      <c r="K57" s="733"/>
      <c r="L57" s="733"/>
      <c r="M57" s="733"/>
      <c r="N57" s="733"/>
      <c r="O57" s="734"/>
    </row>
  </sheetData>
  <mergeCells count="211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topLeftCell="A15" workbookViewId="0">
      <selection activeCell="A7" sqref="A7:O8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31" t="s">
        <v>261</v>
      </c>
      <c r="C1" s="832"/>
      <c r="D1" s="832"/>
      <c r="E1" s="832"/>
      <c r="F1" s="832"/>
      <c r="G1" s="832"/>
      <c r="H1" s="832"/>
      <c r="I1" s="832"/>
      <c r="J1" s="832"/>
      <c r="K1" s="832"/>
      <c r="L1" s="721" t="s">
        <v>215</v>
      </c>
      <c r="M1" s="722"/>
      <c r="N1" s="723" t="s">
        <v>216</v>
      </c>
      <c r="O1" s="724"/>
    </row>
    <row r="2" spans="1:15" x14ac:dyDescent="0.25">
      <c r="A2" s="725" t="s">
        <v>188</v>
      </c>
      <c r="B2" s="727" t="s">
        <v>302</v>
      </c>
      <c r="C2" s="728"/>
      <c r="D2" s="728"/>
      <c r="E2" s="728"/>
      <c r="F2" s="728"/>
      <c r="G2" s="728"/>
      <c r="H2" s="728"/>
      <c r="I2" s="728"/>
      <c r="J2" s="728"/>
      <c r="K2" s="728"/>
      <c r="L2" s="525" t="s">
        <v>217</v>
      </c>
      <c r="M2" s="828"/>
      <c r="N2" s="829" t="s">
        <v>218</v>
      </c>
      <c r="O2" s="829"/>
    </row>
    <row r="3" spans="1:15" x14ac:dyDescent="0.25">
      <c r="A3" s="725"/>
      <c r="B3" s="727"/>
      <c r="C3" s="728"/>
      <c r="D3" s="728"/>
      <c r="E3" s="728"/>
      <c r="F3" s="728"/>
      <c r="G3" s="728"/>
      <c r="H3" s="728"/>
      <c r="I3" s="728"/>
      <c r="J3" s="728"/>
      <c r="K3" s="728"/>
      <c r="L3" s="525" t="s">
        <v>219</v>
      </c>
      <c r="M3" s="828"/>
      <c r="N3" s="829" t="s">
        <v>220</v>
      </c>
      <c r="O3" s="829"/>
    </row>
    <row r="4" spans="1:15" ht="15.75" thickBot="1" x14ac:dyDescent="0.3">
      <c r="A4" s="726"/>
      <c r="B4" s="833" t="s">
        <v>262</v>
      </c>
      <c r="C4" s="834"/>
      <c r="D4" s="834"/>
      <c r="E4" s="834"/>
      <c r="F4" s="834"/>
      <c r="G4" s="834"/>
      <c r="H4" s="834"/>
      <c r="I4" s="834"/>
      <c r="J4" s="834"/>
      <c r="K4" s="834"/>
      <c r="L4" s="821" t="s">
        <v>222</v>
      </c>
      <c r="M4" s="822"/>
      <c r="N4" s="823" t="s">
        <v>223</v>
      </c>
      <c r="O4" s="824"/>
    </row>
    <row r="5" spans="1:15" x14ac:dyDescent="0.25">
      <c r="A5" s="825"/>
      <c r="B5" s="825"/>
      <c r="C5" s="825"/>
      <c r="D5" s="825"/>
      <c r="E5" s="825"/>
      <c r="F5" s="825"/>
      <c r="G5" s="825"/>
      <c r="H5" s="825"/>
      <c r="I5" s="825"/>
      <c r="J5" s="825"/>
      <c r="K5" s="825"/>
      <c r="L5" s="825"/>
      <c r="M5" s="825"/>
      <c r="N5" s="825"/>
      <c r="O5" s="825"/>
    </row>
    <row r="6" spans="1:15" x14ac:dyDescent="0.25">
      <c r="A6" s="336" t="s">
        <v>192</v>
      </c>
      <c r="B6" s="715">
        <f>'Granulo P1'!B6:E6</f>
        <v>43813</v>
      </c>
      <c r="C6" s="706"/>
      <c r="D6" s="706"/>
      <c r="E6" s="706"/>
      <c r="F6" s="706"/>
      <c r="G6" s="830" t="s">
        <v>193</v>
      </c>
      <c r="H6" s="830"/>
      <c r="I6" s="830"/>
      <c r="J6" s="830"/>
      <c r="K6" s="830"/>
      <c r="L6" s="706" t="str">
        <f>'Granulo P1'!K6</f>
        <v>Sable Gris  - Puit 5 - 3ème couche</v>
      </c>
      <c r="M6" s="706"/>
      <c r="N6" s="706"/>
      <c r="O6" s="570"/>
    </row>
    <row r="7" spans="1:15" ht="13.9" customHeight="1" x14ac:dyDescent="0.25">
      <c r="A7" s="686"/>
      <c r="B7" s="686"/>
      <c r="C7" s="686"/>
      <c r="D7" s="686"/>
      <c r="E7" s="686"/>
      <c r="F7" s="686"/>
      <c r="G7" s="686"/>
      <c r="H7" s="686"/>
      <c r="I7" s="686"/>
      <c r="J7" s="686"/>
      <c r="K7" s="686"/>
      <c r="L7" s="686"/>
      <c r="M7" s="686"/>
      <c r="N7" s="686"/>
      <c r="O7" s="686"/>
    </row>
    <row r="8" spans="1:15" ht="4.1500000000000004" hidden="1" customHeight="1" x14ac:dyDescent="0.25">
      <c r="A8" s="708"/>
      <c r="B8" s="708"/>
      <c r="C8" s="708"/>
      <c r="D8" s="708"/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08"/>
    </row>
    <row r="9" spans="1:15" x14ac:dyDescent="0.25">
      <c r="A9" s="713" t="s">
        <v>194</v>
      </c>
      <c r="B9" s="709"/>
      <c r="C9" s="709"/>
      <c r="D9" s="709"/>
      <c r="E9" s="709"/>
      <c r="F9" s="709"/>
      <c r="G9" s="709"/>
      <c r="H9" s="709"/>
      <c r="I9" s="708"/>
      <c r="J9" s="708"/>
      <c r="K9" s="708"/>
      <c r="L9" s="708"/>
      <c r="M9" s="708"/>
      <c r="N9" s="708"/>
      <c r="O9" s="708"/>
    </row>
    <row r="10" spans="1:15" ht="7.15" customHeight="1" x14ac:dyDescent="0.25">
      <c r="A10" s="671"/>
      <c r="B10" s="671"/>
      <c r="C10" s="671"/>
      <c r="D10" s="671"/>
      <c r="E10" s="671"/>
      <c r="F10" s="671"/>
      <c r="G10" s="671"/>
      <c r="H10" s="671"/>
      <c r="I10" s="671"/>
      <c r="J10" s="671"/>
      <c r="K10" s="671"/>
      <c r="L10" s="671"/>
      <c r="M10" s="671"/>
      <c r="N10" s="671"/>
      <c r="O10" s="671"/>
    </row>
    <row r="11" spans="1:15" ht="3.6" hidden="1" customHeight="1" x14ac:dyDescent="0.25">
      <c r="A11" s="671"/>
      <c r="B11" s="671"/>
      <c r="C11" s="671"/>
      <c r="D11" s="671"/>
      <c r="E11" s="671"/>
      <c r="F11" s="671"/>
      <c r="G11" s="671"/>
      <c r="H11" s="671"/>
      <c r="I11" s="671"/>
      <c r="J11" s="671"/>
      <c r="K11" s="671"/>
      <c r="L11" s="671"/>
      <c r="M11" s="671"/>
      <c r="N11" s="671"/>
      <c r="O11" s="340"/>
    </row>
    <row r="12" spans="1:15" ht="17.25" x14ac:dyDescent="0.3">
      <c r="A12" s="437" t="s">
        <v>285</v>
      </c>
      <c r="B12" s="438">
        <v>5</v>
      </c>
      <c r="C12" s="438" t="s">
        <v>196</v>
      </c>
      <c r="D12" s="438">
        <v>8</v>
      </c>
      <c r="E12" s="438">
        <v>10</v>
      </c>
      <c r="F12" s="438" t="s">
        <v>197</v>
      </c>
      <c r="G12" s="438">
        <v>16</v>
      </c>
      <c r="H12" s="438">
        <v>20</v>
      </c>
      <c r="I12" s="438">
        <v>25</v>
      </c>
      <c r="J12" s="438" t="s">
        <v>198</v>
      </c>
      <c r="K12" s="438">
        <v>40</v>
      </c>
      <c r="L12" s="438">
        <v>63</v>
      </c>
      <c r="M12" s="438">
        <v>80</v>
      </c>
      <c r="N12" s="804" t="s">
        <v>286</v>
      </c>
      <c r="O12" s="804"/>
    </row>
    <row r="13" spans="1:15" ht="17.25" x14ac:dyDescent="0.25">
      <c r="A13" s="439" t="s">
        <v>195</v>
      </c>
      <c r="B13" s="438" t="s">
        <v>199</v>
      </c>
      <c r="C13" s="438" t="s">
        <v>200</v>
      </c>
      <c r="D13" s="438" t="s">
        <v>201</v>
      </c>
      <c r="E13" s="438" t="s">
        <v>202</v>
      </c>
      <c r="F13" s="438" t="s">
        <v>203</v>
      </c>
      <c r="G13" s="438">
        <v>2</v>
      </c>
      <c r="H13" s="438">
        <v>3</v>
      </c>
      <c r="I13" s="438">
        <v>5</v>
      </c>
      <c r="J13" s="438">
        <v>8</v>
      </c>
      <c r="K13" s="438">
        <v>12</v>
      </c>
      <c r="L13" s="438">
        <v>30</v>
      </c>
      <c r="M13" s="438">
        <v>50</v>
      </c>
      <c r="N13" s="748" t="s">
        <v>287</v>
      </c>
      <c r="O13" s="748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7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5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5">
        <f>'Granulo P1'!O26</f>
        <v>93.7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5">
        <f>'Granulo P1'!O29</f>
        <v>93.7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5">
        <f>'Granulo P1'!O32</f>
        <v>92.3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5">
        <f>'Granulo P1'!O36</f>
        <v>90.766666666666666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5">
        <f>'Granulo P1'!O39</f>
        <v>88.733333333333334</v>
      </c>
      <c r="W25" s="445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5">
        <f>'Granulo P1'!O43</f>
        <v>72.266666666666666</v>
      </c>
      <c r="W26" s="445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5">
        <f>'Granulo P1'!O46</f>
        <v>44.2</v>
      </c>
      <c r="W27" s="445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5">
        <f>'Granulo P1'!O49</f>
        <v>23.933333333333337</v>
      </c>
      <c r="W28" s="445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5">
        <f>'Granulo P1'!O50</f>
        <v>21.066666666666663</v>
      </c>
      <c r="W29" s="445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29" zoomScale="99" zoomScaleNormal="99" workbookViewId="0">
      <selection activeCell="J20" sqref="J20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721"/>
      <c r="B1" s="722"/>
      <c r="C1" s="722"/>
      <c r="D1" s="722"/>
      <c r="E1" s="722"/>
      <c r="F1" s="722"/>
      <c r="G1" s="722"/>
      <c r="H1" s="722"/>
      <c r="I1" s="838"/>
    </row>
    <row r="2" spans="1:9" x14ac:dyDescent="0.25">
      <c r="A2" s="525"/>
      <c r="B2" s="828"/>
      <c r="C2" s="828"/>
      <c r="D2" s="828"/>
      <c r="E2" s="828"/>
      <c r="F2" s="828"/>
      <c r="G2" s="828"/>
      <c r="H2" s="828"/>
      <c r="I2" s="839"/>
    </row>
    <row r="3" spans="1:9" x14ac:dyDescent="0.25">
      <c r="A3" s="525"/>
      <c r="B3" s="828"/>
      <c r="C3" s="828"/>
      <c r="D3" s="828"/>
      <c r="E3" s="828"/>
      <c r="F3" s="828"/>
      <c r="G3" s="828"/>
      <c r="H3" s="828"/>
      <c r="I3" s="839"/>
    </row>
    <row r="4" spans="1:9" x14ac:dyDescent="0.25">
      <c r="A4" s="525"/>
      <c r="B4" s="828"/>
      <c r="C4" s="828"/>
      <c r="D4" s="828"/>
      <c r="E4" s="828"/>
      <c r="F4" s="828"/>
      <c r="G4" s="828"/>
      <c r="H4" s="828"/>
      <c r="I4" s="839"/>
    </row>
    <row r="5" spans="1:9" x14ac:dyDescent="0.25">
      <c r="A5" s="525"/>
      <c r="B5" s="828"/>
      <c r="C5" s="828"/>
      <c r="D5" s="828"/>
      <c r="E5" s="828"/>
      <c r="F5" s="828"/>
      <c r="G5" s="828"/>
      <c r="H5" s="828"/>
      <c r="I5" s="839"/>
    </row>
    <row r="6" spans="1:9" x14ac:dyDescent="0.25">
      <c r="A6" s="525"/>
      <c r="B6" s="828"/>
      <c r="C6" s="828"/>
      <c r="D6" s="828"/>
      <c r="E6" s="828"/>
      <c r="F6" s="828"/>
      <c r="G6" s="828"/>
      <c r="H6" s="828"/>
      <c r="I6" s="839"/>
    </row>
    <row r="7" spans="1:9" x14ac:dyDescent="0.25">
      <c r="A7" s="525"/>
      <c r="B7" s="828"/>
      <c r="C7" s="828"/>
      <c r="D7" s="828"/>
      <c r="E7" s="828"/>
      <c r="F7" s="828"/>
      <c r="G7" s="828"/>
      <c r="H7" s="828"/>
      <c r="I7" s="839"/>
    </row>
    <row r="8" spans="1:9" x14ac:dyDescent="0.25">
      <c r="A8" s="525"/>
      <c r="B8" s="828"/>
      <c r="C8" s="828"/>
      <c r="D8" s="828"/>
      <c r="E8" s="828"/>
      <c r="F8" s="828"/>
      <c r="G8" s="828"/>
      <c r="H8" s="828"/>
      <c r="I8" s="839"/>
    </row>
    <row r="9" spans="1:9" x14ac:dyDescent="0.25">
      <c r="A9" s="525"/>
      <c r="B9" s="828"/>
      <c r="C9" s="828"/>
      <c r="D9" s="828"/>
      <c r="E9" s="828"/>
      <c r="F9" s="828"/>
      <c r="G9" s="828"/>
      <c r="H9" s="828"/>
      <c r="I9" s="839"/>
    </row>
    <row r="10" spans="1:9" x14ac:dyDescent="0.25">
      <c r="A10" s="525"/>
      <c r="B10" s="828"/>
      <c r="C10" s="828"/>
      <c r="D10" s="828"/>
      <c r="E10" s="828"/>
      <c r="F10" s="828"/>
      <c r="G10" s="828"/>
      <c r="H10" s="828"/>
      <c r="I10" s="839"/>
    </row>
    <row r="11" spans="1:9" ht="27" x14ac:dyDescent="0.5">
      <c r="A11" s="840" t="s">
        <v>340</v>
      </c>
      <c r="B11" s="841"/>
      <c r="C11" s="841"/>
      <c r="D11" s="841"/>
      <c r="E11" s="841"/>
      <c r="F11" s="841"/>
      <c r="G11" s="841"/>
      <c r="H11" s="841"/>
      <c r="I11" s="842"/>
    </row>
    <row r="12" spans="1:9" x14ac:dyDescent="0.25">
      <c r="A12" s="843"/>
      <c r="B12" s="844"/>
      <c r="C12" s="844"/>
      <c r="D12" s="844"/>
      <c r="E12" s="844"/>
      <c r="F12" s="844"/>
      <c r="G12" s="844"/>
      <c r="H12" s="844"/>
      <c r="I12" s="845"/>
    </row>
    <row r="13" spans="1:9" x14ac:dyDescent="0.25">
      <c r="A13" s="835"/>
      <c r="B13" s="836"/>
      <c r="C13" s="836"/>
      <c r="D13" s="836"/>
      <c r="E13" s="836"/>
      <c r="F13" s="836"/>
      <c r="G13" s="846" t="s">
        <v>357</v>
      </c>
      <c r="H13" s="846"/>
      <c r="I13" s="847"/>
    </row>
    <row r="14" spans="1:9" x14ac:dyDescent="0.25">
      <c r="A14" s="835"/>
      <c r="B14" s="836"/>
      <c r="C14" s="836"/>
      <c r="D14" s="836"/>
      <c r="E14" s="836"/>
      <c r="F14" s="836"/>
      <c r="G14" s="836"/>
      <c r="H14" s="836"/>
      <c r="I14" s="837"/>
    </row>
    <row r="15" spans="1:9" x14ac:dyDescent="0.25">
      <c r="A15" s="835"/>
      <c r="B15" s="836"/>
      <c r="C15" s="836"/>
      <c r="D15" s="836"/>
      <c r="E15" s="846" t="s">
        <v>356</v>
      </c>
      <c r="F15" s="846"/>
      <c r="G15" s="846"/>
      <c r="H15" s="846"/>
      <c r="I15" s="847"/>
    </row>
    <row r="16" spans="1:9" x14ac:dyDescent="0.25">
      <c r="A16" s="848" t="s">
        <v>358</v>
      </c>
      <c r="B16" s="849"/>
      <c r="C16" s="849"/>
      <c r="D16" s="849"/>
      <c r="E16" s="849"/>
      <c r="F16" s="849"/>
      <c r="G16" s="849"/>
      <c r="H16" s="849"/>
      <c r="I16" s="850"/>
    </row>
    <row r="17" spans="1:9" ht="31.9" customHeight="1" x14ac:dyDescent="0.25">
      <c r="A17" s="851" t="s">
        <v>341</v>
      </c>
      <c r="B17" s="852"/>
      <c r="C17" s="852"/>
      <c r="D17" s="852"/>
      <c r="E17" s="852"/>
      <c r="F17" s="853"/>
      <c r="G17" s="490">
        <v>6</v>
      </c>
      <c r="H17" s="491">
        <v>3</v>
      </c>
      <c r="I17" s="492"/>
    </row>
    <row r="18" spans="1:9" x14ac:dyDescent="0.25">
      <c r="A18" s="854" t="s">
        <v>342</v>
      </c>
      <c r="B18" s="855"/>
      <c r="C18" s="855"/>
      <c r="D18" s="855"/>
      <c r="E18" s="855"/>
      <c r="F18" s="856"/>
      <c r="G18" s="857">
        <v>269.8</v>
      </c>
      <c r="H18" s="857">
        <v>220.4</v>
      </c>
      <c r="I18" s="859"/>
    </row>
    <row r="19" spans="1:9" x14ac:dyDescent="0.25">
      <c r="A19" s="854"/>
      <c r="B19" s="855"/>
      <c r="C19" s="855"/>
      <c r="D19" s="855"/>
      <c r="E19" s="855"/>
      <c r="F19" s="856"/>
      <c r="G19" s="858"/>
      <c r="H19" s="858"/>
      <c r="I19" s="860"/>
    </row>
    <row r="20" spans="1:9" x14ac:dyDescent="0.25">
      <c r="A20" s="854" t="s">
        <v>343</v>
      </c>
      <c r="B20" s="855"/>
      <c r="C20" s="855"/>
      <c r="D20" s="855"/>
      <c r="E20" s="855"/>
      <c r="F20" s="856"/>
      <c r="G20" s="857">
        <v>569.29999999999995</v>
      </c>
      <c r="H20" s="857">
        <v>520.5</v>
      </c>
      <c r="I20" s="859"/>
    </row>
    <row r="21" spans="1:9" x14ac:dyDescent="0.25">
      <c r="A21" s="854"/>
      <c r="B21" s="855"/>
      <c r="C21" s="855"/>
      <c r="D21" s="855"/>
      <c r="E21" s="855"/>
      <c r="F21" s="856"/>
      <c r="G21" s="858"/>
      <c r="H21" s="858"/>
      <c r="I21" s="860"/>
    </row>
    <row r="22" spans="1:9" x14ac:dyDescent="0.25">
      <c r="A22" s="854" t="s">
        <v>344</v>
      </c>
      <c r="B22" s="855"/>
      <c r="C22" s="855"/>
      <c r="D22" s="855"/>
      <c r="E22" s="855"/>
      <c r="F22" s="856"/>
      <c r="G22" s="857">
        <v>982.5</v>
      </c>
      <c r="H22" s="857">
        <v>955.7</v>
      </c>
      <c r="I22" s="859"/>
    </row>
    <row r="23" spans="1:9" x14ac:dyDescent="0.25">
      <c r="A23" s="854"/>
      <c r="B23" s="855"/>
      <c r="C23" s="855"/>
      <c r="D23" s="855"/>
      <c r="E23" s="855"/>
      <c r="F23" s="856"/>
      <c r="G23" s="858"/>
      <c r="H23" s="858"/>
      <c r="I23" s="860"/>
    </row>
    <row r="24" spans="1:9" x14ac:dyDescent="0.25">
      <c r="A24" s="854" t="s">
        <v>345</v>
      </c>
      <c r="B24" s="855"/>
      <c r="C24" s="855"/>
      <c r="D24" s="855"/>
      <c r="E24" s="855"/>
      <c r="F24" s="856"/>
      <c r="G24" s="857">
        <v>800.3</v>
      </c>
      <c r="H24" s="857">
        <v>773.1</v>
      </c>
      <c r="I24" s="859"/>
    </row>
    <row r="25" spans="1:9" x14ac:dyDescent="0.25">
      <c r="A25" s="854"/>
      <c r="B25" s="855"/>
      <c r="C25" s="855"/>
      <c r="D25" s="855"/>
      <c r="E25" s="855"/>
      <c r="F25" s="856"/>
      <c r="G25" s="858"/>
      <c r="H25" s="858"/>
      <c r="I25" s="860"/>
    </row>
    <row r="26" spans="1:9" ht="31.9" customHeight="1" x14ac:dyDescent="0.25">
      <c r="A26" s="854"/>
      <c r="B26" s="855"/>
      <c r="C26" s="855"/>
      <c r="D26" s="855"/>
      <c r="E26" s="855"/>
      <c r="F26" s="856"/>
      <c r="G26" s="861"/>
      <c r="H26" s="862"/>
      <c r="I26" s="863"/>
    </row>
    <row r="27" spans="1:9" x14ac:dyDescent="0.25">
      <c r="A27" s="854"/>
      <c r="B27" s="855"/>
      <c r="C27" s="855"/>
      <c r="D27" s="855"/>
      <c r="E27" s="855"/>
      <c r="F27" s="856"/>
      <c r="G27" s="864"/>
      <c r="H27" s="865"/>
      <c r="I27" s="866"/>
    </row>
    <row r="28" spans="1:9" x14ac:dyDescent="0.25">
      <c r="A28" s="854" t="s">
        <v>346</v>
      </c>
      <c r="B28" s="855"/>
      <c r="C28" s="855"/>
      <c r="D28" s="855"/>
      <c r="E28" s="855"/>
      <c r="F28" s="856"/>
      <c r="G28" s="857">
        <f>G24-G18</f>
        <v>530.5</v>
      </c>
      <c r="H28" s="857">
        <f>H24-H18</f>
        <v>552.70000000000005</v>
      </c>
      <c r="I28" s="867"/>
    </row>
    <row r="29" spans="1:9" x14ac:dyDescent="0.25">
      <c r="A29" s="854"/>
      <c r="B29" s="855"/>
      <c r="C29" s="855"/>
      <c r="D29" s="855"/>
      <c r="E29" s="855"/>
      <c r="F29" s="856"/>
      <c r="G29" s="858"/>
      <c r="H29" s="858"/>
      <c r="I29" s="868"/>
    </row>
    <row r="30" spans="1:9" x14ac:dyDescent="0.25">
      <c r="A30" s="854" t="s">
        <v>347</v>
      </c>
      <c r="B30" s="855"/>
      <c r="C30" s="855"/>
      <c r="D30" s="855"/>
      <c r="E30" s="855"/>
      <c r="F30" s="856"/>
      <c r="G30" s="857">
        <f>G20-G18</f>
        <v>299.49999999999994</v>
      </c>
      <c r="H30" s="869">
        <f>H20-H18</f>
        <v>300.10000000000002</v>
      </c>
      <c r="I30" s="859"/>
    </row>
    <row r="31" spans="1:9" x14ac:dyDescent="0.25">
      <c r="A31" s="854"/>
      <c r="B31" s="855"/>
      <c r="C31" s="855"/>
      <c r="D31" s="855"/>
      <c r="E31" s="855"/>
      <c r="F31" s="856"/>
      <c r="G31" s="858"/>
      <c r="H31" s="870"/>
      <c r="I31" s="860"/>
    </row>
    <row r="32" spans="1:9" x14ac:dyDescent="0.25">
      <c r="A32" s="854" t="s">
        <v>348</v>
      </c>
      <c r="B32" s="855"/>
      <c r="C32" s="855"/>
      <c r="D32" s="855"/>
      <c r="E32" s="855"/>
      <c r="F32" s="856"/>
      <c r="G32" s="857">
        <f>G22-G20</f>
        <v>413.20000000000005</v>
      </c>
      <c r="H32" s="857">
        <f>H22-H20</f>
        <v>435.20000000000005</v>
      </c>
      <c r="I32" s="859"/>
    </row>
    <row r="33" spans="1:9" x14ac:dyDescent="0.25">
      <c r="A33" s="854"/>
      <c r="B33" s="855"/>
      <c r="C33" s="855"/>
      <c r="D33" s="855"/>
      <c r="E33" s="855"/>
      <c r="F33" s="856"/>
      <c r="G33" s="858"/>
      <c r="H33" s="858"/>
      <c r="I33" s="860"/>
    </row>
    <row r="34" spans="1:9" x14ac:dyDescent="0.25">
      <c r="A34" s="854" t="s">
        <v>349</v>
      </c>
      <c r="B34" s="855"/>
      <c r="C34" s="855"/>
      <c r="D34" s="855"/>
      <c r="E34" s="855"/>
      <c r="F34" s="856"/>
      <c r="G34" s="857">
        <f>G28-G32</f>
        <v>117.29999999999995</v>
      </c>
      <c r="H34" s="857">
        <f>H28-H32</f>
        <v>117.5</v>
      </c>
      <c r="I34" s="859"/>
    </row>
    <row r="35" spans="1:9" x14ac:dyDescent="0.25">
      <c r="A35" s="854"/>
      <c r="B35" s="855"/>
      <c r="C35" s="855"/>
      <c r="D35" s="855"/>
      <c r="E35" s="855"/>
      <c r="F35" s="856"/>
      <c r="G35" s="858"/>
      <c r="H35" s="858"/>
      <c r="I35" s="860"/>
    </row>
    <row r="36" spans="1:9" ht="38.450000000000003" customHeight="1" x14ac:dyDescent="0.25">
      <c r="A36" s="854" t="s">
        <v>350</v>
      </c>
      <c r="B36" s="855"/>
      <c r="C36" s="855"/>
      <c r="D36" s="855"/>
      <c r="E36" s="855"/>
      <c r="F36" s="856"/>
      <c r="G36" s="861"/>
      <c r="H36" s="862"/>
      <c r="I36" s="863"/>
    </row>
    <row r="37" spans="1:9" x14ac:dyDescent="0.25">
      <c r="A37" s="854"/>
      <c r="B37" s="855"/>
      <c r="C37" s="855"/>
      <c r="D37" s="855"/>
      <c r="E37" s="855"/>
      <c r="F37" s="856"/>
      <c r="G37" s="864"/>
      <c r="H37" s="865"/>
      <c r="I37" s="866"/>
    </row>
    <row r="38" spans="1:9" x14ac:dyDescent="0.25">
      <c r="A38" s="883" t="s">
        <v>351</v>
      </c>
      <c r="B38" s="884"/>
      <c r="C38" s="884"/>
      <c r="D38" s="884"/>
      <c r="E38" s="884"/>
      <c r="F38" s="885"/>
      <c r="G38" s="886">
        <f>G30/G34</f>
        <v>2.5532821824381933</v>
      </c>
      <c r="H38" s="886">
        <f>H30/H34</f>
        <v>2.5540425531914894</v>
      </c>
      <c r="I38" s="888"/>
    </row>
    <row r="39" spans="1:9" x14ac:dyDescent="0.25">
      <c r="A39" s="883"/>
      <c r="B39" s="884"/>
      <c r="C39" s="884"/>
      <c r="D39" s="884"/>
      <c r="E39" s="884"/>
      <c r="F39" s="885"/>
      <c r="G39" s="887"/>
      <c r="H39" s="887"/>
      <c r="I39" s="889"/>
    </row>
    <row r="40" spans="1:9" ht="40.9" customHeight="1" x14ac:dyDescent="0.25">
      <c r="A40" s="854"/>
      <c r="B40" s="855"/>
      <c r="C40" s="855"/>
      <c r="D40" s="855"/>
      <c r="E40" s="855"/>
      <c r="F40" s="856"/>
      <c r="G40" s="861"/>
      <c r="H40" s="862"/>
      <c r="I40" s="863"/>
    </row>
    <row r="41" spans="1:9" x14ac:dyDescent="0.25">
      <c r="A41" s="854"/>
      <c r="B41" s="855"/>
      <c r="C41" s="855"/>
      <c r="D41" s="855"/>
      <c r="E41" s="855"/>
      <c r="F41" s="856"/>
      <c r="G41" s="864"/>
      <c r="H41" s="865"/>
      <c r="I41" s="866"/>
    </row>
    <row r="42" spans="1:9" x14ac:dyDescent="0.25">
      <c r="A42" s="890" t="s">
        <v>352</v>
      </c>
      <c r="B42" s="891"/>
      <c r="C42" s="891"/>
      <c r="D42" s="891"/>
      <c r="E42" s="891"/>
      <c r="F42" s="892"/>
      <c r="G42" s="896">
        <f>AVERAGE(G38,H38,I38)</f>
        <v>2.5536623678148413</v>
      </c>
      <c r="H42" s="897"/>
      <c r="I42" s="898"/>
    </row>
    <row r="43" spans="1:9" x14ac:dyDescent="0.25">
      <c r="A43" s="893"/>
      <c r="B43" s="894"/>
      <c r="C43" s="894"/>
      <c r="D43" s="894"/>
      <c r="E43" s="894"/>
      <c r="F43" s="895"/>
      <c r="G43" s="899"/>
      <c r="H43" s="900"/>
      <c r="I43" s="901"/>
    </row>
    <row r="44" spans="1:9" x14ac:dyDescent="0.25">
      <c r="A44" s="902" t="s">
        <v>353</v>
      </c>
      <c r="B44" s="903"/>
      <c r="C44" s="903"/>
      <c r="D44" s="903"/>
      <c r="E44" s="903"/>
      <c r="F44" s="903"/>
      <c r="G44" s="903"/>
      <c r="H44" s="903"/>
      <c r="I44" s="904"/>
    </row>
    <row r="45" spans="1:9" ht="19.149999999999999" customHeight="1" thickBot="1" x14ac:dyDescent="0.3">
      <c r="A45" s="905"/>
      <c r="B45" s="906"/>
      <c r="C45" s="906"/>
      <c r="D45" s="906"/>
      <c r="E45" s="906"/>
      <c r="F45" s="906"/>
      <c r="G45" s="906"/>
      <c r="H45" s="906"/>
      <c r="I45" s="907"/>
    </row>
    <row r="46" spans="1:9" ht="14.45" customHeight="1" x14ac:dyDescent="0.25">
      <c r="A46" s="871" t="s">
        <v>354</v>
      </c>
      <c r="B46" s="872"/>
      <c r="C46" s="872"/>
      <c r="D46" s="873"/>
      <c r="E46" s="877" t="s">
        <v>355</v>
      </c>
      <c r="F46" s="878"/>
      <c r="G46" s="878"/>
      <c r="H46" s="878"/>
      <c r="I46" s="879"/>
    </row>
    <row r="47" spans="1:9" ht="36" customHeight="1" thickBot="1" x14ac:dyDescent="0.3">
      <c r="A47" s="874"/>
      <c r="B47" s="875"/>
      <c r="C47" s="875"/>
      <c r="D47" s="876"/>
      <c r="E47" s="880"/>
      <c r="F47" s="881"/>
      <c r="G47" s="881"/>
      <c r="H47" s="881"/>
      <c r="I47" s="882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31" zoomScale="136" zoomScaleNormal="136" workbookViewId="0">
      <selection activeCell="M47" sqref="M47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96"/>
      <c r="B1" s="999" t="s">
        <v>0</v>
      </c>
      <c r="C1" s="1000"/>
      <c r="D1" s="1000"/>
      <c r="E1" s="1000"/>
      <c r="F1" s="1000"/>
      <c r="G1" s="1000"/>
      <c r="H1" s="1000"/>
      <c r="I1" s="1000"/>
      <c r="J1" s="1001" t="s">
        <v>49</v>
      </c>
      <c r="K1" s="1002"/>
    </row>
    <row r="2" spans="1:11" x14ac:dyDescent="0.25">
      <c r="A2" s="997"/>
      <c r="B2" s="1003" t="s">
        <v>1</v>
      </c>
      <c r="C2" s="1004"/>
      <c r="D2" s="1004"/>
      <c r="E2" s="1004"/>
      <c r="F2" s="1004"/>
      <c r="G2" s="1004"/>
      <c r="H2" s="1004"/>
      <c r="I2" s="1005"/>
      <c r="J2" s="1009" t="s">
        <v>50</v>
      </c>
      <c r="K2" s="1010"/>
    </row>
    <row r="3" spans="1:11" ht="11.45" customHeight="1" thickBot="1" x14ac:dyDescent="0.3">
      <c r="A3" s="998"/>
      <c r="B3" s="1006"/>
      <c r="C3" s="1007"/>
      <c r="D3" s="1007"/>
      <c r="E3" s="1007"/>
      <c r="F3" s="1007"/>
      <c r="G3" s="1007"/>
      <c r="H3" s="1007"/>
      <c r="I3" s="1008"/>
      <c r="J3" s="1011" t="s">
        <v>2</v>
      </c>
      <c r="K3" s="1012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1013" t="s">
        <v>3</v>
      </c>
      <c r="B5" s="1015" t="s">
        <v>4</v>
      </c>
      <c r="C5" s="1016"/>
      <c r="D5" s="1016"/>
      <c r="E5" s="1016"/>
      <c r="F5" s="1016"/>
      <c r="G5" s="1016"/>
      <c r="H5" s="1016"/>
      <c r="I5" s="1016"/>
      <c r="J5" s="1016"/>
      <c r="K5" s="1017"/>
    </row>
    <row r="6" spans="1:11" ht="11.45" customHeight="1" x14ac:dyDescent="0.25">
      <c r="A6" s="1014"/>
      <c r="B6" s="1018" t="s">
        <v>5</v>
      </c>
      <c r="C6" s="855"/>
      <c r="D6" s="855"/>
      <c r="E6" s="855"/>
      <c r="F6" s="855"/>
      <c r="G6" s="855"/>
      <c r="H6" s="855"/>
      <c r="I6" s="855"/>
      <c r="J6" s="855"/>
      <c r="K6" s="1019"/>
    </row>
    <row r="7" spans="1:11" ht="16.899999999999999" customHeight="1" thickBot="1" x14ac:dyDescent="0.3">
      <c r="A7" s="24"/>
      <c r="B7" s="1020" t="s">
        <v>6</v>
      </c>
      <c r="C7" s="1021"/>
      <c r="D7" s="1021"/>
      <c r="E7" s="1021"/>
      <c r="F7" s="1021"/>
      <c r="G7" s="1021"/>
      <c r="H7" s="1021"/>
      <c r="I7" s="1021"/>
      <c r="J7" s="1021"/>
      <c r="K7" s="1022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1023" t="s">
        <v>7</v>
      </c>
      <c r="B10" s="976"/>
      <c r="C10" s="976"/>
      <c r="D10" s="976"/>
      <c r="E10" s="976"/>
      <c r="F10" s="976"/>
      <c r="G10" s="976"/>
      <c r="H10" s="976"/>
      <c r="I10" s="976"/>
      <c r="J10" s="976"/>
      <c r="K10" s="1024"/>
    </row>
    <row r="11" spans="1:11" x14ac:dyDescent="0.25">
      <c r="A11" s="986" t="s">
        <v>316</v>
      </c>
      <c r="B11" s="994"/>
      <c r="C11" s="994"/>
      <c r="D11" s="994"/>
      <c r="E11" s="994"/>
      <c r="F11" s="994"/>
      <c r="G11" s="994"/>
      <c r="H11" s="994"/>
      <c r="I11" s="994"/>
      <c r="J11" s="994"/>
      <c r="K11" s="995"/>
    </row>
    <row r="12" spans="1:11" ht="13.15" customHeight="1" x14ac:dyDescent="0.25">
      <c r="A12" s="986" t="s">
        <v>56</v>
      </c>
      <c r="B12" s="987"/>
      <c r="C12" s="987"/>
      <c r="D12" s="988"/>
      <c r="E12" s="989" t="s">
        <v>317</v>
      </c>
      <c r="F12" s="990"/>
      <c r="G12" s="990"/>
      <c r="H12" s="990"/>
      <c r="I12" s="990"/>
      <c r="J12" s="990"/>
      <c r="K12" s="991"/>
    </row>
    <row r="13" spans="1:11" ht="13.15" customHeight="1" x14ac:dyDescent="0.25">
      <c r="A13" s="986" t="s">
        <v>314</v>
      </c>
      <c r="B13" s="987"/>
      <c r="C13" s="987"/>
      <c r="D13" s="988"/>
      <c r="E13" s="989" t="s">
        <v>8</v>
      </c>
      <c r="F13" s="990"/>
      <c r="G13" s="990"/>
      <c r="H13" s="990"/>
      <c r="I13" s="990"/>
      <c r="J13" s="990"/>
      <c r="K13" s="991"/>
    </row>
    <row r="14" spans="1:11" ht="13.9" customHeight="1" x14ac:dyDescent="0.25">
      <c r="A14" s="986" t="s">
        <v>59</v>
      </c>
      <c r="B14" s="987"/>
      <c r="C14" s="987"/>
      <c r="D14" s="987"/>
      <c r="E14" s="992" t="s">
        <v>9</v>
      </c>
      <c r="F14" s="987"/>
      <c r="G14" s="987"/>
      <c r="H14" s="987"/>
      <c r="I14" s="987"/>
      <c r="J14" s="987"/>
      <c r="K14" s="993"/>
    </row>
    <row r="15" spans="1:11" ht="15.6" customHeight="1" thickBot="1" x14ac:dyDescent="0.3">
      <c r="A15" s="969" t="s">
        <v>318</v>
      </c>
      <c r="B15" s="970"/>
      <c r="C15" s="970"/>
      <c r="D15" s="970"/>
      <c r="E15" s="971" t="s">
        <v>304</v>
      </c>
      <c r="F15" s="970"/>
      <c r="G15" s="970"/>
      <c r="H15" s="970"/>
      <c r="I15" s="970"/>
      <c r="J15" s="970"/>
      <c r="K15" s="972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73" t="s">
        <v>10</v>
      </c>
      <c r="B17" s="26"/>
      <c r="C17" s="975" t="s">
        <v>11</v>
      </c>
      <c r="D17" s="976"/>
      <c r="E17" s="977"/>
      <c r="F17" s="27"/>
      <c r="G17" s="26"/>
      <c r="H17" s="978" t="s">
        <v>12</v>
      </c>
      <c r="I17" s="979"/>
      <c r="J17" s="980"/>
      <c r="K17" s="28" t="s">
        <v>13</v>
      </c>
    </row>
    <row r="18" spans="1:11" ht="13.9" customHeight="1" x14ac:dyDescent="0.25">
      <c r="A18" s="974"/>
      <c r="B18" s="29"/>
      <c r="C18" s="981" t="s">
        <v>14</v>
      </c>
      <c r="D18" s="982"/>
      <c r="E18" s="981" t="s">
        <v>15</v>
      </c>
      <c r="F18" s="982"/>
      <c r="G18" s="29"/>
      <c r="H18" s="983" t="s">
        <v>14</v>
      </c>
      <c r="I18" s="984"/>
      <c r="J18" s="983" t="s">
        <v>15</v>
      </c>
      <c r="K18" s="985"/>
    </row>
    <row r="19" spans="1:11" ht="12" customHeight="1" x14ac:dyDescent="0.25">
      <c r="A19" s="30" t="s">
        <v>16</v>
      </c>
      <c r="B19" s="1"/>
      <c r="C19" s="963" t="s">
        <v>51</v>
      </c>
      <c r="D19" s="964"/>
      <c r="E19" s="964"/>
      <c r="F19" s="965"/>
      <c r="G19" s="1"/>
      <c r="H19" s="966" t="s">
        <v>52</v>
      </c>
      <c r="I19" s="967"/>
      <c r="J19" s="967"/>
      <c r="K19" s="968"/>
    </row>
    <row r="20" spans="1:11" ht="13.15" customHeight="1" x14ac:dyDescent="0.25">
      <c r="A20" s="30" t="s">
        <v>17</v>
      </c>
      <c r="B20" s="1"/>
      <c r="C20" s="963" t="s">
        <v>18</v>
      </c>
      <c r="D20" s="964"/>
      <c r="E20" s="964"/>
      <c r="F20" s="965"/>
      <c r="G20" s="1"/>
      <c r="H20" s="966" t="s">
        <v>18</v>
      </c>
      <c r="I20" s="967"/>
      <c r="J20" s="967"/>
      <c r="K20" s="968"/>
    </row>
    <row r="21" spans="1:11" x14ac:dyDescent="0.25">
      <c r="A21" s="30" t="s">
        <v>19</v>
      </c>
      <c r="B21" s="2"/>
      <c r="C21" s="963" t="s">
        <v>20</v>
      </c>
      <c r="D21" s="964"/>
      <c r="E21" s="964"/>
      <c r="F21" s="965"/>
      <c r="G21" s="2"/>
      <c r="H21" s="966" t="s">
        <v>21</v>
      </c>
      <c r="I21" s="967"/>
      <c r="J21" s="967"/>
      <c r="K21" s="968"/>
    </row>
    <row r="22" spans="1:11" ht="13.15" customHeight="1" x14ac:dyDescent="0.25">
      <c r="A22" s="30" t="s">
        <v>22</v>
      </c>
      <c r="B22" s="3"/>
      <c r="C22" s="950">
        <v>3</v>
      </c>
      <c r="D22" s="951"/>
      <c r="E22" s="951"/>
      <c r="F22" s="952"/>
      <c r="G22" s="4"/>
      <c r="H22" s="953">
        <v>5</v>
      </c>
      <c r="I22" s="954"/>
      <c r="J22" s="954"/>
      <c r="K22" s="955"/>
    </row>
    <row r="23" spans="1:11" ht="15.75" thickBot="1" x14ac:dyDescent="0.3">
      <c r="A23" s="31" t="s">
        <v>23</v>
      </c>
      <c r="B23" s="32"/>
      <c r="C23" s="956">
        <v>25</v>
      </c>
      <c r="D23" s="957"/>
      <c r="E23" s="958">
        <v>56</v>
      </c>
      <c r="F23" s="959"/>
      <c r="G23" s="5"/>
      <c r="H23" s="960">
        <v>25</v>
      </c>
      <c r="I23" s="961"/>
      <c r="J23" s="960">
        <v>56</v>
      </c>
      <c r="K23" s="962"/>
    </row>
    <row r="24" spans="1:11" ht="16.5" thickTop="1" thickBot="1" x14ac:dyDescent="0.3">
      <c r="A24" s="33" t="s">
        <v>24</v>
      </c>
      <c r="B24" s="937">
        <v>1</v>
      </c>
      <c r="C24" s="938"/>
      <c r="D24" s="481"/>
      <c r="E24" s="939" t="s">
        <v>53</v>
      </c>
      <c r="F24" s="933"/>
      <c r="G24" s="933"/>
      <c r="H24" s="940"/>
      <c r="I24" s="941">
        <v>0</v>
      </c>
      <c r="J24" s="942"/>
      <c r="K24" s="6"/>
    </row>
    <row r="25" spans="1:11" ht="12.6" customHeight="1" thickBot="1" x14ac:dyDescent="0.3">
      <c r="A25" s="943" t="s">
        <v>25</v>
      </c>
      <c r="B25" s="944"/>
      <c r="C25" s="944"/>
      <c r="D25" s="944"/>
      <c r="E25" s="944"/>
      <c r="F25" s="944"/>
      <c r="G25" s="944"/>
      <c r="H25" s="944"/>
      <c r="I25" s="944"/>
      <c r="J25" s="944"/>
      <c r="K25" s="945"/>
    </row>
    <row r="26" spans="1:11" ht="13.9" customHeight="1" thickTop="1" x14ac:dyDescent="0.25">
      <c r="A26" s="34" t="s">
        <v>26</v>
      </c>
      <c r="B26" s="946" t="s">
        <v>303</v>
      </c>
      <c r="C26" s="947"/>
      <c r="D26" s="946" t="s">
        <v>303</v>
      </c>
      <c r="E26" s="947"/>
      <c r="F26" s="946" t="s">
        <v>303</v>
      </c>
      <c r="G26" s="947"/>
      <c r="H26" s="946" t="s">
        <v>303</v>
      </c>
      <c r="I26" s="947"/>
      <c r="J26" s="948" t="s">
        <v>303</v>
      </c>
      <c r="K26" s="949"/>
    </row>
    <row r="27" spans="1:11" ht="13.9" customHeight="1" x14ac:dyDescent="0.25">
      <c r="A27" s="35" t="s">
        <v>54</v>
      </c>
      <c r="B27" s="931">
        <v>6</v>
      </c>
      <c r="C27" s="932"/>
      <c r="D27" s="931">
        <v>6</v>
      </c>
      <c r="E27" s="932"/>
      <c r="F27" s="931">
        <v>8</v>
      </c>
      <c r="G27" s="932"/>
      <c r="H27" s="931">
        <v>10</v>
      </c>
      <c r="I27" s="932"/>
      <c r="J27" s="933">
        <v>12</v>
      </c>
      <c r="K27" s="934"/>
    </row>
    <row r="28" spans="1:11" ht="10.9" customHeight="1" x14ac:dyDescent="0.25">
      <c r="A28" s="35" t="s">
        <v>27</v>
      </c>
      <c r="B28" s="931">
        <v>4032</v>
      </c>
      <c r="C28" s="932"/>
      <c r="D28" s="931">
        <v>4032</v>
      </c>
      <c r="E28" s="932"/>
      <c r="F28" s="931">
        <v>4032</v>
      </c>
      <c r="G28" s="932"/>
      <c r="H28" s="931">
        <v>4032</v>
      </c>
      <c r="I28" s="932"/>
      <c r="J28" s="931">
        <v>4032</v>
      </c>
      <c r="K28" s="932"/>
    </row>
    <row r="29" spans="1:11" ht="13.9" customHeight="1" x14ac:dyDescent="0.25">
      <c r="A29" s="35" t="s">
        <v>28</v>
      </c>
      <c r="B29" s="931">
        <v>5840</v>
      </c>
      <c r="C29" s="932"/>
      <c r="D29" s="931">
        <v>5991</v>
      </c>
      <c r="E29" s="932"/>
      <c r="F29" s="931">
        <v>6092</v>
      </c>
      <c r="G29" s="932"/>
      <c r="H29" s="931">
        <v>6047</v>
      </c>
      <c r="I29" s="932"/>
      <c r="J29" s="933">
        <v>5988</v>
      </c>
      <c r="K29" s="934"/>
    </row>
    <row r="30" spans="1:11" ht="12" customHeight="1" x14ac:dyDescent="0.25">
      <c r="A30" s="36" t="s">
        <v>29</v>
      </c>
      <c r="B30" s="931">
        <f>B29-B28</f>
        <v>1808</v>
      </c>
      <c r="C30" s="932"/>
      <c r="D30" s="931">
        <f>D29-D28</f>
        <v>1959</v>
      </c>
      <c r="E30" s="932"/>
      <c r="F30" s="931">
        <f>F29-F28</f>
        <v>2060</v>
      </c>
      <c r="G30" s="932"/>
      <c r="H30" s="931">
        <f>H29-H28</f>
        <v>2015</v>
      </c>
      <c r="I30" s="932"/>
      <c r="J30" s="935">
        <f>J29-J28</f>
        <v>1956</v>
      </c>
      <c r="K30" s="936"/>
    </row>
    <row r="31" spans="1:11" ht="12.6" customHeight="1" x14ac:dyDescent="0.25">
      <c r="A31" s="37" t="s">
        <v>30</v>
      </c>
      <c r="B31" s="925">
        <v>947</v>
      </c>
      <c r="C31" s="926"/>
      <c r="D31" s="925">
        <v>947</v>
      </c>
      <c r="E31" s="926"/>
      <c r="F31" s="925">
        <v>947</v>
      </c>
      <c r="G31" s="926"/>
      <c r="H31" s="925">
        <v>947</v>
      </c>
      <c r="I31" s="926"/>
      <c r="J31" s="925">
        <v>947</v>
      </c>
      <c r="K31" s="926"/>
    </row>
    <row r="32" spans="1:11" ht="13.9" customHeight="1" x14ac:dyDescent="0.25">
      <c r="A32" s="38" t="s">
        <v>31</v>
      </c>
      <c r="B32" s="927">
        <f>B30*1/B31</f>
        <v>1.9091869060190074</v>
      </c>
      <c r="C32" s="928"/>
      <c r="D32" s="927">
        <f>D30*1/D31</f>
        <v>2.0686378035902853</v>
      </c>
      <c r="E32" s="928"/>
      <c r="F32" s="927">
        <f>F30*1/F31</f>
        <v>2.1752903907074974</v>
      </c>
      <c r="G32" s="928"/>
      <c r="H32" s="927">
        <f>H30*1/H31</f>
        <v>2.1277719112988382</v>
      </c>
      <c r="I32" s="928"/>
      <c r="J32" s="929">
        <f>J30*1/J31</f>
        <v>2.0654699049630412</v>
      </c>
      <c r="K32" s="930"/>
    </row>
    <row r="33" spans="1:11" ht="12" customHeight="1" thickBot="1" x14ac:dyDescent="0.3">
      <c r="A33" s="39" t="s">
        <v>32</v>
      </c>
      <c r="B33" s="561">
        <f>(B32)*100/(100+B41)</f>
        <v>1.7998716834881141</v>
      </c>
      <c r="C33" s="577"/>
      <c r="D33" s="561">
        <f>(D32)*100/(100+D41)</f>
        <v>1.9151746278169886</v>
      </c>
      <c r="E33" s="577"/>
      <c r="F33" s="561">
        <f>(F32)*100/(100+F41)</f>
        <v>1.9771016300663706</v>
      </c>
      <c r="G33" s="577"/>
      <c r="H33" s="561">
        <f>(H32)*100/(100+H41)</f>
        <v>1.8956112088644199</v>
      </c>
      <c r="I33" s="577"/>
      <c r="J33" s="561">
        <f>(J32)*100/(100+J41)</f>
        <v>1.8093785209421618</v>
      </c>
      <c r="K33" s="562"/>
    </row>
    <row r="34" spans="1:11" ht="11.45" customHeight="1" thickTop="1" thickBot="1" x14ac:dyDescent="0.3">
      <c r="A34" s="922" t="s">
        <v>33</v>
      </c>
      <c r="B34" s="923"/>
      <c r="C34" s="923"/>
      <c r="D34" s="923"/>
      <c r="E34" s="923"/>
      <c r="F34" s="923"/>
      <c r="G34" s="923"/>
      <c r="H34" s="923"/>
      <c r="I34" s="923"/>
      <c r="J34" s="923"/>
      <c r="K34" s="924"/>
    </row>
    <row r="35" spans="1:11" ht="15.75" thickTop="1" x14ac:dyDescent="0.25">
      <c r="A35" s="40" t="s">
        <v>34</v>
      </c>
      <c r="B35" s="41" t="s">
        <v>319</v>
      </c>
      <c r="C35" s="42" t="s">
        <v>313</v>
      </c>
      <c r="D35" s="41" t="s">
        <v>320</v>
      </c>
      <c r="E35" s="489" t="s">
        <v>321</v>
      </c>
      <c r="F35" s="41" t="s">
        <v>322</v>
      </c>
      <c r="G35" s="42" t="s">
        <v>323</v>
      </c>
      <c r="H35" s="41" t="s">
        <v>324</v>
      </c>
      <c r="I35" s="42" t="s">
        <v>325</v>
      </c>
      <c r="J35" s="41" t="s">
        <v>326</v>
      </c>
      <c r="K35" s="43">
        <v>19</v>
      </c>
    </row>
    <row r="36" spans="1:11" ht="16.149999999999999" customHeight="1" x14ac:dyDescent="0.25">
      <c r="A36" s="44" t="s">
        <v>35</v>
      </c>
      <c r="B36" s="45">
        <v>35.799999999999997</v>
      </c>
      <c r="C36" s="46">
        <v>33.4</v>
      </c>
      <c r="D36" s="45">
        <v>33.299999999999997</v>
      </c>
      <c r="E36" s="46">
        <v>38.200000000000003</v>
      </c>
      <c r="F36" s="45">
        <v>35.5</v>
      </c>
      <c r="G36" s="46">
        <v>35.6</v>
      </c>
      <c r="H36" s="45">
        <v>40.700000000000003</v>
      </c>
      <c r="I36" s="46">
        <v>37.299999999999997</v>
      </c>
      <c r="J36" s="45">
        <v>35.4</v>
      </c>
      <c r="K36" s="47">
        <v>34.700000000000003</v>
      </c>
    </row>
    <row r="37" spans="1:11" ht="16.899999999999999" customHeight="1" x14ac:dyDescent="0.25">
      <c r="A37" s="44" t="s">
        <v>36</v>
      </c>
      <c r="B37" s="45">
        <v>267.5</v>
      </c>
      <c r="C37" s="46">
        <v>269.89999999999998</v>
      </c>
      <c r="D37" s="45">
        <v>253.3</v>
      </c>
      <c r="E37" s="46">
        <v>261.7</v>
      </c>
      <c r="F37" s="45">
        <v>234.3</v>
      </c>
      <c r="G37" s="46">
        <v>206.4</v>
      </c>
      <c r="H37" s="45">
        <v>258.2</v>
      </c>
      <c r="I37" s="46">
        <v>282.60000000000002</v>
      </c>
      <c r="J37" s="45">
        <v>259.8</v>
      </c>
      <c r="K37" s="47">
        <v>275.60000000000002</v>
      </c>
    </row>
    <row r="38" spans="1:11" ht="16.149999999999999" customHeight="1" x14ac:dyDescent="0.25">
      <c r="A38" s="44" t="s">
        <v>37</v>
      </c>
      <c r="B38" s="45">
        <v>253.9</v>
      </c>
      <c r="C38" s="46">
        <v>256.7</v>
      </c>
      <c r="D38" s="45">
        <v>236.9</v>
      </c>
      <c r="E38" s="46">
        <v>245.2</v>
      </c>
      <c r="F38" s="45">
        <v>216</v>
      </c>
      <c r="G38" s="46">
        <v>191</v>
      </c>
      <c r="H38" s="45">
        <v>234.5</v>
      </c>
      <c r="I38" s="46">
        <v>255.8</v>
      </c>
      <c r="J38" s="45">
        <v>232.1</v>
      </c>
      <c r="K38" s="47">
        <v>245.6</v>
      </c>
    </row>
    <row r="39" spans="1:11" x14ac:dyDescent="0.25">
      <c r="A39" s="48" t="s">
        <v>38</v>
      </c>
      <c r="B39" s="45">
        <f>B38-B36</f>
        <v>218.10000000000002</v>
      </c>
      <c r="C39" s="46">
        <f>C38-C36</f>
        <v>223.29999999999998</v>
      </c>
      <c r="D39" s="45">
        <f t="shared" ref="D39:K39" si="0">D38-D36</f>
        <v>203.60000000000002</v>
      </c>
      <c r="E39" s="46">
        <f t="shared" si="0"/>
        <v>207</v>
      </c>
      <c r="F39" s="45">
        <f t="shared" si="0"/>
        <v>180.5</v>
      </c>
      <c r="G39" s="46">
        <f t="shared" si="0"/>
        <v>155.4</v>
      </c>
      <c r="H39" s="45">
        <f t="shared" si="0"/>
        <v>193.8</v>
      </c>
      <c r="I39" s="46">
        <f t="shared" si="0"/>
        <v>218.5</v>
      </c>
      <c r="J39" s="45">
        <f t="shared" si="0"/>
        <v>196.7</v>
      </c>
      <c r="K39" s="47">
        <f t="shared" si="0"/>
        <v>210.89999999999998</v>
      </c>
    </row>
    <row r="40" spans="1:11" x14ac:dyDescent="0.25">
      <c r="A40" s="48" t="s">
        <v>39</v>
      </c>
      <c r="B40" s="49">
        <f>((B37)-(B38))*100/B39</f>
        <v>6.2356717102246648</v>
      </c>
      <c r="C40" s="50">
        <f>((C37)-(C38))*100/C39</f>
        <v>5.9113300492610792</v>
      </c>
      <c r="D40" s="49">
        <f t="shared" ref="D40:K40" si="1">((D37)-(D38))*100/D39</f>
        <v>8.0550098231827132</v>
      </c>
      <c r="E40" s="50">
        <f t="shared" si="1"/>
        <v>7.9710144927536231</v>
      </c>
      <c r="F40" s="49">
        <f t="shared" si="1"/>
        <v>10.138504155124661</v>
      </c>
      <c r="G40" s="50">
        <f t="shared" si="1"/>
        <v>9.9099099099099117</v>
      </c>
      <c r="H40" s="49">
        <f t="shared" si="1"/>
        <v>12.229102167182656</v>
      </c>
      <c r="I40" s="50">
        <f t="shared" si="1"/>
        <v>12.265446224256298</v>
      </c>
      <c r="J40" s="49">
        <f t="shared" si="1"/>
        <v>14.082358922216583</v>
      </c>
      <c r="K40" s="51">
        <f t="shared" si="1"/>
        <v>14.224751066856344</v>
      </c>
    </row>
    <row r="41" spans="1:11" ht="13.9" customHeight="1" thickBot="1" x14ac:dyDescent="0.3">
      <c r="A41" s="52" t="s">
        <v>40</v>
      </c>
      <c r="B41" s="499">
        <f>AVERAGE(B40:C40)</f>
        <v>6.0735008797428716</v>
      </c>
      <c r="C41" s="499"/>
      <c r="D41" s="499">
        <f>AVERAGE(D40:E40)</f>
        <v>8.0130121579681681</v>
      </c>
      <c r="E41" s="499"/>
      <c r="F41" s="499">
        <f>AVERAGE(F40:G40)</f>
        <v>10.024207032517285</v>
      </c>
      <c r="G41" s="499"/>
      <c r="H41" s="499">
        <f>AVERAGE(H40:I40)</f>
        <v>12.247274195719477</v>
      </c>
      <c r="I41" s="499"/>
      <c r="J41" s="499">
        <f>AVERAGE(J40:K40)</f>
        <v>14.153554994536464</v>
      </c>
      <c r="K41" s="574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908">
        <f>O52</f>
        <v>1.9750000000000001</v>
      </c>
      <c r="C43" s="909"/>
      <c r="D43" s="54"/>
      <c r="E43" s="54"/>
      <c r="F43" s="910" t="s">
        <v>41</v>
      </c>
      <c r="G43" s="911"/>
      <c r="H43" s="912"/>
      <c r="I43" s="916">
        <f>B43</f>
        <v>1.9750000000000001</v>
      </c>
      <c r="J43" s="917"/>
      <c r="K43" s="54" t="s">
        <v>42</v>
      </c>
    </row>
    <row r="44" spans="1:11" ht="13.9" customHeight="1" x14ac:dyDescent="0.25">
      <c r="A44" s="55" t="s">
        <v>43</v>
      </c>
      <c r="B44" s="918">
        <f>N52</f>
        <v>9.9</v>
      </c>
      <c r="C44" s="919"/>
      <c r="D44" s="54"/>
      <c r="E44" s="54"/>
      <c r="F44" s="913"/>
      <c r="G44" s="914"/>
      <c r="H44" s="915"/>
      <c r="I44" s="920">
        <f>B44</f>
        <v>9.9</v>
      </c>
      <c r="J44" s="921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9.9</v>
      </c>
      <c r="O52" s="9">
        <v>1.9750000000000001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9.9</v>
      </c>
      <c r="O53" s="9">
        <v>1.86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1.9750000000000001</v>
      </c>
      <c r="O55" s="9">
        <v>12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1.9750000000000001</v>
      </c>
      <c r="O56" s="9">
        <v>2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  <mergeCell ref="A12:D12"/>
    <mergeCell ref="E12:K12"/>
    <mergeCell ref="A13:D13"/>
    <mergeCell ref="E13:K13"/>
    <mergeCell ref="A14:D14"/>
    <mergeCell ref="E14:K14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C19:F19"/>
    <mergeCell ref="H19:K19"/>
    <mergeCell ref="C20:F20"/>
    <mergeCell ref="H20:K20"/>
    <mergeCell ref="C21:F21"/>
    <mergeCell ref="H21:K21"/>
    <mergeCell ref="C22:F22"/>
    <mergeCell ref="H22:K22"/>
    <mergeCell ref="C23:D23"/>
    <mergeCell ref="E23:F23"/>
    <mergeCell ref="H23:I23"/>
    <mergeCell ref="J23:K23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B30:C30"/>
    <mergeCell ref="D30:E30"/>
    <mergeCell ref="F30:G30"/>
    <mergeCell ref="H30:I30"/>
    <mergeCell ref="J30:K30"/>
    <mergeCell ref="B29:C29"/>
    <mergeCell ref="D29:E29"/>
    <mergeCell ref="F29:G29"/>
    <mergeCell ref="H29:I29"/>
    <mergeCell ref="J29:K29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43:C43"/>
    <mergeCell ref="F43:H44"/>
    <mergeCell ref="I43:J43"/>
    <mergeCell ref="B44:C44"/>
    <mergeCell ref="I44:J44"/>
    <mergeCell ref="B41:C41"/>
    <mergeCell ref="D41:E41"/>
    <mergeCell ref="F41:G41"/>
    <mergeCell ref="H41:I41"/>
    <mergeCell ref="J41:K41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topLeftCell="A40" zoomScale="160" zoomScaleNormal="160" workbookViewId="0">
      <selection activeCell="H29" sqref="H29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7"/>
      <c r="B1" s="58"/>
      <c r="C1" s="58"/>
      <c r="D1" s="58"/>
      <c r="E1" s="59"/>
      <c r="F1" s="60"/>
      <c r="G1" s="1025" t="s">
        <v>60</v>
      </c>
      <c r="H1" s="1026"/>
      <c r="I1" s="1026"/>
      <c r="J1" s="1026"/>
      <c r="K1" s="1026"/>
      <c r="L1" s="1027"/>
      <c r="M1" s="61"/>
      <c r="N1" s="1031" t="s">
        <v>61</v>
      </c>
      <c r="O1" s="1032"/>
      <c r="P1" s="1032"/>
      <c r="Q1" s="1033"/>
      <c r="R1" s="60"/>
    </row>
    <row r="2" spans="1:18" ht="20.45" customHeight="1" thickBot="1" x14ac:dyDescent="0.3">
      <c r="A2" s="62"/>
      <c r="B2" s="63"/>
      <c r="C2" s="63"/>
      <c r="D2" s="63"/>
      <c r="E2" s="64"/>
      <c r="F2" s="65"/>
      <c r="G2" s="1028"/>
      <c r="H2" s="1029"/>
      <c r="I2" s="1029"/>
      <c r="J2" s="1029"/>
      <c r="K2" s="1029"/>
      <c r="L2" s="1030"/>
      <c r="M2" s="66"/>
      <c r="N2" s="1034" t="s">
        <v>309</v>
      </c>
      <c r="O2" s="1035"/>
      <c r="P2" s="1035"/>
      <c r="Q2" s="1036"/>
      <c r="R2" s="65"/>
    </row>
    <row r="3" spans="1:18" ht="12" customHeight="1" thickBot="1" x14ac:dyDescent="0.3">
      <c r="A3" s="62"/>
      <c r="B3" s="63"/>
      <c r="C3" s="63"/>
      <c r="D3" s="67"/>
      <c r="E3" s="68"/>
      <c r="F3" s="69"/>
      <c r="G3" s="1037" t="s">
        <v>62</v>
      </c>
      <c r="H3" s="1038"/>
      <c r="I3" s="1038"/>
      <c r="J3" s="1038"/>
      <c r="K3" s="1038"/>
      <c r="L3" s="1039"/>
      <c r="M3" s="63"/>
      <c r="N3" s="70"/>
      <c r="O3" s="70"/>
      <c r="P3" s="70"/>
      <c r="Q3" s="71"/>
      <c r="R3" s="65"/>
    </row>
    <row r="4" spans="1:18" ht="15.75" thickBot="1" x14ac:dyDescent="0.3">
      <c r="A4" s="1040" t="s">
        <v>63</v>
      </c>
      <c r="B4" s="1041"/>
      <c r="C4" s="1042"/>
      <c r="D4" s="1043" t="s">
        <v>327</v>
      </c>
      <c r="E4" s="1044"/>
      <c r="F4" s="1044"/>
      <c r="G4" s="1044"/>
      <c r="H4" s="1044"/>
      <c r="I4" s="1045"/>
      <c r="J4" s="1041" t="s">
        <v>64</v>
      </c>
      <c r="K4" s="1041"/>
      <c r="L4" s="1041"/>
      <c r="M4" s="1042"/>
      <c r="N4" s="1046"/>
      <c r="O4" s="1044"/>
      <c r="P4" s="1044"/>
      <c r="Q4" s="1045"/>
      <c r="R4" s="72"/>
    </row>
    <row r="5" spans="1:18" ht="15.75" thickBot="1" x14ac:dyDescent="0.3">
      <c r="A5" s="1040" t="s">
        <v>65</v>
      </c>
      <c r="B5" s="1041"/>
      <c r="C5" s="1042"/>
      <c r="D5" s="1055"/>
      <c r="E5" s="1050"/>
      <c r="F5" s="1050"/>
      <c r="G5" s="1050"/>
      <c r="H5" s="1050"/>
      <c r="I5" s="1051"/>
      <c r="J5" s="1041" t="s">
        <v>66</v>
      </c>
      <c r="K5" s="1041"/>
      <c r="L5" s="1041"/>
      <c r="M5" s="1042"/>
      <c r="N5" s="1056" t="s">
        <v>329</v>
      </c>
      <c r="O5" s="1057"/>
      <c r="P5" s="1057"/>
      <c r="Q5" s="1058"/>
      <c r="R5" s="72"/>
    </row>
    <row r="6" spans="1:18" ht="12.6" customHeight="1" thickBot="1" x14ac:dyDescent="0.3">
      <c r="A6" s="1040" t="s">
        <v>67</v>
      </c>
      <c r="B6" s="1041"/>
      <c r="C6" s="1042"/>
      <c r="D6" s="1059"/>
      <c r="E6" s="1050"/>
      <c r="F6" s="1050"/>
      <c r="G6" s="1050"/>
      <c r="H6" s="1050"/>
      <c r="I6" s="1051"/>
      <c r="J6" s="1041" t="s">
        <v>68</v>
      </c>
      <c r="K6" s="1041"/>
      <c r="L6" s="1041"/>
      <c r="M6" s="1042"/>
      <c r="N6" s="1059"/>
      <c r="O6" s="1050"/>
      <c r="P6" s="1050"/>
      <c r="Q6" s="1051"/>
      <c r="R6" s="72"/>
    </row>
    <row r="7" spans="1:18" ht="12.6" customHeight="1" thickBot="1" x14ac:dyDescent="0.3">
      <c r="A7" s="1040" t="s">
        <v>69</v>
      </c>
      <c r="B7" s="1041"/>
      <c r="C7" s="1041"/>
      <c r="D7" s="1046" t="s">
        <v>328</v>
      </c>
      <c r="E7" s="1047"/>
      <c r="F7" s="1047"/>
      <c r="G7" s="1047"/>
      <c r="H7" s="1047"/>
      <c r="I7" s="1048"/>
      <c r="J7" s="1041" t="s">
        <v>70</v>
      </c>
      <c r="K7" s="1041"/>
      <c r="L7" s="1041"/>
      <c r="M7" s="1042"/>
      <c r="N7" s="1049"/>
      <c r="O7" s="1050"/>
      <c r="P7" s="1050"/>
      <c r="Q7" s="1051"/>
      <c r="R7" s="72"/>
    </row>
    <row r="8" spans="1:18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041" t="s">
        <v>71</v>
      </c>
      <c r="K8" s="1041"/>
      <c r="L8" s="1041"/>
      <c r="M8" s="1042"/>
      <c r="N8" s="1052" t="s">
        <v>330</v>
      </c>
      <c r="O8" s="1053"/>
      <c r="P8" s="1053"/>
      <c r="Q8" s="1054"/>
      <c r="R8" s="72"/>
    </row>
    <row r="9" spans="1:18" ht="15.75" thickBot="1" x14ac:dyDescent="0.3">
      <c r="A9" s="1071" t="s">
        <v>72</v>
      </c>
      <c r="B9" s="1074" t="s">
        <v>73</v>
      </c>
      <c r="C9" s="1075"/>
      <c r="D9" s="1076"/>
      <c r="E9" s="76"/>
      <c r="F9" s="77"/>
      <c r="G9" s="78"/>
      <c r="H9" s="1077" t="s">
        <v>74</v>
      </c>
      <c r="I9" s="1066" t="s">
        <v>75</v>
      </c>
      <c r="J9" s="1067"/>
      <c r="K9" s="76" t="s">
        <v>76</v>
      </c>
      <c r="L9" s="78"/>
      <c r="M9" s="1079" t="s">
        <v>77</v>
      </c>
      <c r="N9" s="1080"/>
      <c r="O9" s="1066" t="s">
        <v>78</v>
      </c>
      <c r="P9" s="1067"/>
      <c r="Q9" s="79" t="s">
        <v>76</v>
      </c>
      <c r="R9" s="72"/>
    </row>
    <row r="10" spans="1:18" ht="19.149999999999999" customHeight="1" thickBot="1" x14ac:dyDescent="0.3">
      <c r="A10" s="1072"/>
      <c r="B10" s="1066" t="s">
        <v>79</v>
      </c>
      <c r="C10" s="1085"/>
      <c r="D10" s="1067"/>
      <c r="E10" s="80" t="s">
        <v>76</v>
      </c>
      <c r="F10" s="77"/>
      <c r="G10" s="78"/>
      <c r="H10" s="1078"/>
      <c r="I10" s="1086" t="s">
        <v>80</v>
      </c>
      <c r="J10" s="1087"/>
      <c r="K10" s="80">
        <v>2</v>
      </c>
      <c r="L10" s="78"/>
      <c r="M10" s="1081"/>
      <c r="N10" s="1082"/>
      <c r="O10" s="1066" t="s">
        <v>81</v>
      </c>
      <c r="P10" s="1067"/>
      <c r="Q10" s="81"/>
      <c r="R10" s="72"/>
    </row>
    <row r="11" spans="1:18" ht="12" customHeight="1" thickBot="1" x14ac:dyDescent="0.3">
      <c r="A11" s="1072"/>
      <c r="B11" s="1088" t="s">
        <v>82</v>
      </c>
      <c r="C11" s="1089"/>
      <c r="D11" s="1090"/>
      <c r="E11" s="82"/>
      <c r="F11" s="77"/>
      <c r="G11" s="77"/>
      <c r="H11" s="83"/>
      <c r="I11" s="1060"/>
      <c r="J11" s="1060"/>
      <c r="K11" s="83"/>
      <c r="L11" s="78"/>
      <c r="M11" s="1083"/>
      <c r="N11" s="1084"/>
      <c r="O11" s="84" t="s">
        <v>83</v>
      </c>
      <c r="P11" s="1061" t="s">
        <v>84</v>
      </c>
      <c r="Q11" s="1062"/>
      <c r="R11" s="72"/>
    </row>
    <row r="12" spans="1:18" ht="15.75" thickBot="1" x14ac:dyDescent="0.3">
      <c r="A12" s="1073"/>
      <c r="B12" s="1063" t="s">
        <v>85</v>
      </c>
      <c r="C12" s="1064"/>
      <c r="D12" s="1065"/>
      <c r="E12" s="85" t="s">
        <v>86</v>
      </c>
      <c r="F12" s="77"/>
      <c r="G12" s="78"/>
      <c r="H12" s="1066" t="s">
        <v>87</v>
      </c>
      <c r="I12" s="1067"/>
      <c r="J12" s="310">
        <f>'Proctor C01 (2)'!B43</f>
        <v>1.9750000000000001</v>
      </c>
      <c r="K12" s="86" t="s">
        <v>88</v>
      </c>
      <c r="L12" s="78"/>
      <c r="M12" s="1068" t="s">
        <v>89</v>
      </c>
      <c r="N12" s="1069"/>
      <c r="O12" s="1070"/>
      <c r="P12" s="312">
        <f>J12</f>
        <v>1.9750000000000001</v>
      </c>
      <c r="Q12" s="87" t="s">
        <v>90</v>
      </c>
      <c r="R12" s="72"/>
    </row>
    <row r="13" spans="1:18" ht="13.9" customHeight="1" thickBot="1" x14ac:dyDescent="0.3">
      <c r="A13" s="88"/>
      <c r="B13" s="77"/>
      <c r="C13" s="77"/>
      <c r="D13" s="77"/>
      <c r="E13" s="77"/>
      <c r="F13" s="77"/>
      <c r="G13" s="78"/>
      <c r="H13" s="1063" t="s">
        <v>91</v>
      </c>
      <c r="I13" s="1065"/>
      <c r="J13" s="311">
        <f>'Proctor C01 (2)'!B44</f>
        <v>9.9</v>
      </c>
      <c r="K13" s="86" t="s">
        <v>44</v>
      </c>
      <c r="L13" s="77"/>
      <c r="M13" s="1066" t="s">
        <v>92</v>
      </c>
      <c r="N13" s="1067"/>
      <c r="O13" s="89"/>
      <c r="P13" s="90" t="s">
        <v>93</v>
      </c>
      <c r="Q13" s="85" t="s">
        <v>76</v>
      </c>
      <c r="R13" s="72"/>
    </row>
    <row r="14" spans="1:18" ht="12" customHeight="1" thickBot="1" x14ac:dyDescent="0.3">
      <c r="A14" s="1091" t="s">
        <v>94</v>
      </c>
      <c r="B14" s="1092"/>
      <c r="C14" s="1092"/>
      <c r="D14" s="1092"/>
      <c r="E14" s="1092"/>
      <c r="F14" s="1092"/>
      <c r="G14" s="1092"/>
      <c r="H14" s="1092"/>
      <c r="I14" s="1092"/>
      <c r="J14" s="1092"/>
      <c r="K14" s="1092"/>
      <c r="L14" s="1092"/>
      <c r="M14" s="1092"/>
      <c r="N14" s="1092"/>
      <c r="O14" s="1092"/>
      <c r="P14" s="1092"/>
      <c r="Q14" s="1092"/>
      <c r="R14" s="1093"/>
    </row>
    <row r="15" spans="1:18" ht="15.75" thickBot="1" x14ac:dyDescent="0.3">
      <c r="A15" s="1094" t="s">
        <v>95</v>
      </c>
      <c r="B15" s="1095"/>
      <c r="C15" s="1095"/>
      <c r="D15" s="1095"/>
      <c r="E15" s="1095"/>
      <c r="F15" s="1095"/>
      <c r="G15" s="1095"/>
      <c r="H15" s="1095"/>
      <c r="I15" s="1095"/>
      <c r="J15" s="1095"/>
      <c r="K15" s="1094" t="s">
        <v>96</v>
      </c>
      <c r="L15" s="1095"/>
      <c r="M15" s="1095"/>
      <c r="N15" s="1095"/>
      <c r="O15" s="1095"/>
      <c r="P15" s="1095"/>
      <c r="Q15" s="1095"/>
      <c r="R15" s="1096"/>
    </row>
    <row r="16" spans="1:18" x14ac:dyDescent="0.25">
      <c r="A16" s="1097" t="s">
        <v>97</v>
      </c>
      <c r="B16" s="1098"/>
      <c r="C16" s="1099">
        <v>56</v>
      </c>
      <c r="D16" s="1100"/>
      <c r="E16" s="1101">
        <v>25</v>
      </c>
      <c r="F16" s="1102"/>
      <c r="G16" s="1099">
        <v>10</v>
      </c>
      <c r="H16" s="1100"/>
      <c r="I16" s="91"/>
      <c r="J16" s="1098" t="s">
        <v>98</v>
      </c>
      <c r="K16" s="1098"/>
      <c r="L16" s="1098"/>
      <c r="M16" s="1103" t="s">
        <v>99</v>
      </c>
      <c r="N16" s="1103"/>
      <c r="O16" s="1103"/>
      <c r="P16" s="1098" t="s">
        <v>100</v>
      </c>
      <c r="Q16" s="1098"/>
      <c r="R16" s="1104"/>
    </row>
    <row r="17" spans="1:18" ht="18.75" thickBot="1" x14ac:dyDescent="0.3">
      <c r="A17" s="1110" t="s">
        <v>101</v>
      </c>
      <c r="B17" s="1111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105" t="s">
        <v>105</v>
      </c>
      <c r="B18" s="1106"/>
      <c r="C18" s="98">
        <v>29</v>
      </c>
      <c r="D18" s="99">
        <v>13</v>
      </c>
      <c r="E18" s="98">
        <v>17</v>
      </c>
      <c r="F18" s="99" t="s">
        <v>320</v>
      </c>
      <c r="G18" s="99" t="s">
        <v>331</v>
      </c>
      <c r="H18" s="99">
        <v>21</v>
      </c>
      <c r="I18" s="100"/>
      <c r="J18" s="101">
        <v>0</v>
      </c>
      <c r="K18" s="470">
        <v>0</v>
      </c>
      <c r="L18" s="469">
        <v>0</v>
      </c>
      <c r="M18" s="92">
        <v>0</v>
      </c>
      <c r="N18" s="470">
        <v>0</v>
      </c>
      <c r="O18" s="469">
        <v>0</v>
      </c>
      <c r="P18" s="92">
        <v>0</v>
      </c>
      <c r="Q18" s="472">
        <v>0</v>
      </c>
      <c r="R18" s="469">
        <v>0</v>
      </c>
    </row>
    <row r="19" spans="1:18" x14ac:dyDescent="0.25">
      <c r="A19" s="1105" t="s">
        <v>106</v>
      </c>
      <c r="B19" s="1106"/>
      <c r="C19" s="102">
        <v>35.6</v>
      </c>
      <c r="D19" s="103">
        <v>35.1</v>
      </c>
      <c r="E19" s="102">
        <v>35.200000000000003</v>
      </c>
      <c r="F19" s="103">
        <v>33.299999999999997</v>
      </c>
      <c r="G19" s="103">
        <v>36.1</v>
      </c>
      <c r="H19" s="103">
        <v>35.4</v>
      </c>
      <c r="I19" s="104"/>
      <c r="J19" s="105">
        <v>0.5</v>
      </c>
      <c r="K19" s="128">
        <v>0.08</v>
      </c>
      <c r="L19" s="469">
        <f t="shared" ref="L19:L26" si="0">((K19*9.8977)-0.3056)*10</f>
        <v>4.8621600000000011</v>
      </c>
      <c r="M19" s="106">
        <v>0.5</v>
      </c>
      <c r="N19" s="128">
        <v>0.06</v>
      </c>
      <c r="O19" s="469">
        <f t="shared" ref="O19:O26" si="1">((N19*9.8977)-0.3056)*10</f>
        <v>2.8826200000000002</v>
      </c>
      <c r="P19" s="106">
        <v>0.5</v>
      </c>
      <c r="Q19" s="473">
        <v>0.04</v>
      </c>
      <c r="R19" s="469">
        <f t="shared" ref="R19:R26" si="2">((Q19*9.8977)-0.3056)*10</f>
        <v>0.90308000000000055</v>
      </c>
    </row>
    <row r="20" spans="1:18" x14ac:dyDescent="0.25">
      <c r="A20" s="1105" t="s">
        <v>107</v>
      </c>
      <c r="B20" s="1106"/>
      <c r="C20" s="477">
        <v>222.6</v>
      </c>
      <c r="D20" s="107">
        <v>183.1</v>
      </c>
      <c r="E20" s="477">
        <v>218</v>
      </c>
      <c r="F20" s="103">
        <v>212.1</v>
      </c>
      <c r="G20" s="107">
        <v>242.7</v>
      </c>
      <c r="H20" s="107">
        <v>207.9</v>
      </c>
      <c r="I20" s="100"/>
      <c r="J20" s="108">
        <v>1</v>
      </c>
      <c r="K20" s="128">
        <v>0.32</v>
      </c>
      <c r="L20" s="469">
        <f t="shared" si="0"/>
        <v>28.616640000000004</v>
      </c>
      <c r="M20" s="93">
        <v>1</v>
      </c>
      <c r="N20" s="128">
        <v>0.15</v>
      </c>
      <c r="O20" s="469">
        <f t="shared" si="1"/>
        <v>11.79055</v>
      </c>
      <c r="P20" s="93">
        <v>1</v>
      </c>
      <c r="Q20" s="473">
        <v>0.08</v>
      </c>
      <c r="R20" s="469">
        <f t="shared" si="2"/>
        <v>4.8621600000000011</v>
      </c>
    </row>
    <row r="21" spans="1:18" x14ac:dyDescent="0.25">
      <c r="A21" s="1105" t="s">
        <v>108</v>
      </c>
      <c r="B21" s="1106"/>
      <c r="C21" s="98">
        <v>205.7</v>
      </c>
      <c r="D21" s="99">
        <v>169.8</v>
      </c>
      <c r="E21" s="98">
        <v>201.5</v>
      </c>
      <c r="F21" s="99">
        <v>196</v>
      </c>
      <c r="G21" s="99">
        <v>224.1</v>
      </c>
      <c r="H21" s="99">
        <v>192.4</v>
      </c>
      <c r="I21" s="100"/>
      <c r="J21" s="109">
        <v>1.5</v>
      </c>
      <c r="K21" s="128">
        <v>0.66</v>
      </c>
      <c r="L21" s="469">
        <f t="shared" si="0"/>
        <v>62.268820000000005</v>
      </c>
      <c r="M21" s="110">
        <v>1.5</v>
      </c>
      <c r="N21" s="128">
        <v>0.28000000000000003</v>
      </c>
      <c r="O21" s="469">
        <f t="shared" si="1"/>
        <v>24.657560000000004</v>
      </c>
      <c r="P21" s="110">
        <v>1.5</v>
      </c>
      <c r="Q21" s="128">
        <v>0.15</v>
      </c>
      <c r="R21" s="469">
        <f t="shared" si="2"/>
        <v>11.79055</v>
      </c>
    </row>
    <row r="22" spans="1:18" x14ac:dyDescent="0.25">
      <c r="A22" s="1105" t="s">
        <v>109</v>
      </c>
      <c r="B22" s="1106"/>
      <c r="C22" s="111">
        <f>IF(C21&lt;&gt;0, (C20-C21)/(C21-C19)*100, "")</f>
        <v>9.9353321575543827</v>
      </c>
      <c r="D22" s="112">
        <f>(D20-D21)/(D21-D19)*100</f>
        <v>9.8737936154417092</v>
      </c>
      <c r="E22" s="111">
        <f>IF(E21&lt;&gt;0, (E20-E21)/(E21-E19)*100, "")</f>
        <v>9.9218280216476238</v>
      </c>
      <c r="F22" s="112">
        <f>(F20-F21)/(F21-F19)*100</f>
        <v>9.8955132145052218</v>
      </c>
      <c r="G22" s="112">
        <f>(G20-G21)/(G21-G19)*100</f>
        <v>9.8936170212765937</v>
      </c>
      <c r="H22" s="112">
        <f>(H20-H21)/(H21-H19)*100</f>
        <v>9.8726114649681538</v>
      </c>
      <c r="I22" s="113"/>
      <c r="J22" s="109">
        <v>2</v>
      </c>
      <c r="K22" s="468">
        <v>0.92</v>
      </c>
      <c r="L22" s="469">
        <f t="shared" si="0"/>
        <v>88.00284000000002</v>
      </c>
      <c r="M22" s="110">
        <v>2</v>
      </c>
      <c r="N22" s="468">
        <v>0.45</v>
      </c>
      <c r="O22" s="469">
        <f t="shared" si="1"/>
        <v>41.483649999999997</v>
      </c>
      <c r="P22" s="110">
        <v>2</v>
      </c>
      <c r="Q22" s="128">
        <v>0.3</v>
      </c>
      <c r="R22" s="469">
        <f t="shared" si="2"/>
        <v>26.6371</v>
      </c>
    </row>
    <row r="23" spans="1:18" x14ac:dyDescent="0.25">
      <c r="A23" s="1105" t="s">
        <v>110</v>
      </c>
      <c r="B23" s="1106"/>
      <c r="C23" s="497">
        <f>AVERAGE(C22:D22)</f>
        <v>9.9045628864980451</v>
      </c>
      <c r="D23" s="498"/>
      <c r="E23" s="497">
        <f>AVERAGE(E22:F22)</f>
        <v>9.9086706180764228</v>
      </c>
      <c r="F23" s="498"/>
      <c r="G23" s="497">
        <f>AVERAGE(G22:H22)</f>
        <v>9.8831142431223746</v>
      </c>
      <c r="H23" s="498"/>
      <c r="I23" s="114"/>
      <c r="J23" s="109">
        <v>2.5</v>
      </c>
      <c r="K23" s="128">
        <v>1.18</v>
      </c>
      <c r="L23" s="469">
        <f t="shared" si="0"/>
        <v>113.73685999999999</v>
      </c>
      <c r="M23" s="110">
        <v>2.5</v>
      </c>
      <c r="N23" s="128">
        <v>0.75</v>
      </c>
      <c r="O23" s="469">
        <f t="shared" si="1"/>
        <v>71.176749999999998</v>
      </c>
      <c r="P23" s="110">
        <v>2.5</v>
      </c>
      <c r="Q23" s="128">
        <v>0.5</v>
      </c>
      <c r="R23" s="469">
        <f t="shared" si="2"/>
        <v>46.432500000000005</v>
      </c>
    </row>
    <row r="24" spans="1:18" x14ac:dyDescent="0.25">
      <c r="A24" s="1107" t="s">
        <v>111</v>
      </c>
      <c r="B24" s="1108"/>
      <c r="C24" s="1109">
        <f>C23/J13*100</f>
        <v>100.04608976260651</v>
      </c>
      <c r="D24" s="1109"/>
      <c r="E24" s="1109">
        <f>E23/J13*100</f>
        <v>100.08758200077195</v>
      </c>
      <c r="F24" s="1109"/>
      <c r="G24" s="497">
        <f>G23/J13*100</f>
        <v>99.829436799215898</v>
      </c>
      <c r="H24" s="498"/>
      <c r="I24" s="114"/>
      <c r="J24" s="109">
        <v>5</v>
      </c>
      <c r="K24" s="128">
        <v>2.72</v>
      </c>
      <c r="L24" s="469">
        <f t="shared" si="0"/>
        <v>266.16144000000008</v>
      </c>
      <c r="M24" s="110">
        <v>5</v>
      </c>
      <c r="N24" s="128">
        <v>1.96</v>
      </c>
      <c r="O24" s="469">
        <f t="shared" si="1"/>
        <v>190.93892000000005</v>
      </c>
      <c r="P24" s="110">
        <v>5</v>
      </c>
      <c r="Q24" s="128">
        <v>1.24</v>
      </c>
      <c r="R24" s="469">
        <f t="shared" si="2"/>
        <v>119.67548000000001</v>
      </c>
    </row>
    <row r="25" spans="1:18" x14ac:dyDescent="0.25">
      <c r="A25" s="1115" t="s">
        <v>112</v>
      </c>
      <c r="B25" s="1116"/>
      <c r="C25" s="1116"/>
      <c r="D25" s="1116"/>
      <c r="E25" s="1116"/>
      <c r="F25" s="1116"/>
      <c r="G25" s="1116"/>
      <c r="H25" s="1117"/>
      <c r="I25" s="115"/>
      <c r="J25" s="109">
        <v>6</v>
      </c>
      <c r="K25" s="128">
        <v>3.25</v>
      </c>
      <c r="L25" s="469">
        <f t="shared" si="0"/>
        <v>318.61924999999997</v>
      </c>
      <c r="M25" s="110">
        <v>6</v>
      </c>
      <c r="N25" s="128">
        <v>2.4500000000000002</v>
      </c>
      <c r="O25" s="469">
        <f t="shared" si="1"/>
        <v>239.43765000000002</v>
      </c>
      <c r="P25" s="110">
        <v>6</v>
      </c>
      <c r="Q25" s="128">
        <v>1.44</v>
      </c>
      <c r="R25" s="469">
        <f t="shared" si="2"/>
        <v>139.47088000000002</v>
      </c>
    </row>
    <row r="26" spans="1:18" ht="15.75" thickBot="1" x14ac:dyDescent="0.3">
      <c r="A26" s="1112" t="s">
        <v>113</v>
      </c>
      <c r="B26" s="1113"/>
      <c r="C26" s="1113"/>
      <c r="D26" s="99" t="s">
        <v>332</v>
      </c>
      <c r="E26" s="116"/>
      <c r="F26" s="99" t="s">
        <v>333</v>
      </c>
      <c r="G26" s="117"/>
      <c r="H26" s="99" t="s">
        <v>334</v>
      </c>
      <c r="I26" s="100"/>
      <c r="J26" s="118">
        <v>10</v>
      </c>
      <c r="K26" s="471">
        <v>4.9000000000000004</v>
      </c>
      <c r="L26" s="469">
        <f t="shared" si="0"/>
        <v>481.93130000000002</v>
      </c>
      <c r="M26" s="119">
        <v>10</v>
      </c>
      <c r="N26" s="471">
        <v>3.89</v>
      </c>
      <c r="O26" s="469">
        <f t="shared" si="1"/>
        <v>381.96453000000008</v>
      </c>
      <c r="P26" s="119">
        <v>10</v>
      </c>
      <c r="Q26" s="471">
        <v>2.85</v>
      </c>
      <c r="R26" s="469">
        <f t="shared" si="2"/>
        <v>279.02845000000002</v>
      </c>
    </row>
    <row r="27" spans="1:18" ht="15.75" thickBot="1" x14ac:dyDescent="0.3">
      <c r="A27" s="1112" t="s">
        <v>114</v>
      </c>
      <c r="B27" s="1113"/>
      <c r="C27" s="1113"/>
      <c r="D27" s="120">
        <v>5066</v>
      </c>
      <c r="E27" s="121"/>
      <c r="F27" s="120">
        <v>3768</v>
      </c>
      <c r="G27" s="122"/>
      <c r="H27" s="120">
        <v>3746</v>
      </c>
      <c r="I27" s="122"/>
      <c r="J27" s="1118"/>
      <c r="K27" s="1118"/>
      <c r="L27" s="1118"/>
      <c r="M27" s="1118"/>
      <c r="N27" s="1118"/>
      <c r="O27" s="1118"/>
      <c r="P27" s="1118"/>
      <c r="Q27" s="1118"/>
      <c r="R27" s="1119"/>
    </row>
    <row r="28" spans="1:18" x14ac:dyDescent="0.25">
      <c r="A28" s="1112" t="s">
        <v>115</v>
      </c>
      <c r="B28" s="1113"/>
      <c r="C28" s="1113"/>
      <c r="D28" s="120">
        <v>10058</v>
      </c>
      <c r="E28" s="121"/>
      <c r="F28" s="120">
        <v>8511</v>
      </c>
      <c r="G28" s="122"/>
      <c r="H28" s="120">
        <v>8239</v>
      </c>
      <c r="I28" s="123"/>
      <c r="J28" s="1120" t="s">
        <v>98</v>
      </c>
      <c r="K28" s="1121"/>
      <c r="L28" s="1121"/>
      <c r="M28" s="1121" t="s">
        <v>99</v>
      </c>
      <c r="N28" s="1121"/>
      <c r="O28" s="1121"/>
      <c r="P28" s="1121" t="s">
        <v>100</v>
      </c>
      <c r="Q28" s="1121"/>
      <c r="R28" s="1122"/>
    </row>
    <row r="29" spans="1:18" x14ac:dyDescent="0.25">
      <c r="A29" s="1112" t="s">
        <v>116</v>
      </c>
      <c r="B29" s="1113"/>
      <c r="C29" s="1113"/>
      <c r="D29" s="120">
        <v>2300</v>
      </c>
      <c r="E29" s="121"/>
      <c r="F29" s="120">
        <v>2300</v>
      </c>
      <c r="G29" s="124"/>
      <c r="H29" s="120">
        <v>2300</v>
      </c>
      <c r="I29" s="125"/>
      <c r="J29" s="1114" t="s">
        <v>105</v>
      </c>
      <c r="K29" s="1106"/>
      <c r="L29" s="99">
        <v>25</v>
      </c>
      <c r="M29" s="1106" t="s">
        <v>105</v>
      </c>
      <c r="N29" s="1106"/>
      <c r="O29" s="126">
        <v>43</v>
      </c>
      <c r="P29" s="1106" t="s">
        <v>105</v>
      </c>
      <c r="Q29" s="1106"/>
      <c r="R29" s="127" t="s">
        <v>313</v>
      </c>
    </row>
    <row r="30" spans="1:18" x14ac:dyDescent="0.25">
      <c r="A30" s="1105" t="s">
        <v>117</v>
      </c>
      <c r="B30" s="1106"/>
      <c r="C30" s="1106"/>
      <c r="D30" s="128">
        <f>IF(D28&lt;&gt;0, (D28-D27)/D29, "")</f>
        <v>2.1704347826086958</v>
      </c>
      <c r="E30" s="121"/>
      <c r="F30" s="128">
        <f>IF(F28&lt;&gt;0, (F28-F27)/F29*1, "")</f>
        <v>2.0621739130434782</v>
      </c>
      <c r="G30" s="122"/>
      <c r="H30" s="128">
        <f>IF(H28&lt;&gt;0, (H28-H27)/H29*1, "")</f>
        <v>1.9534782608695651</v>
      </c>
      <c r="I30" s="123"/>
      <c r="J30" s="1114" t="s">
        <v>118</v>
      </c>
      <c r="K30" s="1106"/>
      <c r="L30" s="99">
        <v>34.799999999999997</v>
      </c>
      <c r="M30" s="1106" t="s">
        <v>118</v>
      </c>
      <c r="N30" s="1106"/>
      <c r="O30" s="99">
        <v>23.6</v>
      </c>
      <c r="P30" s="1106" t="s">
        <v>118</v>
      </c>
      <c r="Q30" s="1106"/>
      <c r="R30" s="127">
        <v>40.5</v>
      </c>
    </row>
    <row r="31" spans="1:18" x14ac:dyDescent="0.25">
      <c r="A31" s="1105" t="s">
        <v>119</v>
      </c>
      <c r="B31" s="1106"/>
      <c r="C31" s="1106"/>
      <c r="D31" s="128">
        <f>IF(D28&lt;&gt;0, D30/(1+C23*0.01), "")</f>
        <v>1.974835917276859</v>
      </c>
      <c r="E31" s="129"/>
      <c r="F31" s="128">
        <f>IF(F28&lt;&gt;0, F30/(1+E23*0.01), "")</f>
        <v>1.8762613554023981</v>
      </c>
      <c r="G31" s="130"/>
      <c r="H31" s="128">
        <f>IF(H28&lt;&gt;0, H30/(1+G23*0.01), "")</f>
        <v>1.7777783914527467</v>
      </c>
      <c r="I31" s="123"/>
      <c r="J31" s="1114" t="s">
        <v>107</v>
      </c>
      <c r="K31" s="1106"/>
      <c r="L31" s="107">
        <v>186.6</v>
      </c>
      <c r="M31" s="1106" t="s">
        <v>107</v>
      </c>
      <c r="N31" s="1106"/>
      <c r="O31" s="99">
        <v>146.19999999999999</v>
      </c>
      <c r="P31" s="1106" t="s">
        <v>107</v>
      </c>
      <c r="Q31" s="1106"/>
      <c r="R31" s="127">
        <v>186.1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114" t="s">
        <v>120</v>
      </c>
      <c r="K32" s="1106"/>
      <c r="L32" s="99">
        <v>171.5</v>
      </c>
      <c r="M32" s="1106" t="s">
        <v>120</v>
      </c>
      <c r="N32" s="1106"/>
      <c r="O32" s="99">
        <v>133.69999999999999</v>
      </c>
      <c r="P32" s="1106" t="s">
        <v>120</v>
      </c>
      <c r="Q32" s="1106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123" t="s">
        <v>109</v>
      </c>
      <c r="K33" s="1124"/>
      <c r="L33" s="136">
        <f>(L31-L32)/(L32-L30)*100</f>
        <v>11.046086320409652</v>
      </c>
      <c r="M33" s="1124" t="s">
        <v>109</v>
      </c>
      <c r="N33" s="1124"/>
      <c r="O33" s="136">
        <f>(O31-O32)/(O32-O30)*100</f>
        <v>11.353315168029066</v>
      </c>
      <c r="P33" s="1124" t="s">
        <v>109</v>
      </c>
      <c r="Q33" s="1124"/>
      <c r="R33" s="136">
        <f>(R31-R32)/(R32-R30)*100</f>
        <v>11.400153022188222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125" t="s">
        <v>121</v>
      </c>
      <c r="K34" s="1126"/>
      <c r="L34" s="1126"/>
      <c r="M34" s="1126"/>
      <c r="N34" s="1126"/>
      <c r="O34" s="1126"/>
      <c r="P34" s="1126"/>
      <c r="Q34" s="1126"/>
      <c r="R34" s="1127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128" t="s">
        <v>122</v>
      </c>
      <c r="K35" s="1129"/>
      <c r="L35" s="1130" t="s">
        <v>99</v>
      </c>
      <c r="M35" s="1129"/>
      <c r="N35" s="1130" t="s">
        <v>100</v>
      </c>
      <c r="O35" s="1129"/>
      <c r="P35" s="1131" t="s">
        <v>123</v>
      </c>
      <c r="Q35" s="1132"/>
      <c r="R35" s="1133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144" t="e">
        <f>AVERAGE(K37,K38,M37,M38,O37,O38)</f>
        <v>#DIV/0!</v>
      </c>
      <c r="Q36" s="1145"/>
      <c r="R36" s="1146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144"/>
      <c r="Q37" s="1145"/>
      <c r="R37" s="1146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147"/>
      <c r="Q38" s="1148"/>
      <c r="R38" s="1149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150" t="s">
        <v>125</v>
      </c>
      <c r="K40" s="1150"/>
      <c r="L40" s="1150"/>
      <c r="M40" s="1150"/>
      <c r="N40" s="1150"/>
      <c r="O40" s="1150"/>
      <c r="P40" s="1150"/>
      <c r="Q40" s="1150"/>
      <c r="R40" s="1151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134" t="s">
        <v>98</v>
      </c>
      <c r="K41" s="1134"/>
      <c r="L41" s="1134"/>
      <c r="M41" s="1134"/>
      <c r="N41" s="1134"/>
      <c r="O41" s="1134"/>
      <c r="P41" s="1134"/>
      <c r="Q41" s="1134"/>
      <c r="R41" s="1135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113.73685999999999</v>
      </c>
      <c r="L42" s="156" t="s">
        <v>127</v>
      </c>
      <c r="M42" s="157"/>
      <c r="N42" s="1136" t="s">
        <v>128</v>
      </c>
      <c r="O42" s="1137"/>
      <c r="P42" s="158">
        <f>(((K42)/13.58))</f>
        <v>8.375321060382916</v>
      </c>
      <c r="Q42" s="1138" t="s">
        <v>129</v>
      </c>
      <c r="R42" s="1140">
        <f>MAX(P42:P43)</f>
        <v>12.933014577259481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266.16144000000008</v>
      </c>
      <c r="L43" s="161" t="s">
        <v>127</v>
      </c>
      <c r="M43" s="157"/>
      <c r="N43" s="1142" t="s">
        <v>131</v>
      </c>
      <c r="O43" s="1143"/>
      <c r="P43" s="162">
        <f>(((K43)/20.58))</f>
        <v>12.933014577259481</v>
      </c>
      <c r="Q43" s="1139"/>
      <c r="R43" s="1141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134" t="s">
        <v>99</v>
      </c>
      <c r="K45" s="1134"/>
      <c r="L45" s="1134"/>
      <c r="M45" s="1134"/>
      <c r="N45" s="1134"/>
      <c r="O45" s="1134"/>
      <c r="P45" s="1134"/>
      <c r="Q45" s="1134"/>
      <c r="R45" s="1135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71.176749999999998</v>
      </c>
      <c r="L46" s="156" t="s">
        <v>127</v>
      </c>
      <c r="M46" s="165"/>
      <c r="N46" s="1136" t="s">
        <v>128</v>
      </c>
      <c r="O46" s="1137"/>
      <c r="P46" s="158">
        <f>(((K46)/13.58))</f>
        <v>5.2412923416789399</v>
      </c>
      <c r="Q46" s="1138" t="s">
        <v>129</v>
      </c>
      <c r="R46" s="1140">
        <f>MAX(P46:P47)</f>
        <v>9.2778872691933945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190.93892000000005</v>
      </c>
      <c r="L47" s="161" t="s">
        <v>127</v>
      </c>
      <c r="M47" s="165"/>
      <c r="N47" s="1142" t="s">
        <v>131</v>
      </c>
      <c r="O47" s="1143"/>
      <c r="P47" s="162">
        <f>(((K47)/20.58))</f>
        <v>9.2778872691933945</v>
      </c>
      <c r="Q47" s="1139"/>
      <c r="R47" s="1141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134" t="s">
        <v>100</v>
      </c>
      <c r="K49" s="1134"/>
      <c r="L49" s="1134"/>
      <c r="M49" s="1134"/>
      <c r="N49" s="1134"/>
      <c r="O49" s="1134"/>
      <c r="P49" s="1134"/>
      <c r="Q49" s="1134"/>
      <c r="R49" s="1135"/>
    </row>
    <row r="50" spans="1:18" ht="15.75" thickBot="1" x14ac:dyDescent="0.3">
      <c r="A50" s="141"/>
      <c r="B50" s="1145"/>
      <c r="C50" s="1145"/>
      <c r="D50" s="1145"/>
      <c r="E50" s="1145"/>
      <c r="F50" s="1145"/>
      <c r="G50" s="1145"/>
      <c r="H50" s="1145"/>
      <c r="I50" s="140"/>
      <c r="J50" s="154" t="s">
        <v>126</v>
      </c>
      <c r="K50" s="155">
        <f>R23</f>
        <v>46.432500000000005</v>
      </c>
      <c r="L50" s="156" t="s">
        <v>127</v>
      </c>
      <c r="M50" s="165"/>
      <c r="N50" s="1136" t="s">
        <v>128</v>
      </c>
      <c r="O50" s="1137"/>
      <c r="P50" s="158">
        <f>(((K50)/13.58))</f>
        <v>3.4191826215022094</v>
      </c>
      <c r="Q50" s="1138" t="s">
        <v>129</v>
      </c>
      <c r="R50" s="1140">
        <f>MAX(P50:P51)</f>
        <v>5.8151350826044714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119.67548000000001</v>
      </c>
      <c r="L51" s="161" t="s">
        <v>127</v>
      </c>
      <c r="M51" s="167"/>
      <c r="N51" s="1142" t="s">
        <v>131</v>
      </c>
      <c r="O51" s="1143"/>
      <c r="P51" s="162">
        <f>(((K51)/20.58))</f>
        <v>5.8151350826044714</v>
      </c>
      <c r="Q51" s="1139"/>
      <c r="R51" s="1141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154" t="s">
        <v>132</v>
      </c>
      <c r="K52" s="1154"/>
      <c r="L52" s="1154"/>
      <c r="M52" s="1155" t="s">
        <v>267</v>
      </c>
      <c r="N52" s="1155"/>
      <c r="O52" s="1155"/>
      <c r="P52" s="1155"/>
      <c r="Q52" s="1155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152" t="s">
        <v>134</v>
      </c>
      <c r="I53" s="1152"/>
      <c r="J53" s="1152"/>
      <c r="K53" s="1152"/>
      <c r="L53" s="1152"/>
      <c r="M53" s="1153" t="s">
        <v>268</v>
      </c>
      <c r="N53" s="1153"/>
      <c r="O53" s="1153"/>
      <c r="P53" s="1153"/>
      <c r="Q53" s="1153"/>
      <c r="R53" s="170"/>
    </row>
  </sheetData>
  <mergeCells count="116"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A33" zoomScale="142" zoomScaleNormal="142" workbookViewId="0">
      <selection activeCell="T38" sqref="T38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156" t="s">
        <v>75</v>
      </c>
      <c r="H1" s="1156"/>
      <c r="I1" s="1156"/>
      <c r="J1" s="1156"/>
      <c r="K1" s="1156"/>
      <c r="L1" s="1157"/>
      <c r="M1" s="175"/>
      <c r="N1" s="1160" t="s">
        <v>61</v>
      </c>
      <c r="O1" s="1161"/>
      <c r="P1" s="1161"/>
      <c r="Q1" s="1162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158"/>
      <c r="H2" s="1158"/>
      <c r="I2" s="1158"/>
      <c r="J2" s="1158"/>
      <c r="K2" s="1158"/>
      <c r="L2" s="1159"/>
      <c r="M2" s="180"/>
      <c r="N2" s="1163" t="s">
        <v>310</v>
      </c>
      <c r="O2" s="1164"/>
      <c r="P2" s="1164"/>
      <c r="Q2" s="1165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166" t="s">
        <v>135</v>
      </c>
      <c r="H3" s="1166"/>
      <c r="I3" s="1166"/>
      <c r="J3" s="1166"/>
      <c r="K3" s="1166"/>
      <c r="L3" s="1167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040" t="s">
        <v>63</v>
      </c>
      <c r="B5" s="1041"/>
      <c r="C5" s="1041"/>
      <c r="D5" s="1168" t="str">
        <f>' CBR Poinc'!D4:I4</f>
        <v>Corniche Pont du Djoué</v>
      </c>
      <c r="E5" s="1057"/>
      <c r="F5" s="1057"/>
      <c r="G5" s="1057"/>
      <c r="H5" s="1057"/>
      <c r="I5" s="1058"/>
      <c r="J5" s="1041" t="s">
        <v>64</v>
      </c>
      <c r="K5" s="1041"/>
      <c r="L5" s="1041"/>
      <c r="M5" s="1042"/>
      <c r="N5" s="1055" t="s">
        <v>136</v>
      </c>
      <c r="O5" s="1050"/>
      <c r="P5" s="1050"/>
      <c r="Q5" s="1051"/>
      <c r="R5" s="179"/>
    </row>
    <row r="6" spans="1:18" ht="12" customHeight="1" thickBot="1" x14ac:dyDescent="0.3">
      <c r="A6" s="1040" t="s">
        <v>65</v>
      </c>
      <c r="B6" s="1041"/>
      <c r="C6" s="1041"/>
      <c r="D6" s="1055"/>
      <c r="E6" s="1050"/>
      <c r="F6" s="1050"/>
      <c r="G6" s="1050"/>
      <c r="H6" s="1050"/>
      <c r="I6" s="1051"/>
      <c r="J6" s="1041" t="s">
        <v>66</v>
      </c>
      <c r="K6" s="1041"/>
      <c r="L6" s="1041"/>
      <c r="M6" s="1042"/>
      <c r="N6" s="1169" t="str">
        <f>' CBR Poinc'!N5:Q5</f>
        <v>Puit 5 - 3ème couche</v>
      </c>
      <c r="O6" s="1153"/>
      <c r="P6" s="1153"/>
      <c r="Q6" s="1170"/>
      <c r="R6" s="179"/>
    </row>
    <row r="7" spans="1:18" ht="10.9" customHeight="1" thickBot="1" x14ac:dyDescent="0.3">
      <c r="A7" s="1040" t="s">
        <v>67</v>
      </c>
      <c r="B7" s="1041"/>
      <c r="C7" s="1041"/>
      <c r="D7" s="1171"/>
      <c r="E7" s="1172"/>
      <c r="F7" s="1172"/>
      <c r="G7" s="1172"/>
      <c r="H7" s="1172"/>
      <c r="I7" s="1173"/>
      <c r="J7" s="1041" t="s">
        <v>137</v>
      </c>
      <c r="K7" s="1041"/>
      <c r="L7" s="1041"/>
      <c r="M7" s="1042"/>
      <c r="N7" s="1174"/>
      <c r="O7" s="1175"/>
      <c r="P7" s="1175"/>
      <c r="Q7" s="1176"/>
      <c r="R7" s="179"/>
    </row>
    <row r="8" spans="1:18" ht="11.45" customHeight="1" thickBot="1" x14ac:dyDescent="0.3">
      <c r="A8" s="1040" t="s">
        <v>69</v>
      </c>
      <c r="B8" s="1041"/>
      <c r="C8" s="1041"/>
      <c r="D8" s="1046" t="str">
        <f>' CBR Poinc'!D7:I7</f>
        <v>Du 10/12/2019 au 28/12/2019</v>
      </c>
      <c r="E8" s="1047"/>
      <c r="F8" s="1047"/>
      <c r="G8" s="1047"/>
      <c r="H8" s="1047"/>
      <c r="I8" s="1048"/>
      <c r="J8" s="1041" t="s">
        <v>70</v>
      </c>
      <c r="K8" s="1041"/>
      <c r="L8" s="1041"/>
      <c r="M8" s="1042"/>
      <c r="N8" s="1059" t="s">
        <v>136</v>
      </c>
      <c r="O8" s="1050"/>
      <c r="P8" s="1050"/>
      <c r="Q8" s="1051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041" t="s">
        <v>71</v>
      </c>
      <c r="K9" s="1041"/>
      <c r="L9" s="1041"/>
      <c r="M9" s="1042"/>
      <c r="N9" s="1059" t="str">
        <f>' CBR Poinc'!N8:Q8</f>
        <v>Sable Gris</v>
      </c>
      <c r="O9" s="1050"/>
      <c r="P9" s="1050"/>
      <c r="Q9" s="1051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192" t="s">
        <v>72</v>
      </c>
      <c r="B11" s="1195" t="s">
        <v>73</v>
      </c>
      <c r="C11" s="1196"/>
      <c r="D11" s="1197"/>
      <c r="E11" s="193"/>
      <c r="F11" s="177"/>
      <c r="G11" s="194"/>
      <c r="H11" s="1198" t="s">
        <v>74</v>
      </c>
      <c r="I11" s="1200" t="s">
        <v>75</v>
      </c>
      <c r="J11" s="1197"/>
      <c r="K11" s="195" t="s">
        <v>76</v>
      </c>
      <c r="L11" s="194"/>
      <c r="M11" s="1201" t="s">
        <v>77</v>
      </c>
      <c r="N11" s="1202"/>
      <c r="O11" s="1207" t="s">
        <v>78</v>
      </c>
      <c r="P11" s="1191"/>
      <c r="Q11" s="196" t="s">
        <v>76</v>
      </c>
      <c r="R11" s="179"/>
    </row>
    <row r="12" spans="1:18" ht="16.5" thickBot="1" x14ac:dyDescent="0.3">
      <c r="A12" s="1193"/>
      <c r="B12" s="1195" t="s">
        <v>79</v>
      </c>
      <c r="C12" s="1196"/>
      <c r="D12" s="1197"/>
      <c r="E12" s="193" t="s">
        <v>76</v>
      </c>
      <c r="F12" s="177"/>
      <c r="G12" s="194"/>
      <c r="H12" s="1199"/>
      <c r="I12" s="1208" t="s">
        <v>80</v>
      </c>
      <c r="J12" s="1209"/>
      <c r="K12" s="197">
        <v>2</v>
      </c>
      <c r="L12" s="194"/>
      <c r="M12" s="1203"/>
      <c r="N12" s="1204"/>
      <c r="O12" s="1210" t="s">
        <v>81</v>
      </c>
      <c r="P12" s="1211"/>
      <c r="Q12" s="198"/>
      <c r="R12" s="179"/>
    </row>
    <row r="13" spans="1:18" ht="16.5" thickBot="1" x14ac:dyDescent="0.3">
      <c r="A13" s="1193"/>
      <c r="B13" s="1180" t="s">
        <v>82</v>
      </c>
      <c r="C13" s="1181"/>
      <c r="D13" s="1182"/>
      <c r="E13" s="199"/>
      <c r="F13" s="177"/>
      <c r="G13" s="177"/>
      <c r="H13" s="200"/>
      <c r="I13" s="1177"/>
      <c r="J13" s="1177"/>
      <c r="K13" s="201"/>
      <c r="L13" s="194"/>
      <c r="M13" s="1205"/>
      <c r="N13" s="1206"/>
      <c r="O13" s="202" t="s">
        <v>83</v>
      </c>
      <c r="P13" s="1178" t="s">
        <v>84</v>
      </c>
      <c r="Q13" s="1179"/>
      <c r="R13" s="179"/>
    </row>
    <row r="14" spans="1:18" ht="16.5" thickBot="1" x14ac:dyDescent="0.3">
      <c r="A14" s="1194"/>
      <c r="B14" s="1180" t="s">
        <v>138</v>
      </c>
      <c r="C14" s="1181"/>
      <c r="D14" s="1182"/>
      <c r="E14" s="199"/>
      <c r="F14" s="177"/>
      <c r="G14" s="177"/>
      <c r="H14" s="1183" t="s">
        <v>139</v>
      </c>
      <c r="I14" s="1184"/>
      <c r="J14" s="327">
        <f>' CBR Poinc'!J12</f>
        <v>1.9750000000000001</v>
      </c>
      <c r="K14" s="203" t="str">
        <f>[1]CBR!K15</f>
        <v>t/m3</v>
      </c>
      <c r="L14" s="194"/>
      <c r="M14" s="1185" t="s">
        <v>140</v>
      </c>
      <c r="N14" s="1186"/>
      <c r="O14" s="1187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188" t="s">
        <v>142</v>
      </c>
      <c r="I15" s="1189"/>
      <c r="J15" s="328">
        <f>' CBR Poinc'!J13</f>
        <v>9.9</v>
      </c>
      <c r="K15" s="86" t="s">
        <v>44</v>
      </c>
      <c r="L15" s="177"/>
      <c r="M15" s="1190" t="s">
        <v>92</v>
      </c>
      <c r="N15" s="1191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20" t="s">
        <v>145</v>
      </c>
      <c r="N18" s="1220"/>
      <c r="O18" s="223" t="s">
        <v>146</v>
      </c>
      <c r="P18" s="223"/>
      <c r="Q18" s="1221" t="s">
        <v>147</v>
      </c>
      <c r="R18" s="1222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23"/>
      <c r="R19" s="1224"/>
    </row>
    <row r="20" spans="1:21" x14ac:dyDescent="0.25">
      <c r="A20" s="1225" t="s">
        <v>153</v>
      </c>
      <c r="B20" s="1213"/>
      <c r="C20" s="1213"/>
      <c r="D20" s="1226">
        <f>J14</f>
        <v>1.9750000000000001</v>
      </c>
      <c r="E20" s="1226"/>
      <c r="F20" s="1226"/>
      <c r="G20" s="1227"/>
      <c r="H20" s="1228"/>
      <c r="I20" s="1229"/>
      <c r="J20" s="231">
        <v>56</v>
      </c>
      <c r="K20" s="232"/>
      <c r="L20" s="232"/>
      <c r="M20" s="1214">
        <f>C27</f>
        <v>1.974835917276859</v>
      </c>
      <c r="N20" s="1214"/>
      <c r="O20" s="1230">
        <f>' CBR Poinc'!C23</f>
        <v>9.9045628864980451</v>
      </c>
      <c r="P20" s="1231"/>
      <c r="Q20" s="1218"/>
      <c r="R20" s="1219"/>
    </row>
    <row r="21" spans="1:21" x14ac:dyDescent="0.25">
      <c r="A21" s="1212" t="s">
        <v>154</v>
      </c>
      <c r="B21" s="1213"/>
      <c r="C21" s="1213"/>
      <c r="D21" s="1214">
        <f>J15</f>
        <v>9.9</v>
      </c>
      <c r="E21" s="1214"/>
      <c r="F21" s="1214"/>
      <c r="G21" s="1215"/>
      <c r="H21" s="1216"/>
      <c r="I21" s="1217"/>
      <c r="J21" s="233">
        <v>25</v>
      </c>
      <c r="K21" s="234"/>
      <c r="L21" s="234"/>
      <c r="M21" s="1214">
        <f>D27</f>
        <v>1.8762613554023981</v>
      </c>
      <c r="N21" s="1214"/>
      <c r="O21" s="1214">
        <f>' CBR Poinc'!E23</f>
        <v>9.9086706180764228</v>
      </c>
      <c r="P21" s="1214"/>
      <c r="Q21" s="1218"/>
      <c r="R21" s="1219"/>
    </row>
    <row r="22" spans="1:21" ht="15.75" thickBot="1" x14ac:dyDescent="0.3">
      <c r="A22" s="1240" t="s">
        <v>155</v>
      </c>
      <c r="B22" s="1241"/>
      <c r="C22" s="1241"/>
      <c r="D22" s="1242"/>
      <c r="E22" s="1242"/>
      <c r="F22" s="1242"/>
      <c r="G22" s="1243"/>
      <c r="H22" s="1243"/>
      <c r="I22" s="1243"/>
      <c r="J22" s="235">
        <v>10</v>
      </c>
      <c r="K22" s="236"/>
      <c r="L22" s="236"/>
      <c r="M22" s="1244">
        <f>E27</f>
        <v>1.7777783914527467</v>
      </c>
      <c r="N22" s="1244"/>
      <c r="O22" s="1244">
        <f>' CBR Poinc'!G23</f>
        <v>9.8831142431223746</v>
      </c>
      <c r="P22" s="1244"/>
      <c r="Q22" s="1245"/>
      <c r="R22" s="1246"/>
    </row>
    <row r="23" spans="1:21" x14ac:dyDescent="0.25">
      <c r="A23" s="1232"/>
      <c r="B23" s="1233"/>
      <c r="C23" s="237"/>
      <c r="D23" s="237"/>
      <c r="E23" s="238"/>
      <c r="F23" s="239"/>
      <c r="G23" s="238"/>
      <c r="H23" s="240"/>
      <c r="I23" s="238"/>
      <c r="J23" s="1233"/>
      <c r="K23" s="1233"/>
      <c r="L23" s="237"/>
      <c r="M23" s="237"/>
      <c r="N23" s="238"/>
      <c r="O23" s="239"/>
      <c r="P23" s="241"/>
      <c r="Q23" s="1234"/>
      <c r="R23" s="1235"/>
    </row>
    <row r="24" spans="1:21" ht="15.75" thickBot="1" x14ac:dyDescent="0.3">
      <c r="A24" s="1236"/>
      <c r="B24" s="1237"/>
      <c r="C24" s="242"/>
      <c r="D24" s="243"/>
      <c r="E24" s="244"/>
      <c r="F24" s="245"/>
      <c r="G24" s="246"/>
      <c r="H24" s="240"/>
      <c r="I24" s="244"/>
      <c r="J24" s="1237"/>
      <c r="K24" s="1237"/>
      <c r="L24" s="242"/>
      <c r="M24" s="242"/>
      <c r="N24" s="244"/>
      <c r="O24" s="247"/>
      <c r="P24" s="248"/>
      <c r="Q24" s="1238"/>
      <c r="R24" s="1239"/>
    </row>
    <row r="25" spans="1:21" x14ac:dyDescent="0.25">
      <c r="A25" s="1247" t="s">
        <v>156</v>
      </c>
      <c r="B25" s="1248"/>
      <c r="C25" s="249">
        <v>56</v>
      </c>
      <c r="D25" s="249">
        <v>25</v>
      </c>
      <c r="E25" s="250">
        <v>10</v>
      </c>
      <c r="F25" s="245"/>
      <c r="G25" s="246"/>
      <c r="H25" s="251"/>
      <c r="I25" s="1249" t="s">
        <v>157</v>
      </c>
      <c r="J25" s="1250"/>
      <c r="K25" s="1251">
        <v>0.98</v>
      </c>
      <c r="L25" s="1251"/>
      <c r="M25" s="1252">
        <v>0.95</v>
      </c>
      <c r="N25" s="1252"/>
      <c r="O25" s="252">
        <v>0.94</v>
      </c>
      <c r="P25" s="252">
        <v>0.92</v>
      </c>
      <c r="Q25" s="1251">
        <v>0.9</v>
      </c>
      <c r="R25" s="1253"/>
    </row>
    <row r="26" spans="1:21" x14ac:dyDescent="0.25">
      <c r="A26" s="1254" t="s">
        <v>158</v>
      </c>
      <c r="B26" s="1255"/>
      <c r="C26" s="253">
        <f>' CBR Poinc'!R42</f>
        <v>12.933014577259481</v>
      </c>
      <c r="D26" s="253">
        <f>' CBR Poinc'!R46</f>
        <v>9.2778872691933945</v>
      </c>
      <c r="E26" s="254">
        <f>' CBR Poinc'!R50</f>
        <v>5.8151350826044714</v>
      </c>
      <c r="F26" s="245"/>
      <c r="G26" s="246"/>
      <c r="H26" s="251"/>
      <c r="I26" s="1256" t="s">
        <v>75</v>
      </c>
      <c r="J26" s="1257"/>
      <c r="K26" s="1258"/>
      <c r="L26" s="1258"/>
      <c r="M26" s="1259">
        <f>T28</f>
        <v>9.3000000000000007</v>
      </c>
      <c r="N26" s="1259"/>
      <c r="O26" s="255"/>
      <c r="P26" s="256"/>
      <c r="Q26" s="1260"/>
      <c r="R26" s="1261"/>
    </row>
    <row r="27" spans="1:21" ht="16.5" thickBot="1" x14ac:dyDescent="0.3">
      <c r="A27" s="1270" t="s">
        <v>159</v>
      </c>
      <c r="B27" s="1271"/>
      <c r="C27" s="257">
        <f>' CBR Poinc'!D31</f>
        <v>1.974835917276859</v>
      </c>
      <c r="D27" s="257">
        <f>' CBR Poinc'!F31</f>
        <v>1.8762613554023981</v>
      </c>
      <c r="E27" s="258">
        <f>' CBR Poinc'!H31</f>
        <v>1.7777783914527467</v>
      </c>
      <c r="F27" s="245"/>
      <c r="G27" s="246"/>
      <c r="H27" s="251"/>
      <c r="I27" s="1272" t="s">
        <v>159</v>
      </c>
      <c r="J27" s="1271"/>
      <c r="K27" s="1244"/>
      <c r="L27" s="1244"/>
      <c r="M27" s="1273">
        <f>J14*0.95</f>
        <v>1.87625</v>
      </c>
      <c r="N27" s="1273"/>
      <c r="O27" s="259"/>
      <c r="P27" s="259"/>
      <c r="Q27" s="1274"/>
      <c r="R27" s="1275"/>
      <c r="T27" s="575" t="s">
        <v>160</v>
      </c>
      <c r="U27" s="576"/>
    </row>
    <row r="28" spans="1:21" x14ac:dyDescent="0.25">
      <c r="A28" s="1262"/>
      <c r="B28" s="1263"/>
      <c r="C28" s="1263"/>
      <c r="D28" s="260"/>
      <c r="E28" s="261"/>
      <c r="F28" s="262"/>
      <c r="G28" s="263"/>
      <c r="H28" s="264"/>
      <c r="I28" s="261"/>
      <c r="J28" s="1263"/>
      <c r="K28" s="1263"/>
      <c r="L28" s="1263"/>
      <c r="M28" s="260"/>
      <c r="N28" s="265"/>
      <c r="O28" s="262"/>
      <c r="P28" s="212"/>
      <c r="Q28" s="1264"/>
      <c r="R28" s="1265"/>
      <c r="T28" s="266">
        <v>9.3000000000000007</v>
      </c>
      <c r="U28" s="267">
        <f>M27</f>
        <v>1.87625</v>
      </c>
    </row>
    <row r="29" spans="1:21" x14ac:dyDescent="0.25">
      <c r="A29" s="1266"/>
      <c r="B29" s="1267"/>
      <c r="C29" s="1267"/>
      <c r="D29" s="268"/>
      <c r="E29" s="261"/>
      <c r="F29" s="261"/>
      <c r="G29" s="261"/>
      <c r="H29" s="261"/>
      <c r="I29" s="261"/>
      <c r="J29" s="1268"/>
      <c r="K29" s="1269"/>
      <c r="L29" s="1269"/>
      <c r="M29" s="269"/>
      <c r="N29" s="1267"/>
      <c r="O29" s="1267"/>
      <c r="P29" s="1267"/>
      <c r="Q29" s="1267"/>
      <c r="R29" s="270"/>
      <c r="T29" s="271">
        <f>T28</f>
        <v>9.3000000000000007</v>
      </c>
      <c r="U29" s="272">
        <v>1.76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267"/>
      <c r="O30" s="1267"/>
      <c r="P30" s="1267"/>
      <c r="Q30" s="1267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287"/>
      <c r="K31" s="1287"/>
      <c r="L31" s="1287"/>
      <c r="M31" s="261"/>
      <c r="N31" s="1267"/>
      <c r="O31" s="1267"/>
      <c r="P31" s="1267"/>
      <c r="Q31" s="1267"/>
      <c r="R31" s="270"/>
      <c r="T31" s="271">
        <f>T28</f>
        <v>9.3000000000000007</v>
      </c>
      <c r="U31" s="272">
        <f>U28</f>
        <v>1.87625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288"/>
      <c r="K32" s="1288"/>
      <c r="L32" s="281"/>
      <c r="M32" s="265"/>
      <c r="N32" s="1267"/>
      <c r="O32" s="1267"/>
      <c r="P32" s="1267"/>
      <c r="Q32" s="1267"/>
      <c r="R32" s="270"/>
      <c r="T32" s="282">
        <v>4</v>
      </c>
      <c r="U32" s="283">
        <f>U31</f>
        <v>1.87625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276"/>
      <c r="K33" s="1277"/>
      <c r="L33" s="287"/>
      <c r="M33" s="280"/>
      <c r="N33" s="1278"/>
      <c r="O33" s="1279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280"/>
      <c r="K34" s="1281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280"/>
      <c r="K35" s="1281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282"/>
      <c r="K36" s="1283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284"/>
      <c r="K38" s="1285"/>
      <c r="L38" s="1285"/>
      <c r="M38" s="1285"/>
      <c r="N38" s="1285"/>
      <c r="O38" s="1285"/>
      <c r="P38" s="1285"/>
      <c r="Q38" s="1285"/>
      <c r="R38" s="1286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292"/>
      <c r="K39" s="1293"/>
      <c r="L39" s="1293"/>
      <c r="M39" s="1293"/>
      <c r="N39" s="1293"/>
      <c r="O39" s="1293"/>
      <c r="P39" s="1293"/>
      <c r="Q39" s="1293"/>
      <c r="R39" s="1294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295"/>
      <c r="O41" s="1296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292"/>
      <c r="K43" s="1293"/>
      <c r="L43" s="1293"/>
      <c r="M43" s="1293"/>
      <c r="N43" s="1293"/>
      <c r="O43" s="1293"/>
      <c r="P43" s="1293"/>
      <c r="Q43" s="1293"/>
      <c r="R43" s="1294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297"/>
      <c r="O44" s="1298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299"/>
      <c r="O45" s="1299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300" t="s">
        <v>132</v>
      </c>
      <c r="K46" s="1300"/>
      <c r="L46" s="1300"/>
      <c r="M46" s="1301" t="s">
        <v>268</v>
      </c>
      <c r="N46" s="1301"/>
      <c r="O46" s="1301"/>
      <c r="P46" s="1301"/>
      <c r="Q46" s="1301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289" t="s">
        <v>339</v>
      </c>
      <c r="I47" s="1290"/>
      <c r="J47" s="1290"/>
      <c r="K47" s="1290"/>
      <c r="L47" s="1290"/>
      <c r="M47" s="1291"/>
      <c r="N47" s="1291"/>
      <c r="O47" s="1291"/>
      <c r="P47" s="1291"/>
      <c r="Q47" s="1291"/>
      <c r="R47" s="217"/>
    </row>
  </sheetData>
  <mergeCells count="111"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 (2)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2020-01-10T06:02:46Z</cp:lastPrinted>
  <dcterms:created xsi:type="dcterms:W3CDTF">2018-08-30T08:30:49Z</dcterms:created>
  <dcterms:modified xsi:type="dcterms:W3CDTF">2020-01-10T06:03:33Z</dcterms:modified>
</cp:coreProperties>
</file>